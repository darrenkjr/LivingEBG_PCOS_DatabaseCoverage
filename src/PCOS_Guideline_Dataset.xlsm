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darre\Desktop\PhD Work\LivingEBG_PCOS_DatabaseCoverage\src\"/>
    </mc:Choice>
  </mc:AlternateContent>
  <xr:revisionPtr revIDLastSave="0" documentId="13_ncr:1_{30342F92-8310-4F17-B200-0286F7AC45DB}" xr6:coauthVersionLast="47" xr6:coauthVersionMax="47" xr10:uidLastSave="{00000000-0000-0000-0000-000000000000}"/>
  <bookViews>
    <workbookView xWindow="3615" yWindow="1125" windowWidth="29910" windowHeight="17280" activeTab="1" xr2:uid="{00000000-000D-0000-FFFF-FFFF00000000}"/>
  </bookViews>
  <sheets>
    <sheet name="rq_evidence_review" sheetId="1" r:id="rId1"/>
    <sheet name="included_articles" sheetId="2" r:id="rId2"/>
    <sheet name="excluded_articles" sheetId="6" r:id="rId3"/>
    <sheet name="Sheet2" sheetId="4" r:id="rId4"/>
    <sheet name="Sheet3" sheetId="5" r:id="rId5"/>
    <sheet name="Sheet1" sheetId="7" r:id="rId6"/>
  </sheets>
  <functionGroups builtInGroupCount="19"/>
  <definedNames>
    <definedName name="_xlnm._FilterDatabase" localSheetId="1" hidden="1">included_articles!$A$1:$O$1262</definedName>
    <definedName name="_xlnm._FilterDatabase" localSheetId="0" hidden="1">rq_evidence_review!$A$1:$Z$55</definedName>
    <definedName name="_xlnm.Criteria" localSheetId="1">included_articles!$K$1:$N$1262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36" i="2" l="1"/>
  <c r="D335" i="2"/>
  <c r="H328" i="2" l="1"/>
  <c r="H327" i="2"/>
  <c r="F962" i="2"/>
  <c r="F919" i="2"/>
  <c r="F917" i="2"/>
  <c r="F913" i="2"/>
  <c r="F911" i="2"/>
  <c r="F626" i="2"/>
  <c r="A611" i="2"/>
  <c r="H611" i="2"/>
  <c r="F610" i="2"/>
  <c r="H619" i="2"/>
  <c r="F613" i="2"/>
  <c r="F606" i="2"/>
  <c r="F599" i="2"/>
  <c r="F589" i="2"/>
  <c r="H335" i="2"/>
  <c r="H317" i="2"/>
  <c r="H318" i="2"/>
  <c r="H319" i="2"/>
  <c r="H320" i="2"/>
  <c r="H321" i="2"/>
  <c r="H322" i="2"/>
  <c r="H323" i="2"/>
  <c r="H324" i="2"/>
  <c r="H325" i="2"/>
  <c r="H310" i="2"/>
  <c r="H307" i="2"/>
  <c r="H308" i="2"/>
  <c r="H304" i="2"/>
  <c r="H305" i="2"/>
  <c r="H300" i="2"/>
  <c r="H301" i="2"/>
  <c r="H302" i="2"/>
  <c r="H298" i="2"/>
  <c r="H289" i="2"/>
  <c r="H290" i="2"/>
  <c r="H287" i="2"/>
  <c r="H285" i="2"/>
  <c r="H280"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D317" i="2"/>
  <c r="D318" i="2"/>
  <c r="D319" i="2"/>
  <c r="D320" i="2"/>
  <c r="D321" i="2"/>
  <c r="D322" i="2"/>
  <c r="D323" i="2"/>
  <c r="D324" i="2"/>
  <c r="D325" i="2"/>
  <c r="F281" i="2"/>
  <c r="F282" i="2"/>
  <c r="F283" i="2"/>
  <c r="F284" i="2"/>
  <c r="F286" i="2"/>
  <c r="F288" i="2"/>
  <c r="F291" i="2"/>
  <c r="F292" i="2"/>
  <c r="F293" i="2"/>
  <c r="F294" i="2"/>
  <c r="F295" i="2"/>
  <c r="F296" i="2"/>
  <c r="F297" i="2"/>
  <c r="F299" i="2"/>
  <c r="F303" i="2"/>
  <c r="F306" i="2"/>
  <c r="F309" i="2"/>
  <c r="F314" i="2"/>
  <c r="F315" i="2"/>
  <c r="F316" i="2"/>
  <c r="F326" i="2"/>
  <c r="F329" i="2"/>
  <c r="F330" i="2"/>
  <c r="F331" i="2"/>
  <c r="F332" i="2"/>
  <c r="F333" i="2"/>
  <c r="F334"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27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 i="2"/>
  <c r="C4" i="2"/>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85" i="2" s="1"/>
  <c r="C86" i="2" s="1"/>
  <c r="C87" i="2" s="1"/>
  <c r="C88" i="2" s="1"/>
  <c r="C89" i="2" s="1"/>
  <c r="C90" i="2" s="1"/>
  <c r="C91" i="2" s="1"/>
  <c r="C92" i="2" s="1"/>
  <c r="C93" i="2" s="1"/>
  <c r="C94" i="2" s="1"/>
  <c r="C95" i="2" s="1"/>
  <c r="C96" i="2" s="1"/>
  <c r="C97" i="2" s="1"/>
  <c r="C98" i="2" s="1"/>
  <c r="C99" i="2" s="1"/>
  <c r="C100" i="2" s="1"/>
  <c r="C101" i="2" s="1"/>
  <c r="C102" i="2" s="1"/>
  <c r="C103" i="2" s="1"/>
  <c r="C104" i="2" s="1"/>
  <c r="C105" i="2" s="1"/>
  <c r="C106" i="2" s="1"/>
  <c r="C107" i="2" s="1"/>
  <c r="C108" i="2" s="1"/>
  <c r="C109" i="2" s="1"/>
  <c r="C110" i="2" s="1"/>
  <c r="C111" i="2" s="1"/>
  <c r="C112" i="2" s="1"/>
  <c r="C113" i="2" s="1"/>
  <c r="C114" i="2" s="1"/>
  <c r="C115" i="2" s="1"/>
  <c r="C116" i="2" s="1"/>
  <c r="C117" i="2" s="1"/>
  <c r="C118" i="2" s="1"/>
  <c r="C119" i="2" s="1"/>
  <c r="C120" i="2" s="1"/>
  <c r="C121" i="2" s="1"/>
  <c r="C122" i="2" s="1"/>
  <c r="C123" i="2" s="1"/>
  <c r="C124" i="2" s="1"/>
  <c r="C125" i="2" s="1"/>
  <c r="C126" i="2" s="1"/>
  <c r="C127" i="2" s="1"/>
  <c r="C128" i="2" s="1"/>
  <c r="C129" i="2" s="1"/>
  <c r="C130" i="2" s="1"/>
  <c r="C131" i="2" s="1"/>
  <c r="C132" i="2" s="1"/>
  <c r="C133" i="2" s="1"/>
  <c r="C134" i="2" s="1"/>
  <c r="C135" i="2" s="1"/>
  <c r="C136" i="2" s="1"/>
  <c r="C137" i="2" s="1"/>
  <c r="C138" i="2" s="1"/>
  <c r="C139" i="2" s="1"/>
  <c r="C140" i="2" s="1"/>
  <c r="C141" i="2" s="1"/>
  <c r="C142" i="2" s="1"/>
  <c r="C143" i="2" s="1"/>
  <c r="C144" i="2" s="1"/>
  <c r="C145" i="2" s="1"/>
  <c r="C146" i="2" s="1"/>
  <c r="C147" i="2" s="1"/>
  <c r="C148" i="2" s="1"/>
  <c r="C149" i="2" s="1"/>
  <c r="C150" i="2" s="1"/>
  <c r="C151" i="2" s="1"/>
  <c r="C152" i="2" s="1"/>
  <c r="C153" i="2" s="1"/>
  <c r="C154" i="2" s="1"/>
  <c r="C156" i="2" s="1"/>
  <c r="C157" i="2" s="1"/>
  <c r="C158" i="2" s="1"/>
  <c r="C159" i="2" s="1"/>
  <c r="C160" i="2" s="1"/>
  <c r="C161" i="2" s="1"/>
  <c r="C162" i="2" s="1"/>
  <c r="C163" i="2" s="1"/>
  <c r="C164" i="2" s="1"/>
  <c r="C165" i="2" s="1"/>
  <c r="C166" i="2" s="1"/>
  <c r="C167" i="2" s="1"/>
  <c r="C168" i="2" s="1"/>
  <c r="C169" i="2" s="1"/>
  <c r="C170" i="2" s="1"/>
  <c r="C171" i="2" s="1"/>
  <c r="C172" i="2" s="1"/>
  <c r="C173" i="2" s="1"/>
  <c r="C174" i="2" s="1"/>
  <c r="C175" i="2" s="1"/>
  <c r="C176" i="2" s="1"/>
  <c r="C177" i="2" s="1"/>
  <c r="C178" i="2" s="1"/>
  <c r="C179" i="2" s="1"/>
  <c r="C180" i="2" s="1"/>
  <c r="C181" i="2" s="1"/>
  <c r="C182" i="2" s="1"/>
  <c r="C183" i="2" s="1"/>
  <c r="C184" i="2" s="1"/>
  <c r="C185" i="2" s="1"/>
  <c r="C186" i="2" s="1"/>
  <c r="C187" i="2" s="1"/>
  <c r="C188" i="2" s="1"/>
  <c r="C189" i="2" s="1"/>
  <c r="C190" i="2" s="1"/>
  <c r="C191" i="2" s="1"/>
  <c r="C192" i="2" s="1"/>
  <c r="C193" i="2" s="1"/>
  <c r="C194" i="2" s="1"/>
  <c r="C195" i="2" s="1"/>
  <c r="C196" i="2" s="1"/>
  <c r="C197" i="2" s="1"/>
  <c r="C198" i="2" s="1"/>
  <c r="C199" i="2" s="1"/>
  <c r="C200" i="2" s="1"/>
  <c r="C201" i="2" s="1"/>
  <c r="C202" i="2" s="1"/>
  <c r="C203" i="2" s="1"/>
  <c r="C204" i="2" s="1"/>
  <c r="C205" i="2" s="1"/>
  <c r="C206" i="2" s="1"/>
  <c r="C207" i="2" s="1"/>
  <c r="C208" i="2" s="1"/>
  <c r="C209" i="2" s="1"/>
  <c r="C210" i="2" s="1"/>
  <c r="C211" i="2" s="1"/>
  <c r="C212" i="2" s="1"/>
  <c r="C213" i="2" s="1"/>
  <c r="C214" i="2" s="1"/>
  <c r="C215" i="2" s="1"/>
  <c r="C216" i="2" s="1"/>
  <c r="C217" i="2" s="1"/>
  <c r="C218" i="2" s="1"/>
  <c r="C219" i="2" s="1"/>
  <c r="C220" i="2" s="1"/>
  <c r="C221" i="2" s="1"/>
  <c r="C222" i="2" s="1"/>
  <c r="C223" i="2" s="1"/>
  <c r="C224" i="2" s="1"/>
  <c r="C225" i="2" s="1"/>
  <c r="C226" i="2" s="1"/>
  <c r="C227" i="2" s="1"/>
  <c r="C228" i="2" s="1"/>
  <c r="C229" i="2" s="1"/>
  <c r="C230" i="2" s="1"/>
  <c r="C231" i="2" s="1"/>
  <c r="C232" i="2" s="1"/>
  <c r="C233" i="2" s="1"/>
  <c r="C234" i="2" s="1"/>
  <c r="C235" i="2" s="1"/>
  <c r="C236" i="2" s="1"/>
  <c r="C237" i="2" s="1"/>
  <c r="C238" i="2" s="1"/>
  <c r="C239" i="2" s="1"/>
  <c r="C240" i="2" s="1"/>
  <c r="C241" i="2" s="1"/>
  <c r="C242" i="2" s="1"/>
  <c r="C243" i="2" s="1"/>
  <c r="C244" i="2" s="1"/>
  <c r="C245" i="2" s="1"/>
  <c r="C246" i="2" s="1"/>
  <c r="C247" i="2" s="1"/>
  <c r="C248" i="2" s="1"/>
  <c r="C249" i="2" s="1"/>
  <c r="C250" i="2" s="1"/>
  <c r="C251" i="2" s="1"/>
  <c r="C252" i="2" s="1"/>
  <c r="C253" i="2" s="1"/>
  <c r="C254" i="2" s="1"/>
  <c r="C255" i="2" s="1"/>
  <c r="C256" i="2" s="1"/>
  <c r="C257" i="2" s="1"/>
  <c r="C258" i="2" s="1"/>
  <c r="C259" i="2" s="1"/>
  <c r="C260" i="2" s="1"/>
  <c r="C261" i="2" s="1"/>
  <c r="C262" i="2" s="1"/>
  <c r="C263" i="2" s="1"/>
  <c r="C264" i="2" s="1"/>
  <c r="C265" i="2" s="1"/>
  <c r="C266" i="2" s="1"/>
  <c r="C267" i="2" s="1"/>
  <c r="C268" i="2" s="1"/>
  <c r="C269" i="2" s="1"/>
  <c r="C270" i="2" s="1"/>
  <c r="C271" i="2" s="1"/>
  <c r="C272" i="2" s="1"/>
  <c r="C273" i="2" s="1"/>
  <c r="C274" i="2" s="1"/>
  <c r="C275" i="2" s="1"/>
  <c r="C276" i="2" s="1"/>
  <c r="C277" i="2" s="1"/>
  <c r="C278" i="2" s="1"/>
  <c r="C279" i="2" s="1"/>
  <c r="K308" i="2"/>
  <c r="K287" i="2"/>
  <c r="I618" i="2"/>
  <c r="K310" i="2"/>
  <c r="I335" i="2"/>
  <c r="K322" i="2"/>
  <c r="K317" i="2"/>
  <c r="K318" i="2"/>
  <c r="L298" i="2"/>
  <c r="I304" i="2"/>
  <c r="K304" i="2"/>
  <c r="I327" i="2"/>
  <c r="I619" i="2"/>
  <c r="L321" i="2"/>
  <c r="I305" i="2"/>
  <c r="K619" i="2"/>
  <c r="I290" i="2"/>
  <c r="K320" i="2"/>
  <c r="L318" i="2"/>
  <c r="K323" i="2"/>
  <c r="L619" i="2"/>
  <c r="L308" i="2"/>
  <c r="L317" i="2"/>
  <c r="I317" i="2"/>
  <c r="L307" i="2"/>
  <c r="I322" i="2"/>
  <c r="L300" i="2"/>
  <c r="K305" i="2"/>
  <c r="I321" i="2"/>
  <c r="K302" i="2"/>
  <c r="L285" i="2"/>
  <c r="K285" i="2"/>
  <c r="I323" i="2"/>
  <c r="I301" i="2"/>
  <c r="I325" i="2"/>
  <c r="I308" i="2"/>
  <c r="I289" i="2"/>
  <c r="L324" i="2"/>
  <c r="I298" i="2"/>
  <c r="K325" i="2"/>
  <c r="I284" i="2"/>
  <c r="L310" i="2"/>
  <c r="K319" i="2"/>
  <c r="L304" i="2"/>
  <c r="K335" i="2"/>
  <c r="L335" i="2"/>
  <c r="L323" i="2"/>
  <c r="I287" i="2"/>
  <c r="L305" i="2"/>
  <c r="I328" i="2"/>
  <c r="L322" i="2"/>
  <c r="I319" i="2"/>
  <c r="I324" i="2"/>
  <c r="L319" i="2"/>
  <c r="I320" i="2"/>
  <c r="K280" i="2"/>
  <c r="I280" i="2"/>
  <c r="K611" i="2"/>
  <c r="K289" i="2"/>
  <c r="I318" i="2"/>
  <c r="K307" i="2"/>
  <c r="I285" i="2"/>
  <c r="I300" i="2"/>
  <c r="L302" i="2"/>
  <c r="K324" i="2"/>
  <c r="K298" i="2"/>
  <c r="K300" i="2"/>
  <c r="L301" i="2"/>
  <c r="L320" i="2"/>
  <c r="I302" i="2"/>
  <c r="I307" i="2"/>
  <c r="L325" i="2"/>
  <c r="I611" i="2"/>
  <c r="L287" i="2"/>
  <c r="L289" i="2"/>
  <c r="I310" i="2"/>
  <c r="J328" i="2" l="1"/>
  <c r="J327" i="2"/>
  <c r="C280" i="2"/>
  <c r="C281" i="2" s="1"/>
  <c r="C282" i="2" s="1"/>
  <c r="C283" i="2" s="1"/>
  <c r="C284" i="2" s="1"/>
  <c r="F280" i="2"/>
  <c r="J611" i="2"/>
  <c r="J619" i="2"/>
  <c r="J335" i="2"/>
  <c r="J320" i="2"/>
  <c r="J323" i="2"/>
  <c r="J322" i="2"/>
  <c r="J325" i="2"/>
  <c r="J321" i="2"/>
  <c r="J324" i="2"/>
  <c r="J318" i="2"/>
  <c r="J317" i="2"/>
  <c r="J319" i="2"/>
  <c r="J310" i="2"/>
  <c r="J308" i="2"/>
  <c r="J307" i="2"/>
  <c r="J305" i="2"/>
  <c r="J304" i="2"/>
  <c r="J300" i="2"/>
  <c r="J302" i="2"/>
  <c r="J301" i="2"/>
  <c r="J298" i="2"/>
  <c r="J289" i="2"/>
  <c r="J290" i="2"/>
  <c r="J287" i="2"/>
  <c r="J285" i="2"/>
  <c r="J280" i="2"/>
  <c r="A1103" i="2"/>
  <c r="A1104" i="2"/>
  <c r="A1105" i="2"/>
  <c r="A1106" i="2"/>
  <c r="A1107" i="2"/>
  <c r="A1108"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6" i="2"/>
  <c r="A1177" i="2"/>
  <c r="A1178" i="2"/>
  <c r="A1179" i="2"/>
  <c r="A1180" i="2"/>
  <c r="A1181" i="2"/>
  <c r="A1182" i="2"/>
  <c r="A1183" i="2"/>
  <c r="A1184" i="2"/>
  <c r="A1185" i="2"/>
  <c r="A1186" i="2"/>
  <c r="A1187" i="2"/>
  <c r="A1188"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4" i="2"/>
  <c r="A1225" i="2"/>
  <c r="A1226" i="2"/>
  <c r="A1227" i="2"/>
  <c r="A1228" i="2"/>
  <c r="A1229" i="2"/>
  <c r="A1230" i="2"/>
  <c r="A1231" i="2"/>
  <c r="A1232" i="2"/>
  <c r="A1233" i="2"/>
  <c r="A1234" i="2"/>
  <c r="A1236" i="2"/>
  <c r="A1237" i="2"/>
  <c r="A1238" i="2"/>
  <c r="A1239" i="2"/>
  <c r="A1240" i="2"/>
  <c r="A1243" i="2"/>
  <c r="A1244" i="2"/>
  <c r="A1245" i="2"/>
  <c r="A1246" i="2"/>
  <c r="A1247" i="2"/>
  <c r="A1248" i="2"/>
  <c r="A1253" i="2"/>
  <c r="A1254" i="2"/>
  <c r="A1255" i="2"/>
  <c r="A1256" i="2"/>
  <c r="A1257" i="2"/>
  <c r="A1258" i="2"/>
  <c r="A1259" i="2"/>
  <c r="A35" i="2"/>
  <c r="A36" i="2"/>
  <c r="A37" i="2"/>
  <c r="A38" i="2"/>
  <c r="A39" i="2"/>
  <c r="A40" i="2"/>
  <c r="A41" i="2"/>
  <c r="A42" i="2"/>
  <c r="A43" i="2"/>
  <c r="A44" i="2"/>
  <c r="A45" i="2"/>
  <c r="A46" i="2"/>
  <c r="A47" i="2"/>
  <c r="A48" i="2"/>
  <c r="A49" i="2"/>
  <c r="A50" i="2"/>
  <c r="A51" i="2"/>
  <c r="A52" i="2"/>
  <c r="A53" i="2"/>
  <c r="A54"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9" i="2"/>
  <c r="A240" i="2"/>
  <c r="A241" i="2"/>
  <c r="A242" i="2"/>
  <c r="A243" i="2"/>
  <c r="A245" i="2"/>
  <c r="A246" i="2"/>
  <c r="A247" i="2"/>
  <c r="A248" i="2"/>
  <c r="A249" i="2"/>
  <c r="A250" i="2"/>
  <c r="A251" i="2"/>
  <c r="A252" i="2"/>
  <c r="A253" i="2"/>
  <c r="A255" i="2"/>
  <c r="A256" i="2"/>
  <c r="A257" i="2"/>
  <c r="A258" i="2"/>
  <c r="A259" i="2"/>
  <c r="A260" i="2"/>
  <c r="A261" i="2"/>
  <c r="A262" i="2"/>
  <c r="A263" i="2"/>
  <c r="A264" i="2"/>
  <c r="A265" i="2"/>
  <c r="A266" i="2"/>
  <c r="A267" i="2"/>
  <c r="A268" i="2"/>
  <c r="A269" i="2"/>
  <c r="A270" i="2"/>
  <c r="A271" i="2"/>
  <c r="A272" i="2"/>
  <c r="A273" i="2"/>
  <c r="A274" i="2"/>
  <c r="A275" i="2"/>
  <c r="A276" i="2"/>
  <c r="A278" i="2"/>
  <c r="A279" i="2"/>
  <c r="A336"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3" i="2"/>
  <c r="A484" i="2"/>
  <c r="A485" i="2"/>
  <c r="A486" i="2"/>
  <c r="A487" i="2"/>
  <c r="A488" i="2"/>
  <c r="A489" i="2"/>
  <c r="A490" i="2"/>
  <c r="A492" i="2"/>
  <c r="A493" i="2"/>
  <c r="A494" i="2"/>
  <c r="A495" i="2"/>
  <c r="A496" i="2"/>
  <c r="A497" i="2"/>
  <c r="A498" i="2"/>
  <c r="A499" i="2"/>
  <c r="A500" i="2"/>
  <c r="A501" i="2"/>
  <c r="A502" i="2"/>
  <c r="A503" i="2"/>
  <c r="A504"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7" i="2"/>
  <c r="A548" i="2"/>
  <c r="A549" i="2"/>
  <c r="A550"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3" i="2"/>
  <c r="A584" i="2"/>
  <c r="A585" i="2"/>
  <c r="A586" i="2"/>
  <c r="A587" i="2"/>
  <c r="A588" i="2"/>
  <c r="A589" i="2"/>
  <c r="A590" i="2"/>
  <c r="A591" i="2"/>
  <c r="A592" i="2"/>
  <c r="A593" i="2"/>
  <c r="A594" i="2"/>
  <c r="A595" i="2"/>
  <c r="A596" i="2"/>
  <c r="A597" i="2"/>
  <c r="A598" i="2"/>
  <c r="A599" i="2"/>
  <c r="A600" i="2"/>
  <c r="A601" i="2"/>
  <c r="A602" i="2"/>
  <c r="A603" i="2"/>
  <c r="A604" i="2"/>
  <c r="A607" i="2"/>
  <c r="A608" i="2"/>
  <c r="A609" i="2"/>
  <c r="A610" i="2"/>
  <c r="A612" i="2"/>
  <c r="A613" i="2"/>
  <c r="A614" i="2"/>
  <c r="A615" i="2"/>
  <c r="A616" i="2"/>
  <c r="A617" i="2"/>
  <c r="A618" i="2"/>
  <c r="A620" i="2"/>
  <c r="A621" i="2"/>
  <c r="A622" i="2"/>
  <c r="A623" i="2"/>
  <c r="A625" i="2"/>
  <c r="A626" i="2"/>
  <c r="A627" i="2"/>
  <c r="A628" i="2"/>
  <c r="A629" i="2"/>
  <c r="A630"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2" i="2"/>
  <c r="A703" i="2"/>
  <c r="A704" i="2"/>
  <c r="A705" i="2"/>
  <c r="A706" i="2"/>
  <c r="A707"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5" i="2"/>
  <c r="A906" i="2"/>
  <c r="A907" i="2"/>
  <c r="A908" i="2"/>
  <c r="A909" i="2"/>
  <c r="A910" i="2"/>
  <c r="A911" i="2"/>
  <c r="A912" i="2"/>
  <c r="A913" i="2"/>
  <c r="A914" i="2"/>
  <c r="A915" i="2"/>
  <c r="A916" i="2"/>
  <c r="A917" i="2"/>
  <c r="A918" i="2"/>
  <c r="A919" i="2"/>
  <c r="A920"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8" i="2"/>
  <c r="A979" i="2"/>
  <c r="A980" i="2"/>
  <c r="A981" i="2"/>
  <c r="A982" i="2"/>
  <c r="A983" i="2"/>
  <c r="A984" i="2"/>
  <c r="A986" i="2"/>
  <c r="A987" i="2"/>
  <c r="A988" i="2"/>
  <c r="A989" i="2"/>
  <c r="A990" i="2"/>
  <c r="A991" i="2"/>
  <c r="A992" i="2"/>
  <c r="A993" i="2"/>
  <c r="A994"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4" i="2"/>
  <c r="A5" i="2"/>
  <c r="A6" i="2"/>
  <c r="A7" i="2"/>
  <c r="A8" i="2"/>
  <c r="A9" i="2"/>
  <c r="A10" i="2"/>
  <c r="A11" i="2"/>
  <c r="A12" i="2"/>
  <c r="A13" i="2"/>
  <c r="A14" i="2"/>
  <c r="A15" i="2"/>
  <c r="A16" i="2"/>
  <c r="A17" i="2"/>
  <c r="A18" i="2"/>
  <c r="A19" i="2"/>
  <c r="A20" i="2"/>
  <c r="A21" i="2"/>
  <c r="A22" i="2"/>
  <c r="A23" i="2"/>
  <c r="A24" i="2"/>
  <c r="A25" i="2"/>
  <c r="A27" i="2"/>
  <c r="A28" i="2"/>
  <c r="A29" i="2"/>
  <c r="A30" i="2"/>
  <c r="A31" i="2"/>
  <c r="A32" i="2"/>
  <c r="A33" i="2"/>
  <c r="A34" i="2"/>
  <c r="B184" i="2"/>
  <c r="A184" i="2" s="1"/>
  <c r="F285" i="2" l="1"/>
  <c r="C285" i="2"/>
  <c r="C286" i="2" s="1"/>
  <c r="B1242" i="2"/>
  <c r="A1242" i="2" s="1"/>
  <c r="C287" i="2" l="1"/>
  <c r="C288" i="2" s="1"/>
  <c r="F287" i="2"/>
  <c r="H312" i="2"/>
  <c r="H313" i="2"/>
  <c r="H314" i="2"/>
  <c r="H311" i="2"/>
  <c r="K311" i="2"/>
  <c r="L313" i="2"/>
  <c r="L311" i="2"/>
  <c r="K10" i="2"/>
  <c r="K313" i="2"/>
  <c r="I312" i="2"/>
  <c r="L312" i="2"/>
  <c r="K1237" i="2"/>
  <c r="I311" i="2"/>
  <c r="I313" i="2"/>
  <c r="K312" i="2"/>
  <c r="F290" i="2" l="1"/>
  <c r="F289" i="2"/>
  <c r="C289" i="2"/>
  <c r="C290" i="2" s="1"/>
  <c r="C291" i="2" s="1"/>
  <c r="C292" i="2" s="1"/>
  <c r="C293" i="2" s="1"/>
  <c r="C294" i="2" s="1"/>
  <c r="C295" i="2" s="1"/>
  <c r="C296" i="2" s="1"/>
  <c r="C297" i="2" s="1"/>
  <c r="J313" i="2"/>
  <c r="J312" i="2"/>
  <c r="J311" i="2"/>
  <c r="F298" i="2" l="1"/>
  <c r="C298" i="2"/>
  <c r="C299" i="2" s="1"/>
  <c r="B904" i="2"/>
  <c r="A904" i="2" s="1"/>
  <c r="B921" i="2"/>
  <c r="A921" i="2" s="1"/>
  <c r="B947" i="2"/>
  <c r="A947" i="2" s="1"/>
  <c r="K5" i="2"/>
  <c r="K4" i="2"/>
  <c r="K3" i="2"/>
  <c r="K2" i="2"/>
  <c r="I3" i="2"/>
  <c r="K7" i="2"/>
  <c r="K58" i="2"/>
  <c r="K6" i="2"/>
  <c r="C300" i="2" l="1"/>
  <c r="C301" i="2" s="1"/>
  <c r="C302" i="2" s="1"/>
  <c r="C303" i="2" s="1"/>
  <c r="F301" i="2"/>
  <c r="F302" i="2"/>
  <c r="F300" i="2"/>
  <c r="D607" i="2"/>
  <c r="H607" i="2"/>
  <c r="K1262" i="2"/>
  <c r="I607" i="2"/>
  <c r="F305" i="2" l="1"/>
  <c r="F304" i="2"/>
  <c r="C304" i="2"/>
  <c r="C305" i="2" s="1"/>
  <c r="C306" i="2" s="1"/>
  <c r="J607" i="2"/>
  <c r="H204" i="2"/>
  <c r="I2" i="2"/>
  <c r="H1261" i="2"/>
  <c r="H126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1" i="2"/>
  <c r="H282" i="2"/>
  <c r="H283" i="2"/>
  <c r="H284" i="2"/>
  <c r="H286" i="2"/>
  <c r="H288" i="2"/>
  <c r="H291" i="2"/>
  <c r="H292" i="2"/>
  <c r="H293" i="2"/>
  <c r="H294" i="2"/>
  <c r="H295" i="2"/>
  <c r="H296" i="2"/>
  <c r="H297" i="2"/>
  <c r="H299" i="2"/>
  <c r="H303" i="2"/>
  <c r="H306" i="2"/>
  <c r="H309" i="2"/>
  <c r="H315" i="2"/>
  <c r="H316" i="2"/>
  <c r="H326" i="2"/>
  <c r="H329" i="2"/>
  <c r="H330" i="2"/>
  <c r="H331" i="2"/>
  <c r="H332" i="2"/>
  <c r="H333" i="2"/>
  <c r="H334"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8" i="2"/>
  <c r="H609" i="2"/>
  <c r="H610" i="2"/>
  <c r="H612" i="2"/>
  <c r="H613" i="2"/>
  <c r="H614" i="2"/>
  <c r="H615" i="2"/>
  <c r="H616" i="2"/>
  <c r="H617" i="2"/>
  <c r="H618" i="2"/>
  <c r="J618" i="2" s="1"/>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J962" i="2" s="1"/>
  <c r="H963" i="2"/>
  <c r="J963" i="2" s="1"/>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2" i="2"/>
  <c r="J2" i="2" s="1"/>
  <c r="C307" i="2" l="1"/>
  <c r="C308" i="2" s="1"/>
  <c r="C309" i="2" s="1"/>
  <c r="F308" i="2"/>
  <c r="F307" i="2"/>
  <c r="J3" i="2"/>
  <c r="D483" i="2"/>
  <c r="D484" i="2"/>
  <c r="D485" i="2"/>
  <c r="D486" i="2"/>
  <c r="D487" i="2"/>
  <c r="D488" i="2"/>
  <c r="D489" i="2"/>
  <c r="D490" i="2"/>
  <c r="D492" i="2"/>
  <c r="D493" i="2"/>
  <c r="D494" i="2"/>
  <c r="D495" i="2"/>
  <c r="D496" i="2"/>
  <c r="D497" i="2"/>
  <c r="D498" i="2"/>
  <c r="D499" i="2"/>
  <c r="D500" i="2"/>
  <c r="D501" i="2"/>
  <c r="D502" i="2"/>
  <c r="D503" i="2"/>
  <c r="D504"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7" i="2"/>
  <c r="D548" i="2"/>
  <c r="D549" i="2"/>
  <c r="D550"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3" i="2"/>
  <c r="D584" i="2"/>
  <c r="D585" i="2"/>
  <c r="D586" i="2"/>
  <c r="D587" i="2"/>
  <c r="D588" i="2"/>
  <c r="D589" i="2"/>
  <c r="D590" i="2"/>
  <c r="D591" i="2"/>
  <c r="D592" i="2"/>
  <c r="D593" i="2"/>
  <c r="D594" i="2"/>
  <c r="D595" i="2"/>
  <c r="D596" i="2"/>
  <c r="D597" i="2"/>
  <c r="D598" i="2"/>
  <c r="D599" i="2"/>
  <c r="D600" i="2"/>
  <c r="D601" i="2"/>
  <c r="D602" i="2"/>
  <c r="D603" i="2"/>
  <c r="D604" i="2"/>
  <c r="D608" i="2"/>
  <c r="D609" i="2"/>
  <c r="D610" i="2"/>
  <c r="D612" i="2"/>
  <c r="D613" i="2"/>
  <c r="D614" i="2"/>
  <c r="D615" i="2"/>
  <c r="D616" i="2"/>
  <c r="D617" i="2"/>
  <c r="D618" i="2"/>
  <c r="D620" i="2"/>
  <c r="D621" i="2"/>
  <c r="D622" i="2"/>
  <c r="D623" i="2"/>
  <c r="D625" i="2"/>
  <c r="D626" i="2"/>
  <c r="D627" i="2"/>
  <c r="D628" i="2"/>
  <c r="D629" i="2"/>
  <c r="D630"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2" i="2"/>
  <c r="D703" i="2"/>
  <c r="D704" i="2"/>
  <c r="D705" i="2"/>
  <c r="D706" i="2"/>
  <c r="D707"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5" i="2"/>
  <c r="D906" i="2"/>
  <c r="D907" i="2"/>
  <c r="D908" i="2"/>
  <c r="D909" i="2"/>
  <c r="D910" i="2"/>
  <c r="D911" i="2"/>
  <c r="D912" i="2"/>
  <c r="D913" i="2"/>
  <c r="D914" i="2"/>
  <c r="D915" i="2"/>
  <c r="D916" i="2"/>
  <c r="D917" i="2"/>
  <c r="D918" i="2"/>
  <c r="D919" i="2"/>
  <c r="D920"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8" i="2"/>
  <c r="D979" i="2"/>
  <c r="D980" i="2"/>
  <c r="D981" i="2"/>
  <c r="D982" i="2"/>
  <c r="D983" i="2"/>
  <c r="D984" i="2"/>
  <c r="D986" i="2"/>
  <c r="D987" i="2"/>
  <c r="D988" i="2"/>
  <c r="D989" i="2"/>
  <c r="D990" i="2"/>
  <c r="D991" i="2"/>
  <c r="D992" i="2"/>
  <c r="D993" i="2"/>
  <c r="D994"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3" i="2"/>
  <c r="D1104" i="2"/>
  <c r="D1105" i="2"/>
  <c r="D1106" i="2"/>
  <c r="D1107" i="2"/>
  <c r="D1108"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6" i="2"/>
  <c r="D1177" i="2"/>
  <c r="D1178" i="2"/>
  <c r="D1179" i="2"/>
  <c r="D1180" i="2"/>
  <c r="D1181" i="2"/>
  <c r="D1182" i="2"/>
  <c r="D1183" i="2"/>
  <c r="D1184" i="2"/>
  <c r="D1185" i="2"/>
  <c r="D1186" i="2"/>
  <c r="D1187" i="2"/>
  <c r="D1188"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4" i="2"/>
  <c r="D1225" i="2"/>
  <c r="D1226" i="2"/>
  <c r="D1227" i="2"/>
  <c r="D1228" i="2"/>
  <c r="D1229" i="2"/>
  <c r="D1230" i="2"/>
  <c r="D1231" i="2"/>
  <c r="D1232" i="2"/>
  <c r="D1233" i="2"/>
  <c r="D1234" i="2"/>
  <c r="D1236" i="2"/>
  <c r="D1237" i="2"/>
  <c r="D1238" i="2"/>
  <c r="D1239" i="2"/>
  <c r="D1240" i="2"/>
  <c r="D1243" i="2"/>
  <c r="D1244" i="2"/>
  <c r="D1245" i="2"/>
  <c r="D1246" i="2"/>
  <c r="D1247" i="2"/>
  <c r="D1248" i="2"/>
  <c r="D1253" i="2"/>
  <c r="D1254" i="2"/>
  <c r="D1255" i="2"/>
  <c r="D1256" i="2"/>
  <c r="D1257" i="2"/>
  <c r="D1258" i="2"/>
  <c r="D125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9" i="2"/>
  <c r="D240" i="2"/>
  <c r="D241" i="2"/>
  <c r="D242" i="2"/>
  <c r="D243" i="2"/>
  <c r="D245" i="2"/>
  <c r="D246" i="2"/>
  <c r="D247" i="2"/>
  <c r="D248" i="2"/>
  <c r="D249" i="2"/>
  <c r="D250" i="2"/>
  <c r="D251" i="2"/>
  <c r="D252" i="2"/>
  <c r="D253" i="2"/>
  <c r="D255" i="2"/>
  <c r="D256" i="2"/>
  <c r="D257" i="2"/>
  <c r="D258" i="2"/>
  <c r="D259" i="2"/>
  <c r="D260" i="2"/>
  <c r="D261" i="2"/>
  <c r="D262" i="2"/>
  <c r="D263" i="2"/>
  <c r="D264" i="2"/>
  <c r="D265" i="2"/>
  <c r="D266" i="2"/>
  <c r="D267" i="2"/>
  <c r="D268" i="2"/>
  <c r="D269" i="2"/>
  <c r="D270" i="2"/>
  <c r="D271" i="2"/>
  <c r="D272" i="2"/>
  <c r="D273" i="2"/>
  <c r="D274" i="2"/>
  <c r="D275" i="2"/>
  <c r="D276" i="2"/>
  <c r="D326" i="2"/>
  <c r="D329" i="2"/>
  <c r="D330" i="2"/>
  <c r="D331" i="2"/>
  <c r="D332" i="2"/>
  <c r="D333" i="2"/>
  <c r="D334"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B1262" i="2"/>
  <c r="C310" i="2" l="1"/>
  <c r="C311" i="2" s="1"/>
  <c r="C312" i="2" s="1"/>
  <c r="C313" i="2" s="1"/>
  <c r="C314" i="2" s="1"/>
  <c r="F310" i="2"/>
  <c r="D1262" i="2"/>
  <c r="A1262" i="2"/>
  <c r="J284" i="2"/>
  <c r="B453" i="2"/>
  <c r="B482" i="2"/>
  <c r="B491" i="2"/>
  <c r="B505" i="2"/>
  <c r="B546" i="2"/>
  <c r="D103" i="2"/>
  <c r="D102" i="2"/>
  <c r="D96" i="2"/>
  <c r="D95" i="2"/>
  <c r="D94" i="2"/>
  <c r="D93" i="2"/>
  <c r="D88" i="2"/>
  <c r="D87" i="2"/>
  <c r="D86" i="2"/>
  <c r="D80" i="2"/>
  <c r="D79" i="2"/>
  <c r="D78" i="2"/>
  <c r="D77" i="2"/>
  <c r="D72" i="2"/>
  <c r="D71" i="2"/>
  <c r="D70" i="2"/>
  <c r="D65" i="2"/>
  <c r="D64" i="2"/>
  <c r="D63" i="2"/>
  <c r="D62" i="2"/>
  <c r="D61" i="2"/>
  <c r="D5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7" i="2"/>
  <c r="D58" i="2"/>
  <c r="D59" i="2"/>
  <c r="D60" i="2"/>
  <c r="D66" i="2"/>
  <c r="D67" i="2"/>
  <c r="D68" i="2"/>
  <c r="D69" i="2"/>
  <c r="D73" i="2"/>
  <c r="D74" i="2"/>
  <c r="D75" i="2"/>
  <c r="D76" i="2"/>
  <c r="D81" i="2"/>
  <c r="D82" i="2"/>
  <c r="D83" i="2"/>
  <c r="D84" i="2"/>
  <c r="D85" i="2"/>
  <c r="D89" i="2"/>
  <c r="D90" i="2"/>
  <c r="D91" i="2"/>
  <c r="D92" i="2"/>
  <c r="D97" i="2"/>
  <c r="D98" i="2"/>
  <c r="D99" i="2"/>
  <c r="D100" i="2"/>
  <c r="D101" i="2"/>
  <c r="D104" i="2"/>
  <c r="D105" i="2"/>
  <c r="D106" i="2"/>
  <c r="D107" i="2"/>
  <c r="D108" i="2"/>
  <c r="D19" i="2"/>
  <c r="D20" i="2"/>
  <c r="D21" i="2"/>
  <c r="D22" i="2"/>
  <c r="D23" i="2"/>
  <c r="D24" i="2"/>
  <c r="D25" i="2"/>
  <c r="D4" i="2"/>
  <c r="D5" i="2"/>
  <c r="D6" i="2"/>
  <c r="D7" i="2"/>
  <c r="D8" i="2"/>
  <c r="D9" i="2"/>
  <c r="D10" i="2"/>
  <c r="D11" i="2"/>
  <c r="D12" i="2"/>
  <c r="D13" i="2"/>
  <c r="D14" i="2"/>
  <c r="D15" i="2"/>
  <c r="D16" i="2"/>
  <c r="D17" i="2"/>
  <c r="D18" i="2"/>
  <c r="F312" i="2" l="1"/>
  <c r="F313" i="2"/>
  <c r="F311" i="2"/>
  <c r="C315" i="2"/>
  <c r="C316" i="2" s="1"/>
  <c r="D482" i="2"/>
  <c r="A482" i="2"/>
  <c r="D505" i="2"/>
  <c r="A505" i="2"/>
  <c r="D453" i="2"/>
  <c r="A453" i="2"/>
  <c r="D491" i="2"/>
  <c r="A491" i="2"/>
  <c r="D546" i="2"/>
  <c r="A546" i="2"/>
  <c r="B3" i="2"/>
  <c r="B26" i="2"/>
  <c r="B55" i="2"/>
  <c r="A55" i="2" s="1"/>
  <c r="B109" i="2"/>
  <c r="B155" i="2"/>
  <c r="B156" i="2"/>
  <c r="D184" i="2"/>
  <c r="B238" i="2"/>
  <c r="B244" i="2"/>
  <c r="B254" i="2"/>
  <c r="B277" i="2"/>
  <c r="B337" i="2"/>
  <c r="B452" i="2"/>
  <c r="B551" i="2"/>
  <c r="B552" i="2"/>
  <c r="B580" i="2"/>
  <c r="B581" i="2"/>
  <c r="B582" i="2"/>
  <c r="B605" i="2"/>
  <c r="B606" i="2"/>
  <c r="B624" i="2"/>
  <c r="B631" i="2"/>
  <c r="B701" i="2"/>
  <c r="B708" i="2"/>
  <c r="B793" i="2"/>
  <c r="D904" i="2"/>
  <c r="D921" i="2"/>
  <c r="D947" i="2"/>
  <c r="B977" i="2"/>
  <c r="B985" i="2"/>
  <c r="B995" i="2"/>
  <c r="B1102" i="2"/>
  <c r="B1109" i="2"/>
  <c r="B1174" i="2"/>
  <c r="B1175" i="2"/>
  <c r="B1189" i="2"/>
  <c r="B1223" i="2"/>
  <c r="B1235" i="2"/>
  <c r="B1241" i="2"/>
  <c r="B1249" i="2"/>
  <c r="B1250" i="2"/>
  <c r="B1251" i="2"/>
  <c r="B1252" i="2"/>
  <c r="B1260" i="2"/>
  <c r="B1261" i="2"/>
  <c r="B2" i="2"/>
  <c r="D2" i="5"/>
  <c r="D3" i="5" s="1"/>
  <c r="G3" i="5" s="1"/>
  <c r="E28" i="5"/>
  <c r="E15" i="5"/>
  <c r="E16" i="5"/>
  <c r="E17" i="5"/>
  <c r="E18" i="5"/>
  <c r="E19" i="5"/>
  <c r="E20" i="5"/>
  <c r="E21" i="5"/>
  <c r="E22" i="5"/>
  <c r="E23" i="5"/>
  <c r="E24" i="5"/>
  <c r="E25" i="5"/>
  <c r="E26" i="5"/>
  <c r="E27" i="5"/>
  <c r="E14" i="5"/>
  <c r="E2" i="5"/>
  <c r="G2" i="5" s="1"/>
  <c r="E3" i="5"/>
  <c r="E4" i="5"/>
  <c r="E5" i="5"/>
  <c r="E6" i="5"/>
  <c r="E7" i="5"/>
  <c r="E8" i="5"/>
  <c r="E9" i="5"/>
  <c r="E10" i="5"/>
  <c r="E11" i="5"/>
  <c r="E12" i="5"/>
  <c r="E13" i="5"/>
  <c r="E1" i="5"/>
  <c r="G1" i="5" s="1"/>
  <c r="A2" i="4"/>
  <c r="A3" i="4" s="1"/>
  <c r="C1" i="4"/>
  <c r="C317" i="2" l="1"/>
  <c r="C318" i="2" s="1"/>
  <c r="C319" i="2" s="1"/>
  <c r="C320" i="2" s="1"/>
  <c r="C321" i="2" s="1"/>
  <c r="C322" i="2" s="1"/>
  <c r="C323" i="2" s="1"/>
  <c r="C324" i="2" s="1"/>
  <c r="C325" i="2" s="1"/>
  <c r="C326" i="2" s="1"/>
  <c r="F320" i="2"/>
  <c r="F321" i="2"/>
  <c r="F317" i="2"/>
  <c r="F324" i="2"/>
  <c r="F323" i="2"/>
  <c r="F322" i="2"/>
  <c r="F319" i="2"/>
  <c r="F318" i="2"/>
  <c r="F325" i="2"/>
  <c r="D631" i="2"/>
  <c r="A631" i="2"/>
  <c r="D1235" i="2"/>
  <c r="A1235" i="2"/>
  <c r="D624" i="2"/>
  <c r="A624" i="2"/>
  <c r="D581" i="2"/>
  <c r="A581" i="2"/>
  <c r="D3" i="2"/>
  <c r="A3" i="2"/>
  <c r="D238" i="2"/>
  <c r="A238" i="2"/>
  <c r="D708" i="2"/>
  <c r="A708" i="2"/>
  <c r="D1241" i="2"/>
  <c r="A1241" i="2"/>
  <c r="D1174" i="2"/>
  <c r="A1174" i="2"/>
  <c r="D1109" i="2"/>
  <c r="A1109" i="2"/>
  <c r="D1102" i="2"/>
  <c r="A1102" i="2"/>
  <c r="D552" i="2"/>
  <c r="A552" i="2"/>
  <c r="D2" i="2"/>
  <c r="A2" i="2"/>
  <c r="D985" i="2"/>
  <c r="A985" i="2"/>
  <c r="D977" i="2"/>
  <c r="A977" i="2"/>
  <c r="D1260" i="2"/>
  <c r="A1260" i="2"/>
  <c r="D337" i="2"/>
  <c r="A337" i="2"/>
  <c r="D606" i="2"/>
  <c r="A606" i="2"/>
  <c r="D109" i="2"/>
  <c r="A109" i="2"/>
  <c r="D1252" i="2"/>
  <c r="A1252" i="2"/>
  <c r="A277" i="2"/>
  <c r="D1249" i="2"/>
  <c r="A1249" i="2"/>
  <c r="D156" i="2"/>
  <c r="A156" i="2"/>
  <c r="D1189" i="2"/>
  <c r="A1189" i="2"/>
  <c r="D1175" i="2"/>
  <c r="A1175" i="2"/>
  <c r="D26" i="2"/>
  <c r="A26" i="2"/>
  <c r="D254" i="2"/>
  <c r="A254" i="2"/>
  <c r="D701" i="2"/>
  <c r="A701" i="2"/>
  <c r="D1223" i="2"/>
  <c r="A1223" i="2"/>
  <c r="D155" i="2"/>
  <c r="A155" i="2"/>
  <c r="D605" i="2"/>
  <c r="A605" i="2"/>
  <c r="D582" i="2"/>
  <c r="A582" i="2"/>
  <c r="D580" i="2"/>
  <c r="A580" i="2"/>
  <c r="D995" i="2"/>
  <c r="A995" i="2"/>
  <c r="D551" i="2"/>
  <c r="A551" i="2"/>
  <c r="D1261" i="2"/>
  <c r="A1261" i="2"/>
  <c r="D452" i="2"/>
  <c r="A452" i="2"/>
  <c r="D1251" i="2"/>
  <c r="A1251" i="2"/>
  <c r="D1250" i="2"/>
  <c r="A1250" i="2"/>
  <c r="D793" i="2"/>
  <c r="A793" i="2"/>
  <c r="D244" i="2"/>
  <c r="A244" i="2"/>
  <c r="D55" i="2"/>
  <c r="D1242" i="2"/>
  <c r="D4" i="5"/>
  <c r="A4" i="4"/>
  <c r="C3" i="4"/>
  <c r="C2" i="4"/>
  <c r="I1064" i="2"/>
  <c r="L426" i="2"/>
  <c r="I567" i="2"/>
  <c r="I609" i="2"/>
  <c r="L181" i="2"/>
  <c r="L28" i="2"/>
  <c r="L1216" i="2"/>
  <c r="I150" i="2"/>
  <c r="I1231" i="2"/>
  <c r="L873" i="2"/>
  <c r="I1107" i="2"/>
  <c r="L1195" i="2"/>
  <c r="L669" i="2"/>
  <c r="I197" i="2"/>
  <c r="K334" i="2"/>
  <c r="K642" i="2"/>
  <c r="L718" i="2"/>
  <c r="I1000" i="2"/>
  <c r="K930" i="2"/>
  <c r="L487" i="2"/>
  <c r="K416" i="2"/>
  <c r="L517" i="2"/>
  <c r="L1262" i="2"/>
  <c r="I112" i="2"/>
  <c r="L783" i="2"/>
  <c r="L1236" i="2"/>
  <c r="L699" i="2"/>
  <c r="I1018" i="2"/>
  <c r="L881" i="2"/>
  <c r="I21" i="2"/>
  <c r="K1093" i="2"/>
  <c r="I18" i="2"/>
  <c r="I1006" i="2"/>
  <c r="L513" i="2"/>
  <c r="K291" i="2"/>
  <c r="I1034" i="2"/>
  <c r="K1066" i="2"/>
  <c r="I881" i="2"/>
  <c r="I740" i="2"/>
  <c r="I1204" i="2"/>
  <c r="L775" i="2"/>
  <c r="I13" i="2"/>
  <c r="I935" i="2"/>
  <c r="I652" i="2"/>
  <c r="L1129" i="2"/>
  <c r="L212" i="2"/>
  <c r="K969" i="2"/>
  <c r="I498" i="2"/>
  <c r="K13" i="2"/>
  <c r="K131" i="2"/>
  <c r="L338" i="2"/>
  <c r="K613" i="2"/>
  <c r="K943" i="2"/>
  <c r="I340" i="2"/>
  <c r="L1037" i="2"/>
  <c r="I1039" i="2"/>
  <c r="K1034" i="2"/>
  <c r="K381" i="2"/>
  <c r="I259" i="2"/>
  <c r="L805" i="2"/>
  <c r="L1191" i="2"/>
  <c r="L275" i="2"/>
  <c r="K950" i="2"/>
  <c r="I178" i="2"/>
  <c r="K146" i="2"/>
  <c r="L659" i="2"/>
  <c r="L838" i="2"/>
  <c r="L518" i="2"/>
  <c r="L1131" i="2"/>
  <c r="L421" i="2"/>
  <c r="K481" i="2"/>
  <c r="K423" i="2"/>
  <c r="L1096" i="2"/>
  <c r="L533" i="2"/>
  <c r="K941" i="2"/>
  <c r="I570" i="2"/>
  <c r="L451" i="2"/>
  <c r="K466" i="2"/>
  <c r="K1022" i="2"/>
  <c r="I816" i="2"/>
  <c r="L1156" i="2"/>
  <c r="L192" i="2"/>
  <c r="L630" i="2"/>
  <c r="I378" i="2"/>
  <c r="L868" i="2"/>
  <c r="K88" i="2"/>
  <c r="L63" i="2"/>
  <c r="L252" i="2"/>
  <c r="K1213" i="2"/>
  <c r="I715" i="2"/>
  <c r="I1116" i="2"/>
  <c r="I349" i="2"/>
  <c r="K34" i="2"/>
  <c r="I1093" i="2"/>
  <c r="I641" i="2"/>
  <c r="L639" i="2"/>
  <c r="I448" i="2"/>
  <c r="I598" i="2"/>
  <c r="L505" i="2"/>
  <c r="K252" i="2"/>
  <c r="K581" i="2"/>
  <c r="I415" i="2"/>
  <c r="L58" i="2"/>
  <c r="I1017" i="2"/>
  <c r="K1250" i="2"/>
  <c r="L438" i="2"/>
  <c r="L956" i="2"/>
  <c r="L372" i="2"/>
  <c r="L891" i="2"/>
  <c r="I1121" i="2"/>
  <c r="I209" i="2"/>
  <c r="L364" i="2"/>
  <c r="L357" i="2"/>
  <c r="L90" i="2"/>
  <c r="I549" i="2"/>
  <c r="I754" i="2"/>
  <c r="I265" i="2"/>
  <c r="I668" i="2"/>
  <c r="L909" i="2"/>
  <c r="K396" i="2"/>
  <c r="L1102" i="2"/>
  <c r="L856" i="2"/>
  <c r="I74" i="2"/>
  <c r="L1181" i="2"/>
  <c r="I124" i="2"/>
  <c r="L203" i="2"/>
  <c r="I48" i="2"/>
  <c r="K904" i="2"/>
  <c r="L189" i="2"/>
  <c r="I478" i="2"/>
  <c r="K412" i="2"/>
  <c r="K1028" i="2"/>
  <c r="K382" i="2"/>
  <c r="I507" i="2"/>
  <c r="I556" i="2"/>
  <c r="L1009" i="2"/>
  <c r="L892" i="2"/>
  <c r="I750" i="2"/>
  <c r="L95" i="2"/>
  <c r="L44" i="2"/>
  <c r="I693" i="2"/>
  <c r="I714" i="2"/>
  <c r="L461" i="2"/>
  <c r="K1261" i="2"/>
  <c r="L1060" i="2"/>
  <c r="L608" i="2"/>
  <c r="K666" i="2"/>
  <c r="I1210" i="2"/>
  <c r="L568" i="2"/>
  <c r="L610" i="2"/>
  <c r="I824" i="2"/>
  <c r="L1109" i="2"/>
  <c r="I1198" i="2"/>
  <c r="I1108" i="2"/>
  <c r="K386" i="2"/>
  <c r="I34" i="2"/>
  <c r="I191" i="2"/>
  <c r="K82" i="2"/>
  <c r="L392" i="2"/>
  <c r="I711" i="2"/>
  <c r="L162" i="2"/>
  <c r="I808" i="2"/>
  <c r="L652" i="2"/>
  <c r="I295" i="2"/>
  <c r="L572" i="2"/>
  <c r="K90" i="2"/>
  <c r="K1024" i="2"/>
  <c r="L11" i="2"/>
  <c r="I475" i="2"/>
  <c r="L1206" i="2"/>
  <c r="L350" i="2"/>
  <c r="I184" i="2"/>
  <c r="I274" i="2"/>
  <c r="I666" i="2"/>
  <c r="L995" i="2"/>
  <c r="L588" i="2"/>
  <c r="L1128" i="2"/>
  <c r="L509" i="2"/>
  <c r="K332" i="2"/>
  <c r="L785" i="2"/>
  <c r="K660" i="2"/>
  <c r="K672" i="2"/>
  <c r="K1096" i="2"/>
  <c r="L758" i="2"/>
  <c r="I132" i="2"/>
  <c r="I1089" i="2"/>
  <c r="K151" i="2"/>
  <c r="L490" i="2"/>
  <c r="K110" i="2"/>
  <c r="I1189" i="2"/>
  <c r="L20" i="2"/>
  <c r="L1233" i="2"/>
  <c r="I837" i="2"/>
  <c r="I1167" i="2"/>
  <c r="I1212" i="2"/>
  <c r="L196" i="2"/>
  <c r="L603" i="2"/>
  <c r="I147" i="2"/>
  <c r="I216" i="2"/>
  <c r="I76" i="2"/>
  <c r="I794" i="2"/>
  <c r="I887" i="2"/>
  <c r="K109" i="2"/>
  <c r="K253" i="2"/>
  <c r="L625" i="2"/>
  <c r="I175" i="2"/>
  <c r="I978" i="2"/>
  <c r="L119" i="2"/>
  <c r="L1213" i="2"/>
  <c r="I115" i="2"/>
  <c r="L262" i="2"/>
  <c r="I291" i="2"/>
  <c r="I996" i="2"/>
  <c r="I552" i="2"/>
  <c r="L230" i="2"/>
  <c r="L179" i="2"/>
  <c r="K129" i="2"/>
  <c r="L180" i="2"/>
  <c r="L938" i="2"/>
  <c r="K390" i="2"/>
  <c r="L1115" i="2"/>
  <c r="L974" i="2"/>
  <c r="L598" i="2"/>
  <c r="I172" i="2"/>
  <c r="I487" i="2"/>
  <c r="L66" i="2"/>
  <c r="L306" i="2"/>
  <c r="L660" i="2"/>
  <c r="K62" i="2"/>
  <c r="I329" i="2"/>
  <c r="L1193" i="2"/>
  <c r="I1207" i="2"/>
  <c r="I765" i="2"/>
  <c r="L1125" i="2"/>
  <c r="L355" i="2"/>
  <c r="I661" i="2"/>
  <c r="I1239" i="2"/>
  <c r="K1082" i="2"/>
  <c r="K200" i="2"/>
  <c r="I760" i="2"/>
  <c r="L1157" i="2"/>
  <c r="K909" i="2"/>
  <c r="I1208" i="2"/>
  <c r="L570" i="2"/>
  <c r="K949" i="2"/>
  <c r="L1058" i="2"/>
  <c r="I419" i="2"/>
  <c r="I890" i="2"/>
  <c r="M1030" i="2"/>
  <c r="I1036" i="2"/>
  <c r="I928" i="2"/>
  <c r="I1216" i="2"/>
  <c r="I1191" i="2"/>
  <c r="I589" i="2"/>
  <c r="I775" i="2"/>
  <c r="I187" i="2"/>
  <c r="L18" i="2"/>
  <c r="L900" i="2"/>
  <c r="I1179" i="2"/>
  <c r="L352" i="2"/>
  <c r="L527" i="2"/>
  <c r="L911" i="2"/>
  <c r="L545" i="2"/>
  <c r="L633" i="2"/>
  <c r="I625" i="2"/>
  <c r="I110" i="2"/>
  <c r="I1205" i="2"/>
  <c r="I1068" i="2"/>
  <c r="I181" i="2"/>
  <c r="L649" i="2"/>
  <c r="K284" i="2"/>
  <c r="I1138" i="2"/>
  <c r="L424" i="2"/>
  <c r="K446" i="2"/>
  <c r="K1186" i="2"/>
  <c r="L594" i="2"/>
  <c r="L405" i="2"/>
  <c r="K1254" i="2"/>
  <c r="K92" i="2"/>
  <c r="I688" i="2"/>
  <c r="I896" i="2"/>
  <c r="L899" i="2"/>
  <c r="L1148" i="2"/>
  <c r="L398" i="2"/>
  <c r="K548" i="2"/>
  <c r="I578" i="2"/>
  <c r="K1153" i="2"/>
  <c r="I385" i="2"/>
  <c r="I46" i="2"/>
  <c r="I474" i="2"/>
  <c r="L739" i="2"/>
  <c r="I708" i="2"/>
  <c r="K1188" i="2"/>
  <c r="I640" i="2"/>
  <c r="I109" i="2"/>
  <c r="K399" i="2"/>
  <c r="K966" i="2"/>
  <c r="L634" i="2"/>
  <c r="I14" i="2"/>
  <c r="K650" i="2"/>
  <c r="I1188" i="2"/>
  <c r="I247" i="2"/>
  <c r="I273" i="2"/>
  <c r="L19" i="2"/>
  <c r="K1078" i="2"/>
  <c r="K408" i="2"/>
  <c r="L67" i="2"/>
  <c r="K923" i="2"/>
  <c r="I644" i="2"/>
  <c r="L429" i="2"/>
  <c r="I457" i="2"/>
  <c r="I812" i="2"/>
  <c r="I952" i="2"/>
  <c r="I491" i="2"/>
  <c r="I303" i="2"/>
  <c r="K303" i="2"/>
  <c r="K686" i="2"/>
  <c r="L792" i="2"/>
  <c r="K944" i="2"/>
  <c r="I1174" i="2"/>
  <c r="K682" i="2"/>
  <c r="I923" i="2"/>
  <c r="I905" i="2"/>
  <c r="K145" i="2"/>
  <c r="I874" i="2"/>
  <c r="I988" i="2"/>
  <c r="L140" i="2"/>
  <c r="L981" i="2"/>
  <c r="K1031" i="2"/>
  <c r="L939" i="2"/>
  <c r="L977" i="2"/>
  <c r="L151" i="2"/>
  <c r="L1147" i="2"/>
  <c r="I185" i="2"/>
  <c r="I179" i="2"/>
  <c r="K1223" i="2"/>
  <c r="L172" i="2"/>
  <c r="I704" i="2"/>
  <c r="I196" i="2"/>
  <c r="I730" i="2"/>
  <c r="K261" i="2"/>
  <c r="L692" i="2"/>
  <c r="L391" i="2"/>
  <c r="I82" i="2"/>
  <c r="K972" i="2"/>
  <c r="L184" i="2"/>
  <c r="I1062" i="2"/>
  <c r="I811" i="2"/>
  <c r="K1205" i="2"/>
  <c r="L875" i="2"/>
  <c r="L332" i="2"/>
  <c r="L1205" i="2"/>
  <c r="I202" i="2"/>
  <c r="I75" i="2"/>
  <c r="L790" i="2"/>
  <c r="I396" i="2"/>
  <c r="L194" i="2"/>
  <c r="I414" i="2"/>
  <c r="L1133" i="2"/>
  <c r="L224" i="2"/>
  <c r="I450" i="2"/>
  <c r="K144" i="2"/>
  <c r="K670" i="2"/>
  <c r="I766" i="2"/>
  <c r="L315" i="2"/>
  <c r="K397" i="2"/>
  <c r="I363" i="2"/>
  <c r="I468" i="2"/>
  <c r="K162" i="2"/>
  <c r="K50" i="2"/>
  <c r="K954" i="2"/>
  <c r="I856" i="2"/>
  <c r="I395" i="2"/>
  <c r="L693" i="2"/>
  <c r="I1049" i="2"/>
  <c r="L52" i="2"/>
  <c r="I804" i="2"/>
  <c r="L105" i="2"/>
  <c r="I129" i="2"/>
  <c r="I38" i="2"/>
  <c r="M1031" i="2"/>
  <c r="I266" i="2"/>
  <c r="I728" i="2"/>
  <c r="L384" i="2"/>
  <c r="I904" i="2"/>
  <c r="I587" i="2"/>
  <c r="L574" i="2"/>
  <c r="I16" i="2"/>
  <c r="I293" i="2"/>
  <c r="I401" i="2"/>
  <c r="I924" i="2"/>
  <c r="L963" i="2"/>
  <c r="L906" i="2"/>
  <c r="I1152" i="2"/>
  <c r="L902" i="2"/>
  <c r="K189" i="2"/>
  <c r="I225" i="2"/>
  <c r="I1256" i="2"/>
  <c r="I865" i="2"/>
  <c r="K1108" i="2"/>
  <c r="K421" i="2"/>
  <c r="I56" i="2"/>
  <c r="L1088" i="2"/>
  <c r="L457" i="2"/>
  <c r="L673" i="2"/>
  <c r="I751" i="2"/>
  <c r="L36" i="2"/>
  <c r="L249" i="2"/>
  <c r="I1106" i="2"/>
  <c r="I163" i="2"/>
  <c r="K391" i="2"/>
  <c r="K942" i="2"/>
  <c r="K469" i="2"/>
  <c r="I169" i="2"/>
  <c r="K441" i="2"/>
  <c r="L769" i="2"/>
  <c r="I819" i="2"/>
  <c r="L558" i="2"/>
  <c r="L397" i="2"/>
  <c r="L945" i="2"/>
  <c r="I524" i="2"/>
  <c r="K1018" i="2"/>
  <c r="K665" i="2"/>
  <c r="I297" i="2"/>
  <c r="K32" i="2"/>
  <c r="I534" i="2"/>
  <c r="L1163" i="2"/>
  <c r="L865" i="2"/>
  <c r="K19" i="2"/>
  <c r="I30" i="2"/>
  <c r="L176" i="2"/>
  <c r="L1012" i="2"/>
  <c r="K658" i="2"/>
  <c r="I63" i="2"/>
  <c r="L819" i="2"/>
  <c r="I456" i="2"/>
  <c r="L1221" i="2"/>
  <c r="L846" i="2"/>
  <c r="L980" i="2"/>
  <c r="L833" i="2"/>
  <c r="I1011" i="2"/>
  <c r="L577" i="2"/>
  <c r="L348" i="2"/>
  <c r="L757" i="2"/>
  <c r="I170" i="2"/>
  <c r="K184" i="2"/>
  <c r="I272" i="2"/>
  <c r="I200" i="2"/>
  <c r="I357" i="2"/>
  <c r="L851" i="2"/>
  <c r="I347" i="2"/>
  <c r="L1046" i="2"/>
  <c r="L888" i="2"/>
  <c r="L347" i="2"/>
  <c r="K549" i="2"/>
  <c r="K689" i="2"/>
  <c r="I470" i="2"/>
  <c r="I1041" i="2"/>
  <c r="L1034" i="2"/>
  <c r="L573" i="2"/>
  <c r="L655" i="2"/>
  <c r="L454" i="2"/>
  <c r="L613" i="2"/>
  <c r="L706" i="2"/>
  <c r="L371" i="2"/>
  <c r="K986" i="2"/>
  <c r="L1048" i="2"/>
  <c r="L918" i="2"/>
  <c r="K1120" i="2"/>
  <c r="L340" i="2"/>
  <c r="I1160" i="2"/>
  <c r="K293" i="2"/>
  <c r="L537" i="2"/>
  <c r="I1002" i="2"/>
  <c r="I1128" i="2"/>
  <c r="K641" i="2"/>
  <c r="L715" i="2"/>
  <c r="L777" i="2"/>
  <c r="L441" i="2"/>
  <c r="L185" i="2"/>
  <c r="I931" i="2"/>
  <c r="L1174" i="2"/>
  <c r="L898" i="2"/>
  <c r="I878" i="2"/>
  <c r="L941" i="2"/>
  <c r="L540" i="2"/>
  <c r="K1049" i="2"/>
  <c r="I848" i="2"/>
  <c r="K60" i="2"/>
  <c r="I942" i="2"/>
  <c r="K633" i="2"/>
  <c r="L349" i="2"/>
  <c r="K1094" i="2"/>
  <c r="I590" i="2"/>
  <c r="L6" i="2"/>
  <c r="I55" i="2"/>
  <c r="I790" i="2"/>
  <c r="I416" i="2"/>
  <c r="I955" i="2"/>
  <c r="L1055" i="2"/>
  <c r="L1081" i="2"/>
  <c r="I876" i="2"/>
  <c r="I720" i="2"/>
  <c r="L890" i="2"/>
  <c r="L1210" i="2"/>
  <c r="K928" i="2"/>
  <c r="L1161" i="2"/>
  <c r="L269" i="2"/>
  <c r="L106" i="2"/>
  <c r="I190" i="2"/>
  <c r="L804" i="2"/>
  <c r="I564" i="2"/>
  <c r="L1111" i="2"/>
  <c r="K336" i="2"/>
  <c r="K33" i="2"/>
  <c r="K448" i="2"/>
  <c r="K329" i="2"/>
  <c r="K946" i="2"/>
  <c r="I515" i="2"/>
  <c r="I756" i="2"/>
  <c r="K260" i="2"/>
  <c r="I1100" i="2"/>
  <c r="L1173" i="2"/>
  <c r="I1248" i="2"/>
  <c r="I647" i="2"/>
  <c r="I1052" i="2"/>
  <c r="I1008" i="2"/>
  <c r="K196" i="2"/>
  <c r="L265" i="2"/>
  <c r="I346" i="2"/>
  <c r="I894" i="2"/>
  <c r="I550" i="2"/>
  <c r="L226" i="2"/>
  <c r="I94" i="2"/>
  <c r="L826" i="2"/>
  <c r="L1154" i="2"/>
  <c r="I773" i="2"/>
  <c r="L948" i="2"/>
  <c r="I32" i="2"/>
  <c r="K673" i="2"/>
  <c r="K81" i="2"/>
  <c r="K28" i="2"/>
  <c r="L403" i="2"/>
  <c r="L1238" i="2"/>
  <c r="L733" i="2"/>
  <c r="I528" i="2"/>
  <c r="K89" i="2"/>
  <c r="K153" i="2"/>
  <c r="L943" i="2"/>
  <c r="L8" i="2"/>
  <c r="L1118" i="2"/>
  <c r="K254" i="2"/>
  <c r="K413" i="2"/>
  <c r="I984" i="2"/>
  <c r="K84" i="2"/>
  <c r="L229" i="2"/>
  <c r="I1125" i="2"/>
  <c r="I1113" i="2"/>
  <c r="I1057" i="2"/>
  <c r="L855" i="2"/>
  <c r="I1164" i="2"/>
  <c r="I839" i="2"/>
  <c r="L797" i="2"/>
  <c r="K63" i="2"/>
  <c r="K1235" i="2"/>
  <c r="L103" i="2"/>
  <c r="L685" i="2"/>
  <c r="I705" i="2"/>
  <c r="L37" i="2"/>
  <c r="L908" i="2"/>
  <c r="L670" i="2"/>
  <c r="K662" i="2"/>
  <c r="I1117" i="2"/>
  <c r="L1186" i="2"/>
  <c r="I761" i="2"/>
  <c r="L567" i="2"/>
  <c r="L69" i="2"/>
  <c r="I577" i="2"/>
  <c r="I15" i="2"/>
  <c r="I975" i="2"/>
  <c r="L1150" i="2"/>
  <c r="I275" i="2"/>
  <c r="I269" i="2"/>
  <c r="I1148" i="2"/>
  <c r="L382" i="2"/>
  <c r="L946" i="2"/>
  <c r="K426" i="2"/>
  <c r="I1074" i="2"/>
  <c r="I422" i="2"/>
  <c r="L512" i="2"/>
  <c r="I1173" i="2"/>
  <c r="K299" i="2"/>
  <c r="L1158" i="2"/>
  <c r="K594" i="2"/>
  <c r="K939" i="2"/>
  <c r="L916" i="2"/>
  <c r="K251" i="2"/>
  <c r="K422" i="2"/>
  <c r="I351" i="2"/>
  <c r="I489" i="2"/>
  <c r="K1075" i="2"/>
  <c r="I511" i="2"/>
  <c r="L476" i="2"/>
  <c r="L691" i="2"/>
  <c r="K1063" i="2"/>
  <c r="L256" i="2"/>
  <c r="I86" i="2"/>
  <c r="L854" i="2"/>
  <c r="L1063" i="2"/>
  <c r="K617" i="2"/>
  <c r="L376" i="2"/>
  <c r="L994" i="2"/>
  <c r="L799" i="2"/>
  <c r="K475" i="2"/>
  <c r="L156" i="2"/>
  <c r="L149" i="2"/>
  <c r="I726" i="2"/>
  <c r="K65" i="2"/>
  <c r="K333" i="2"/>
  <c r="L161" i="2"/>
  <c r="L427" i="2"/>
  <c r="I533" i="2"/>
  <c r="L1002" i="2"/>
  <c r="K983" i="2"/>
  <c r="L30" i="2"/>
  <c r="I220" i="2"/>
  <c r="I509" i="2"/>
  <c r="I633" i="2"/>
  <c r="K654" i="2"/>
  <c r="K11" i="2"/>
  <c r="I493" i="2"/>
  <c r="I1247" i="2"/>
  <c r="K1076" i="2"/>
  <c r="K411" i="2"/>
  <c r="I218" i="2"/>
  <c r="L737" i="2"/>
  <c r="L1051" i="2"/>
  <c r="L708" i="2"/>
  <c r="L1092" i="2"/>
  <c r="I927" i="2"/>
  <c r="M1024" i="2"/>
  <c r="L742" i="2"/>
  <c r="I467" i="2"/>
  <c r="I398" i="2"/>
  <c r="K676" i="2"/>
  <c r="L830" i="2"/>
  <c r="L1112" i="2"/>
  <c r="L1151" i="2"/>
  <c r="K378" i="2"/>
  <c r="I941" i="2"/>
  <c r="L988" i="2"/>
  <c r="K418" i="2"/>
  <c r="K692" i="2"/>
  <c r="I105" i="2"/>
  <c r="K94" i="2"/>
  <c r="L970" i="2"/>
  <c r="L560" i="2"/>
  <c r="K597" i="2"/>
  <c r="K702" i="2"/>
  <c r="K1020" i="2"/>
  <c r="L932" i="2"/>
  <c r="L1215" i="2"/>
  <c r="K467" i="2"/>
  <c r="I613" i="2"/>
  <c r="I844" i="2"/>
  <c r="I343" i="2"/>
  <c r="I620" i="2"/>
  <c r="I241" i="2"/>
  <c r="L260" i="2"/>
  <c r="L342" i="2"/>
  <c r="K919" i="2"/>
  <c r="L1256" i="2"/>
  <c r="I42" i="2"/>
  <c r="I36" i="2"/>
  <c r="I695" i="2"/>
  <c r="K1029" i="2"/>
  <c r="I374" i="2"/>
  <c r="I135" i="2"/>
  <c r="I1065" i="2"/>
  <c r="K105" i="2"/>
  <c r="L440" i="2"/>
  <c r="I1021" i="2"/>
  <c r="L642" i="2"/>
  <c r="I128" i="2"/>
  <c r="L698" i="2"/>
  <c r="I791" i="2"/>
  <c r="K55" i="2"/>
  <c r="L1117" i="2"/>
  <c r="I258" i="2"/>
  <c r="K415" i="2"/>
  <c r="K155" i="2"/>
  <c r="I214" i="2"/>
  <c r="I747" i="2"/>
  <c r="L1050" i="2"/>
  <c r="K271" i="2"/>
  <c r="K161" i="2"/>
  <c r="I518" i="2"/>
  <c r="I61" i="2"/>
  <c r="K644" i="2"/>
  <c r="L721" i="2"/>
  <c r="I966" i="2"/>
  <c r="I956" i="2"/>
  <c r="I228" i="2"/>
  <c r="K1052" i="2"/>
  <c r="L595" i="2"/>
  <c r="I916" i="2"/>
  <c r="K57" i="2"/>
  <c r="K427" i="2"/>
  <c r="L383" i="2"/>
  <c r="I296" i="2"/>
  <c r="I523" i="2"/>
  <c r="I601" i="2"/>
  <c r="L82" i="2"/>
  <c r="I87" i="2"/>
  <c r="L1239" i="2"/>
  <c r="I788" i="2"/>
  <c r="L602" i="2"/>
  <c r="L563" i="2"/>
  <c r="I717" i="2"/>
  <c r="L126" i="2"/>
  <c r="I1162" i="2"/>
  <c r="K610" i="2"/>
  <c r="L459" i="2"/>
  <c r="K1106" i="2"/>
  <c r="I687" i="2"/>
  <c r="L21" i="2"/>
  <c r="I626" i="2"/>
  <c r="K629" i="2"/>
  <c r="L1235" i="2"/>
  <c r="I25" i="2"/>
  <c r="L991" i="2"/>
  <c r="K164" i="2"/>
  <c r="L601" i="2"/>
  <c r="L756" i="2"/>
  <c r="K1033" i="2"/>
  <c r="L367" i="2"/>
  <c r="I1063" i="2"/>
  <c r="I748" i="2"/>
  <c r="L294" i="2"/>
  <c r="I1211" i="2"/>
  <c r="L687" i="2"/>
  <c r="K159" i="2"/>
  <c r="L807" i="2"/>
  <c r="I663" i="2"/>
  <c r="I1007" i="2"/>
  <c r="K803" i="2"/>
  <c r="L678" i="2"/>
  <c r="L1242" i="2"/>
  <c r="L1218" i="2"/>
  <c r="L661" i="2"/>
  <c r="L859" i="2"/>
  <c r="I900" i="2"/>
  <c r="K974" i="2"/>
  <c r="L1011" i="2"/>
  <c r="L596" i="2"/>
  <c r="L334" i="2"/>
  <c r="I1202" i="2"/>
  <c r="I78" i="2"/>
  <c r="L351" i="2"/>
  <c r="L773" i="2"/>
  <c r="K180" i="2"/>
  <c r="I961" i="2"/>
  <c r="K398" i="2"/>
  <c r="I331" i="2"/>
  <c r="K626" i="2"/>
  <c r="K407" i="2"/>
  <c r="K1242" i="2"/>
  <c r="I506" i="2"/>
  <c r="L961" i="2"/>
  <c r="I270" i="2"/>
  <c r="K1040" i="2"/>
  <c r="I68" i="2"/>
  <c r="K295" i="2"/>
  <c r="L378" i="2"/>
  <c r="L50" i="2"/>
  <c r="I221" i="2"/>
  <c r="K246" i="2"/>
  <c r="K296" i="2"/>
  <c r="I783" i="2"/>
  <c r="L866" i="2"/>
  <c r="I866" i="2"/>
  <c r="I540" i="2"/>
  <c r="I974" i="2"/>
  <c r="L976" i="2"/>
  <c r="K1081" i="2"/>
  <c r="L696" i="2"/>
  <c r="K101" i="2"/>
  <c r="I6" i="2"/>
  <c r="L1103" i="2"/>
  <c r="K1079" i="2"/>
  <c r="L121" i="2"/>
  <c r="I408" i="2"/>
  <c r="L48" i="2"/>
  <c r="L592" i="2"/>
  <c r="K628" i="2"/>
  <c r="K148" i="2"/>
  <c r="K649" i="2"/>
  <c r="K1200" i="2"/>
  <c r="L759" i="2"/>
  <c r="L942" i="2"/>
  <c r="I152" i="2"/>
  <c r="I768" i="2"/>
  <c r="L803" i="2"/>
  <c r="L1083" i="2"/>
  <c r="I685" i="2"/>
  <c r="I299" i="2"/>
  <c r="L786" i="2"/>
  <c r="L163" i="2"/>
  <c r="L1197" i="2"/>
  <c r="K687" i="2"/>
  <c r="K197" i="2"/>
  <c r="K173" i="2"/>
  <c r="K126" i="2"/>
  <c r="I628" i="2"/>
  <c r="L587" i="2"/>
  <c r="K150" i="2"/>
  <c r="L154" i="2"/>
  <c r="I784" i="2"/>
  <c r="K383" i="2"/>
  <c r="I635" i="2"/>
  <c r="I682" i="2"/>
  <c r="L503" i="2"/>
  <c r="I555" i="2"/>
  <c r="I84" i="2"/>
  <c r="L1059" i="2"/>
  <c r="I997" i="2"/>
  <c r="K671" i="2"/>
  <c r="I442" i="2"/>
  <c r="L31" i="2"/>
  <c r="I1181" i="2"/>
  <c r="K1098" i="2"/>
  <c r="L647" i="2"/>
  <c r="L999" i="2"/>
  <c r="L1066" i="2"/>
  <c r="L360" i="2"/>
  <c r="K178" i="2"/>
  <c r="I851" i="2"/>
  <c r="I1177" i="2"/>
  <c r="I561" i="2"/>
  <c r="I1043" i="2"/>
  <c r="K546" i="2"/>
  <c r="L77" i="2"/>
  <c r="L741" i="2"/>
  <c r="L925" i="2"/>
  <c r="I488" i="2"/>
  <c r="I828" i="2"/>
  <c r="I126" i="2"/>
  <c r="K674" i="2"/>
  <c r="I915" i="2"/>
  <c r="I1219" i="2"/>
  <c r="K1088" i="2"/>
  <c r="I749" i="2"/>
  <c r="K980" i="2"/>
  <c r="I1061" i="2"/>
  <c r="L978" i="2"/>
  <c r="K1037" i="2"/>
  <c r="I976" i="2"/>
  <c r="L1057" i="2"/>
  <c r="L1054" i="2"/>
  <c r="L920" i="2"/>
  <c r="L683" i="2"/>
  <c r="L10" i="2"/>
  <c r="I1194" i="2"/>
  <c r="K1019" i="2"/>
  <c r="K1030" i="2"/>
  <c r="I991" i="2"/>
  <c r="I957" i="2"/>
  <c r="K36" i="2"/>
  <c r="K690" i="2"/>
  <c r="L536" i="2"/>
  <c r="L1036" i="2"/>
  <c r="L982" i="2"/>
  <c r="I779" i="2"/>
  <c r="I252" i="2"/>
  <c r="K982" i="2"/>
  <c r="L129" i="2"/>
  <c r="L755" i="2"/>
  <c r="L1073" i="2"/>
  <c r="I380" i="2"/>
  <c r="K1044" i="2"/>
  <c r="L624" i="2"/>
  <c r="I1171" i="2"/>
  <c r="L150" i="2"/>
  <c r="I1185" i="2"/>
  <c r="L745" i="2"/>
  <c r="I1209" i="2"/>
  <c r="L480" i="2"/>
  <c r="L1047" i="2"/>
  <c r="L343" i="2"/>
  <c r="L442" i="2"/>
  <c r="L727" i="2"/>
  <c r="I860" i="2"/>
  <c r="L223" i="2"/>
  <c r="K380" i="2"/>
  <c r="K625" i="2"/>
  <c r="L407" i="2"/>
  <c r="I868" i="2"/>
  <c r="L857" i="2"/>
  <c r="K996" i="2"/>
  <c r="L284" i="2"/>
  <c r="I1069" i="2"/>
  <c r="I538" i="2"/>
  <c r="K1074" i="2"/>
  <c r="I964" i="2"/>
  <c r="L528" i="2"/>
  <c r="L462" i="2"/>
  <c r="K1229" i="2"/>
  <c r="I1004" i="2"/>
  <c r="I1070" i="2"/>
  <c r="I1101" i="2"/>
  <c r="I835" i="2"/>
  <c r="K598" i="2"/>
  <c r="K925" i="2"/>
  <c r="I512" i="2"/>
  <c r="K47" i="2"/>
  <c r="L664" i="2"/>
  <c r="L88" i="2"/>
  <c r="I985" i="2"/>
  <c r="L259" i="2"/>
  <c r="I951" i="2"/>
  <c r="I11" i="2"/>
  <c r="K239" i="2"/>
  <c r="I1010" i="2"/>
  <c r="L211" i="2"/>
  <c r="I263" i="2"/>
  <c r="I1144" i="2"/>
  <c r="K703" i="2"/>
  <c r="I1047" i="2"/>
  <c r="I879" i="2"/>
  <c r="I1051" i="2"/>
  <c r="K1225" i="2"/>
  <c r="L168" i="2"/>
  <c r="I829" i="2"/>
  <c r="I906" i="2"/>
  <c r="I683" i="2"/>
  <c r="L71" i="2"/>
  <c r="L1085" i="2"/>
  <c r="L913" i="2"/>
  <c r="I781" i="2"/>
  <c r="I992" i="2"/>
  <c r="L589" i="2"/>
  <c r="I653" i="2"/>
  <c r="I503" i="2"/>
  <c r="L622" i="2"/>
  <c r="I546" i="2"/>
  <c r="I959" i="2"/>
  <c r="K707" i="2"/>
  <c r="I621" i="2"/>
  <c r="L1196" i="2"/>
  <c r="I869" i="2"/>
  <c r="I892" i="2"/>
  <c r="L60" i="2"/>
  <c r="K921" i="2"/>
  <c r="L499" i="2"/>
  <c r="I213" i="2"/>
  <c r="I1158" i="2"/>
  <c r="I500" i="2"/>
  <c r="I562" i="2"/>
  <c r="I912" i="2"/>
  <c r="I707" i="2"/>
  <c r="I1060" i="2"/>
  <c r="K1174" i="2"/>
  <c r="L64" i="2"/>
  <c r="I862" i="2"/>
  <c r="I632" i="2"/>
  <c r="I219" i="2"/>
  <c r="L417" i="2"/>
  <c r="K138" i="2"/>
  <c r="K1241" i="2"/>
  <c r="I1130" i="2"/>
  <c r="L1185" i="2"/>
  <c r="L1007" i="2"/>
  <c r="L1105" i="2"/>
  <c r="I1053" i="2"/>
  <c r="I1076" i="2"/>
  <c r="I1040" i="2"/>
  <c r="I366" i="2"/>
  <c r="I1255" i="2"/>
  <c r="L510" i="2"/>
  <c r="L108" i="2"/>
  <c r="L419" i="2"/>
  <c r="L1062" i="2"/>
  <c r="L1249" i="2"/>
  <c r="K967" i="2"/>
  <c r="L274" i="2"/>
  <c r="L984" i="2"/>
  <c r="L521" i="2"/>
  <c r="K185" i="2"/>
  <c r="L76" i="2"/>
  <c r="I1261" i="2"/>
  <c r="L750" i="2"/>
  <c r="K953" i="2"/>
  <c r="L98" i="2"/>
  <c r="I492" i="2"/>
  <c r="L893" i="2"/>
  <c r="K1085" i="2"/>
  <c r="I193" i="2"/>
  <c r="L1252" i="2"/>
  <c r="L1212" i="2"/>
  <c r="I1169" i="2"/>
  <c r="L353" i="2"/>
  <c r="I833" i="2"/>
  <c r="K963" i="2"/>
  <c r="L605" i="2"/>
  <c r="K1083" i="2"/>
  <c r="L566" i="2"/>
  <c r="I1238" i="2"/>
  <c r="L1069" i="2"/>
  <c r="I315" i="2"/>
  <c r="I243" i="2"/>
  <c r="I80" i="2"/>
  <c r="L448" i="2"/>
  <c r="L115" i="2"/>
  <c r="K1176" i="2"/>
  <c r="L207" i="2"/>
  <c r="L580" i="2"/>
  <c r="K981" i="2"/>
  <c r="K1192" i="2"/>
  <c r="L55" i="2"/>
  <c r="K627" i="2"/>
  <c r="L729" i="2"/>
  <c r="I1033" i="2"/>
  <c r="L842" i="2"/>
  <c r="I585" i="2"/>
  <c r="L582" i="2"/>
  <c r="K684" i="2"/>
  <c r="K64" i="2"/>
  <c r="L244" i="2"/>
  <c r="L136" i="2"/>
  <c r="I841" i="2"/>
  <c r="I484" i="2"/>
  <c r="L1090" i="2"/>
  <c r="I117" i="2"/>
  <c r="L508" i="2"/>
  <c r="I40" i="2"/>
  <c r="K12" i="2"/>
  <c r="K45" i="2"/>
  <c r="I723" i="2"/>
  <c r="L1021" i="2"/>
  <c r="L1075" i="2"/>
  <c r="L586" i="2"/>
  <c r="I531" i="2"/>
  <c r="L800" i="2"/>
  <c r="I845" i="2"/>
  <c r="L877" i="2"/>
  <c r="L431" i="2"/>
  <c r="K315" i="2"/>
  <c r="L872" i="2"/>
  <c r="I1156" i="2"/>
  <c r="L1171" i="2"/>
  <c r="I967" i="2"/>
  <c r="L955" i="2"/>
  <c r="L886" i="2"/>
  <c r="I1009" i="2"/>
  <c r="I1046" i="2"/>
  <c r="K430" i="2"/>
  <c r="K17" i="2"/>
  <c r="L420" i="2"/>
  <c r="I827" i="2"/>
  <c r="L333" i="2"/>
  <c r="I674" i="2"/>
  <c r="L166" i="2"/>
  <c r="I1260" i="2"/>
  <c r="L1116" i="2"/>
  <c r="L178" i="2"/>
  <c r="L430" i="2"/>
  <c r="K992" i="2"/>
  <c r="I406" i="2"/>
  <c r="L238" i="2"/>
  <c r="I925" i="2"/>
  <c r="I724" i="2"/>
  <c r="K75" i="2"/>
  <c r="L1229" i="2"/>
  <c r="I617" i="2"/>
  <c r="L80" i="2"/>
  <c r="L751" i="2"/>
  <c r="L1010" i="2"/>
  <c r="L197" i="2"/>
  <c r="I1092" i="2"/>
  <c r="I948" i="2"/>
  <c r="I482" i="2"/>
  <c r="L495" i="2"/>
  <c r="K190" i="2"/>
  <c r="I431" i="2"/>
  <c r="I559" i="2"/>
  <c r="L1214" i="2"/>
  <c r="K435" i="2"/>
  <c r="L1089" i="2"/>
  <c r="I1035" i="2"/>
  <c r="L1180" i="2"/>
  <c r="L1072" i="2"/>
  <c r="L1187" i="2"/>
  <c r="I207" i="2"/>
  <c r="I574" i="2"/>
  <c r="L414" i="2"/>
  <c r="L704" i="2"/>
  <c r="L138" i="2"/>
  <c r="L1076" i="2"/>
  <c r="K962" i="2"/>
  <c r="L973" i="2"/>
  <c r="K646" i="2"/>
  <c r="L288" i="2"/>
  <c r="K1099" i="2"/>
  <c r="K39" i="2"/>
  <c r="L41" i="2"/>
  <c r="K968" i="2"/>
  <c r="I759" i="2"/>
  <c r="I314" i="2"/>
  <c r="I525" i="2"/>
  <c r="L806" i="2"/>
  <c r="I373" i="2"/>
  <c r="K1189" i="2"/>
  <c r="K1216" i="2"/>
  <c r="I43" i="2"/>
  <c r="I106" i="2"/>
  <c r="K394" i="2"/>
  <c r="I359" i="2"/>
  <c r="L297" i="2"/>
  <c r="I1016" i="2"/>
  <c r="L463" i="2"/>
  <c r="L248" i="2"/>
  <c r="I505" i="2"/>
  <c r="L458" i="2"/>
  <c r="L471" i="2"/>
  <c r="I477" i="2"/>
  <c r="L675" i="2"/>
  <c r="I971" i="2"/>
  <c r="I502" i="2"/>
  <c r="K438" i="2"/>
  <c r="I1190" i="2"/>
  <c r="I226" i="2"/>
  <c r="I1199" i="2"/>
  <c r="L578" i="2"/>
  <c r="I595" i="2"/>
  <c r="I486" i="2"/>
  <c r="I51" i="2"/>
  <c r="I569" i="2"/>
  <c r="L530" i="2"/>
  <c r="L921" i="2"/>
  <c r="L104" i="2"/>
  <c r="L204" i="2"/>
  <c r="L1257" i="2"/>
  <c r="I345" i="2"/>
  <c r="K194" i="2"/>
  <c r="L547" i="2"/>
  <c r="I836" i="2"/>
  <c r="K1039" i="2"/>
  <c r="L173" i="2"/>
  <c r="L860" i="2"/>
  <c r="K451" i="2"/>
  <c r="I246" i="2"/>
  <c r="I479" i="2"/>
  <c r="I810" i="2"/>
  <c r="I386" i="2"/>
  <c r="L989" i="2"/>
  <c r="K458" i="2"/>
  <c r="L34" i="2"/>
  <c r="L273" i="2"/>
  <c r="I203" i="2"/>
  <c r="I822" i="2"/>
  <c r="L816" i="2"/>
  <c r="L734" i="2"/>
  <c r="I242" i="2"/>
  <c r="L883" i="2"/>
  <c r="L1017" i="2"/>
  <c r="K22" i="2"/>
  <c r="I1071" i="2"/>
  <c r="L469" i="2"/>
  <c r="I412" i="2"/>
  <c r="I660" i="2"/>
  <c r="I732" i="2"/>
  <c r="I908" i="2"/>
  <c r="I560" i="2"/>
  <c r="I95" i="2"/>
  <c r="K987" i="2"/>
  <c r="L702" i="2"/>
  <c r="L1207" i="2"/>
  <c r="L474" i="2"/>
  <c r="K708" i="2"/>
  <c r="I710" i="2"/>
  <c r="I713" i="2"/>
  <c r="K1207" i="2"/>
  <c r="K292" i="2"/>
  <c r="I59" i="2"/>
  <c r="I623" i="2"/>
  <c r="K473" i="2"/>
  <c r="L621" i="2"/>
  <c r="I1131" i="2"/>
  <c r="I391" i="2"/>
  <c r="I238" i="2"/>
  <c r="L703" i="2"/>
  <c r="I592" i="2"/>
  <c r="L796" i="2"/>
  <c r="L861" i="2"/>
  <c r="L85" i="2"/>
  <c r="I139" i="2"/>
  <c r="K1253" i="2"/>
  <c r="K669" i="2"/>
  <c r="K918" i="2"/>
  <c r="I9" i="2"/>
  <c r="L724" i="2"/>
  <c r="L1152" i="2"/>
  <c r="K661" i="2"/>
  <c r="L146" i="2"/>
  <c r="K248" i="2"/>
  <c r="L840" i="2"/>
  <c r="I1112" i="2"/>
  <c r="K99" i="2"/>
  <c r="K86" i="2"/>
  <c r="I859" i="2"/>
  <c r="L524" i="2"/>
  <c r="K1087" i="2"/>
  <c r="I910" i="2"/>
  <c r="I12" i="2"/>
  <c r="I44" i="2"/>
  <c r="K993" i="2"/>
  <c r="L1119" i="2"/>
  <c r="I1161" i="2"/>
  <c r="L1183" i="2"/>
  <c r="I348" i="2"/>
  <c r="I1246" i="2"/>
  <c r="I1066" i="2"/>
  <c r="I130" i="2"/>
  <c r="I458" i="2"/>
  <c r="K409" i="2"/>
  <c r="L810" i="2"/>
  <c r="K1198" i="2"/>
  <c r="I752" i="2"/>
  <c r="I176" i="2"/>
  <c r="K128" i="2"/>
  <c r="L701" i="2"/>
  <c r="I35" i="2"/>
  <c r="I1099" i="2"/>
  <c r="K314" i="2"/>
  <c r="L210" i="2"/>
  <c r="L760" i="2"/>
  <c r="K1032" i="2"/>
  <c r="L123" i="2"/>
  <c r="I64" i="2"/>
  <c r="I922" i="2"/>
  <c r="L985" i="2"/>
  <c r="I736" i="2"/>
  <c r="L951" i="2"/>
  <c r="I1038" i="2"/>
  <c r="K186" i="2"/>
  <c r="I725" i="2"/>
  <c r="I447" i="2"/>
  <c r="I696" i="2"/>
  <c r="I565" i="2"/>
  <c r="I870" i="2"/>
  <c r="I230" i="2"/>
  <c r="K431" i="2"/>
  <c r="K551" i="2"/>
  <c r="I1243" i="2"/>
  <c r="K160" i="2"/>
  <c r="L144" i="2"/>
  <c r="L222" i="2"/>
  <c r="I212" i="2"/>
  <c r="K1067" i="2"/>
  <c r="K913" i="2"/>
  <c r="I636" i="2"/>
  <c r="I113" i="2"/>
  <c r="K1217" i="2"/>
  <c r="L1209" i="2"/>
  <c r="I22" i="2"/>
  <c r="I665" i="2"/>
  <c r="L72" i="2"/>
  <c r="L631" i="2"/>
  <c r="L358" i="2"/>
  <c r="L1039" i="2"/>
  <c r="L15" i="2"/>
  <c r="I1024" i="2"/>
  <c r="I368" i="2"/>
  <c r="I1157" i="2"/>
  <c r="I1150" i="2"/>
  <c r="K1073" i="2"/>
  <c r="K1244" i="2"/>
  <c r="L1087" i="2"/>
  <c r="I727" i="2"/>
  <c r="L1246" i="2"/>
  <c r="L422" i="2"/>
  <c r="I986" i="2"/>
  <c r="I762" i="2"/>
  <c r="I886" i="2"/>
  <c r="L111" i="2"/>
  <c r="K608" i="2"/>
  <c r="I945" i="2"/>
  <c r="I782" i="2"/>
  <c r="I387" i="2"/>
  <c r="I1234" i="2"/>
  <c r="L87" i="2"/>
  <c r="K247" i="2"/>
  <c r="I861" i="2"/>
  <c r="L919" i="2"/>
  <c r="L235" i="2"/>
  <c r="I1102" i="2"/>
  <c r="I731" i="2"/>
  <c r="K468" i="2"/>
  <c r="L314" i="2"/>
  <c r="I599" i="2"/>
  <c r="L635" i="2"/>
  <c r="I371" i="2"/>
  <c r="K42" i="2"/>
  <c r="K636" i="2"/>
  <c r="L1149" i="2"/>
  <c r="L539" i="2"/>
  <c r="I826" i="2"/>
  <c r="L651" i="2"/>
  <c r="L850" i="2"/>
  <c r="L591" i="2"/>
  <c r="I149" i="2"/>
  <c r="L53" i="2"/>
  <c r="K1026" i="2"/>
  <c r="I418" i="2"/>
  <c r="L1169" i="2"/>
  <c r="L84" i="2"/>
  <c r="L1074" i="2"/>
  <c r="I615" i="2"/>
  <c r="K935" i="2"/>
  <c r="L79" i="2"/>
  <c r="I571" i="2"/>
  <c r="K1086" i="2"/>
  <c r="I254" i="2"/>
  <c r="I926" i="2"/>
  <c r="I245" i="2"/>
  <c r="I337" i="2"/>
  <c r="I26" i="2"/>
  <c r="L636" i="2"/>
  <c r="K20" i="2"/>
  <c r="I840" i="2"/>
  <c r="L672" i="2"/>
  <c r="I119" i="2"/>
  <c r="L728" i="2"/>
  <c r="L590" i="2"/>
  <c r="L923" i="2"/>
  <c r="I144" i="2"/>
  <c r="K96" i="2"/>
  <c r="I45" i="2"/>
  <c r="K657" i="2"/>
  <c r="L843" i="2"/>
  <c r="I476" i="2"/>
  <c r="I718" i="2"/>
  <c r="I1151" i="2"/>
  <c r="K166" i="2"/>
  <c r="L470" i="2"/>
  <c r="I229" i="2"/>
  <c r="I1159" i="2"/>
  <c r="L889" i="2"/>
  <c r="I224" i="2"/>
  <c r="K879" i="2"/>
  <c r="L617" i="2"/>
  <c r="I909" i="2"/>
  <c r="L839" i="2"/>
  <c r="L599" i="2"/>
  <c r="K1091" i="2"/>
  <c r="L532" i="2"/>
  <c r="L46" i="2"/>
  <c r="I1042" i="2"/>
  <c r="K472" i="2"/>
  <c r="I993" i="2"/>
  <c r="L1258" i="2"/>
  <c r="K464" i="2"/>
  <c r="L514" i="2"/>
  <c r="M1029" i="2"/>
  <c r="L864" i="2"/>
  <c r="L295" i="2"/>
  <c r="L464" i="2"/>
  <c r="K1193" i="2"/>
  <c r="K139" i="2"/>
  <c r="I709" i="2"/>
  <c r="K116" i="2"/>
  <c r="L1126" i="2"/>
  <c r="I643" i="2"/>
  <c r="L51" i="2"/>
  <c r="L195" i="2"/>
  <c r="I108" i="2"/>
  <c r="L884" i="2"/>
  <c r="L1231" i="2"/>
  <c r="I884" i="2"/>
  <c r="L645" i="2"/>
  <c r="I362" i="2"/>
  <c r="I850" i="2"/>
  <c r="L584" i="2"/>
  <c r="K83" i="2"/>
  <c r="L905" i="2"/>
  <c r="I729" i="2"/>
  <c r="I902" i="2"/>
  <c r="I1225" i="2"/>
  <c r="K78" i="2"/>
  <c r="I330" i="2"/>
  <c r="K450" i="2"/>
  <c r="L292" i="2"/>
  <c r="I1111" i="2"/>
  <c r="I1126" i="2"/>
  <c r="I123" i="2"/>
  <c r="L935" i="2"/>
  <c r="L344" i="2"/>
  <c r="K277" i="2"/>
  <c r="K614" i="2"/>
  <c r="I758" i="2"/>
  <c r="I733" i="2"/>
  <c r="I1110" i="2"/>
  <c r="L969" i="2"/>
  <c r="I583" i="2"/>
  <c r="L68" i="2"/>
  <c r="K951" i="2"/>
  <c r="K1104" i="2"/>
  <c r="L400" i="2"/>
  <c r="I461" i="2"/>
  <c r="K465" i="2"/>
  <c r="I678" i="2"/>
  <c r="I558" i="2"/>
  <c r="I463" i="2"/>
  <c r="L174" i="2"/>
  <c r="K376" i="2"/>
  <c r="L452" i="2"/>
  <c r="K688" i="2"/>
  <c r="I1081" i="2"/>
  <c r="I703" i="2"/>
  <c r="K480" i="2"/>
  <c r="I1079" i="2"/>
  <c r="L446" i="2"/>
  <c r="L183" i="2"/>
  <c r="L820" i="2"/>
  <c r="I1027" i="2"/>
  <c r="L931" i="2"/>
  <c r="L453" i="2"/>
  <c r="L268" i="2"/>
  <c r="I430" i="2"/>
  <c r="K169" i="2"/>
  <c r="L862" i="2"/>
  <c r="L484" i="2"/>
  <c r="L867" i="2"/>
  <c r="M1025" i="2"/>
  <c r="I1250" i="2"/>
  <c r="L199" i="2"/>
  <c r="L118" i="2"/>
  <c r="I1217" i="2"/>
  <c r="I580" i="2"/>
  <c r="I1183" i="2"/>
  <c r="L145" i="2"/>
  <c r="L1135" i="2"/>
  <c r="K663" i="2"/>
  <c r="K989" i="2"/>
  <c r="L808" i="2"/>
  <c r="I271" i="2"/>
  <c r="K959" i="2"/>
  <c r="I965" i="2"/>
  <c r="I444" i="2"/>
  <c r="L127" i="2"/>
  <c r="I847" i="2"/>
  <c r="I148" i="2"/>
  <c r="K454" i="2"/>
  <c r="L113" i="2"/>
  <c r="L1203" i="2"/>
  <c r="I125" i="2"/>
  <c r="K1215" i="2"/>
  <c r="I917" i="2"/>
  <c r="L169" i="2"/>
  <c r="L187" i="2"/>
  <c r="K424" i="2"/>
  <c r="L937" i="2"/>
  <c r="K167" i="2"/>
  <c r="K279" i="2"/>
  <c r="K1203" i="2"/>
  <c r="L299" i="2"/>
  <c r="K158" i="2"/>
  <c r="I344" i="2"/>
  <c r="K667" i="2"/>
  <c r="L1104" i="2"/>
  <c r="L489" i="2"/>
  <c r="I496" i="2"/>
  <c r="I634" i="2"/>
  <c r="L1237" i="2"/>
  <c r="L697" i="2"/>
  <c r="I499" i="2"/>
  <c r="I982" i="2"/>
  <c r="L396" i="2"/>
  <c r="K31" i="2"/>
  <c r="K8" i="2"/>
  <c r="L650" i="2"/>
  <c r="L746" i="2"/>
  <c r="I334" i="2"/>
  <c r="K1092" i="2"/>
  <c r="I1082" i="2"/>
  <c r="I1242" i="2"/>
  <c r="L712" i="2"/>
  <c r="I981" i="2"/>
  <c r="I1175" i="2"/>
  <c r="I1166" i="2"/>
  <c r="L967" i="2"/>
  <c r="I513" i="2"/>
  <c r="I1193" i="2"/>
  <c r="I85" i="2"/>
  <c r="L615" i="2"/>
  <c r="I1244" i="2"/>
  <c r="I899" i="2"/>
  <c r="L1192" i="2"/>
  <c r="I1019" i="2"/>
  <c r="K1069" i="2"/>
  <c r="K961" i="2"/>
  <c r="I1218" i="2"/>
  <c r="K984" i="2"/>
  <c r="K1180" i="2"/>
  <c r="L1177" i="2"/>
  <c r="L993" i="2"/>
  <c r="L940" i="2"/>
  <c r="K922" i="2"/>
  <c r="I352" i="2"/>
  <c r="I159" i="2"/>
  <c r="I888" i="2"/>
  <c r="K1045" i="2"/>
  <c r="K1255" i="2"/>
  <c r="I968" i="2"/>
  <c r="I855" i="2"/>
  <c r="I260" i="2"/>
  <c r="L1100" i="2"/>
  <c r="L1043" i="2"/>
  <c r="I37" i="2"/>
  <c r="K929" i="2"/>
  <c r="L1217" i="2"/>
  <c r="L213" i="2"/>
  <c r="L529" i="2"/>
  <c r="L485" i="2"/>
  <c r="K187" i="2"/>
  <c r="L1110" i="2"/>
  <c r="K120" i="2"/>
  <c r="I885" i="2"/>
  <c r="I495" i="2"/>
  <c r="K264" i="2"/>
  <c r="L731" i="2"/>
  <c r="K947" i="2"/>
  <c r="L393" i="2"/>
  <c r="L478" i="2"/>
  <c r="L501" i="2"/>
  <c r="L926" i="2"/>
  <c r="K51" i="2"/>
  <c r="L858" i="2"/>
  <c r="L520" i="2"/>
  <c r="I435" i="2"/>
  <c r="I356" i="2"/>
  <c r="L1259" i="2"/>
  <c r="I326" i="2"/>
  <c r="I853" i="2"/>
  <c r="L815" i="2"/>
  <c r="K35" i="2"/>
  <c r="K915" i="2"/>
  <c r="K655" i="2"/>
  <c r="I1137" i="2"/>
  <c r="L1084" i="2"/>
  <c r="L117" i="2"/>
  <c r="L202" i="2"/>
  <c r="I162" i="2"/>
  <c r="K232" i="2"/>
  <c r="K599" i="2"/>
  <c r="L616" i="2"/>
  <c r="I698" i="2"/>
  <c r="K705" i="2"/>
  <c r="L356" i="2"/>
  <c r="I62" i="2"/>
  <c r="K1027" i="2"/>
  <c r="L97" i="2"/>
  <c r="L1013" i="2"/>
  <c r="I92" i="2"/>
  <c r="L627" i="2"/>
  <c r="I156" i="2"/>
  <c r="I1146" i="2"/>
  <c r="K250" i="2"/>
  <c r="K30" i="2"/>
  <c r="I360" i="2"/>
  <c r="L770" i="2"/>
  <c r="L402" i="2"/>
  <c r="I350" i="2"/>
  <c r="L281" i="2"/>
  <c r="I746" i="2"/>
  <c r="L789" i="2"/>
  <c r="L57" i="2"/>
  <c r="L254" i="2"/>
  <c r="K437" i="2"/>
  <c r="I1087" i="2"/>
  <c r="L450" i="2"/>
  <c r="K580" i="2"/>
  <c r="L1260" i="2"/>
  <c r="I381" i="2"/>
  <c r="I460" i="2"/>
  <c r="K1211" i="2"/>
  <c r="L848" i="2"/>
  <c r="K1100" i="2"/>
  <c r="I1258" i="2"/>
  <c r="I279" i="2"/>
  <c r="L283" i="2"/>
  <c r="L1219" i="2"/>
  <c r="L907" i="2"/>
  <c r="I950" i="2"/>
  <c r="L1016" i="2"/>
  <c r="K1232" i="2"/>
  <c r="K1035" i="2"/>
  <c r="I397" i="2"/>
  <c r="L389" i="2"/>
  <c r="K377" i="2"/>
  <c r="L498" i="2"/>
  <c r="I1044" i="2"/>
  <c r="K113" i="2"/>
  <c r="L399" i="2"/>
  <c r="L29" i="2"/>
  <c r="L131" i="2"/>
  <c r="I465" i="2"/>
  <c r="L1141" i="2"/>
  <c r="L293" i="2"/>
  <c r="L849" i="2"/>
  <c r="I1022" i="2"/>
  <c r="I793" i="2"/>
  <c r="K9" i="2"/>
  <c r="I673" i="2"/>
  <c r="L1130" i="2"/>
  <c r="I164" i="2"/>
  <c r="K249" i="2"/>
  <c r="K730" i="2"/>
  <c r="K24" i="2"/>
  <c r="L239" i="2"/>
  <c r="I445" i="2"/>
  <c r="K388" i="2"/>
  <c r="L657" i="2"/>
  <c r="I1262" i="2"/>
  <c r="L1144" i="2"/>
  <c r="I1075" i="2"/>
  <c r="L225" i="2"/>
  <c r="I146" i="2"/>
  <c r="M1027" i="2"/>
  <c r="K656" i="2"/>
  <c r="K1059" i="2"/>
  <c r="L880" i="2"/>
  <c r="L680" i="2"/>
  <c r="L1184" i="2"/>
  <c r="K834" i="2"/>
  <c r="L337" i="2"/>
  <c r="K21" i="2"/>
  <c r="I237" i="2"/>
  <c r="I911" i="2"/>
  <c r="I786" i="2"/>
  <c r="L936" i="2"/>
  <c r="L231" i="2"/>
  <c r="L738" i="2"/>
  <c r="I800" i="2"/>
  <c r="L1044" i="2"/>
  <c r="I10" i="2"/>
  <c r="L1086" i="2"/>
  <c r="K414" i="2"/>
  <c r="L515" i="2"/>
  <c r="L142" i="2"/>
  <c r="I602" i="2"/>
  <c r="L86" i="2"/>
  <c r="I180" i="2"/>
  <c r="L646" i="2"/>
  <c r="I400" i="2"/>
  <c r="I89" i="2"/>
  <c r="I1124" i="2"/>
  <c r="K433" i="2"/>
  <c r="L640" i="2"/>
  <c r="I102" i="2"/>
  <c r="L272" i="2"/>
  <c r="L1049" i="2"/>
  <c r="K907" i="2"/>
  <c r="I544" i="2"/>
  <c r="K419" i="2"/>
  <c r="L133" i="2"/>
  <c r="L496" i="2"/>
  <c r="L1064" i="2"/>
  <c r="I953" i="2"/>
  <c r="I1201" i="2"/>
  <c r="I689" i="2"/>
  <c r="I1220" i="2"/>
  <c r="L54" i="2"/>
  <c r="K978" i="2"/>
  <c r="L188" i="2"/>
  <c r="L544" i="2"/>
  <c r="L1014" i="2"/>
  <c r="L784" i="2"/>
  <c r="K95" i="2"/>
  <c r="L835" i="2"/>
  <c r="K938" i="2"/>
  <c r="I1180" i="2"/>
  <c r="I97" i="2"/>
  <c r="I137" i="2"/>
  <c r="I655" i="2"/>
  <c r="I510" i="2"/>
  <c r="I537" i="2"/>
  <c r="K331" i="2"/>
  <c r="K286" i="2"/>
  <c r="K685" i="2"/>
  <c r="K916" i="2"/>
  <c r="I1147" i="2"/>
  <c r="K1041" i="2"/>
  <c r="L1080" i="2"/>
  <c r="L1101" i="2"/>
  <c r="K460" i="2"/>
  <c r="K694" i="2"/>
  <c r="K1060" i="2"/>
  <c r="K40" i="2"/>
  <c r="I370" i="2"/>
  <c r="K91" i="2"/>
  <c r="K683" i="2"/>
  <c r="L497" i="2"/>
  <c r="L954" i="2"/>
  <c r="L1018" i="2"/>
  <c r="I514" i="2"/>
  <c r="L765" i="2"/>
  <c r="L1136" i="2"/>
  <c r="L455" i="2"/>
  <c r="I1096" i="2"/>
  <c r="L998" i="2"/>
  <c r="I60" i="2"/>
  <c r="K44" i="2"/>
  <c r="L242" i="2"/>
  <c r="L768" i="2"/>
  <c r="L241" i="2"/>
  <c r="K257" i="2"/>
  <c r="I235" i="2"/>
  <c r="L1134" i="2"/>
  <c r="L165" i="2"/>
  <c r="L912" i="2"/>
  <c r="L411" i="2"/>
  <c r="I670" i="2"/>
  <c r="L538" i="2"/>
  <c r="I1257" i="2"/>
  <c r="K1062" i="2"/>
  <c r="I813" i="2"/>
  <c r="L795" i="2"/>
  <c r="K93" i="2"/>
  <c r="K104" i="2"/>
  <c r="I796" i="2"/>
  <c r="I1172" i="2"/>
  <c r="K70" i="2"/>
  <c r="K404" i="2"/>
  <c r="K74" i="2"/>
  <c r="L200" i="2"/>
  <c r="L1255" i="2"/>
  <c r="I215" i="2"/>
  <c r="K668" i="2"/>
  <c r="K934" i="2"/>
  <c r="I1223" i="2"/>
  <c r="I29" i="2"/>
  <c r="K926" i="2"/>
  <c r="K29" i="2"/>
  <c r="L425" i="2"/>
  <c r="L604" i="2"/>
  <c r="I799" i="2"/>
  <c r="I1122" i="2"/>
  <c r="I88" i="2"/>
  <c r="L206" i="2"/>
  <c r="I857" i="2"/>
  <c r="L557" i="2"/>
  <c r="I1028" i="2"/>
  <c r="L25" i="2"/>
  <c r="L1225" i="2"/>
  <c r="K440" i="2"/>
  <c r="K117" i="2"/>
  <c r="I66" i="2"/>
  <c r="K18" i="2"/>
  <c r="L279" i="2"/>
  <c r="K973" i="2"/>
  <c r="K1227" i="2"/>
  <c r="L681" i="2"/>
  <c r="L1201" i="2"/>
  <c r="L917" i="2"/>
  <c r="K265" i="2"/>
  <c r="L444" i="2"/>
  <c r="L271" i="2"/>
  <c r="L91" i="2"/>
  <c r="L836" i="2"/>
  <c r="I1226" i="2"/>
  <c r="L811" i="2"/>
  <c r="K38" i="2"/>
  <c r="L707" i="2"/>
  <c r="L1250" i="2"/>
  <c r="L99" i="2"/>
  <c r="K330" i="2"/>
  <c r="L522" i="2"/>
  <c r="I757" i="2"/>
  <c r="I210" i="2"/>
  <c r="L434" i="2"/>
  <c r="L1098" i="2"/>
  <c r="L1056" i="2"/>
  <c r="L924" i="2"/>
  <c r="I261" i="2"/>
  <c r="L500" i="2"/>
  <c r="K1249" i="2"/>
  <c r="I1103" i="2"/>
  <c r="I20" i="2"/>
  <c r="L257" i="2"/>
  <c r="L1107" i="2"/>
  <c r="L182" i="2"/>
  <c r="K41" i="2"/>
  <c r="K385" i="2"/>
  <c r="L740" i="2"/>
  <c r="K630" i="2"/>
  <c r="K245" i="2"/>
  <c r="I388" i="2"/>
  <c r="L75" i="2"/>
  <c r="K43" i="2"/>
  <c r="I31" i="2"/>
  <c r="I278" i="2"/>
  <c r="I527" i="2"/>
  <c r="I332" i="2"/>
  <c r="I223" i="2"/>
  <c r="K48" i="2"/>
  <c r="I918" i="2"/>
  <c r="I697" i="2"/>
  <c r="K940" i="2"/>
  <c r="L101" i="2"/>
  <c r="I664" i="2"/>
  <c r="I1249" i="2"/>
  <c r="K87" i="2"/>
  <c r="I281" i="2"/>
  <c r="K141" i="2"/>
  <c r="K112" i="2"/>
  <c r="I987" i="2"/>
  <c r="I1196" i="2"/>
  <c r="L228" i="2"/>
  <c r="I519" i="2"/>
  <c r="I294" i="2"/>
  <c r="I701" i="2"/>
  <c r="K387" i="2"/>
  <c r="I118" i="2"/>
  <c r="L375" i="2"/>
  <c r="I127" i="2"/>
  <c r="I526" i="2"/>
  <c r="K623" i="2"/>
  <c r="L22" i="2"/>
  <c r="K990" i="2"/>
  <c r="L543" i="2"/>
  <c r="I7" i="2"/>
  <c r="K445" i="2"/>
  <c r="L246" i="2"/>
  <c r="L473" i="2"/>
  <c r="K373" i="2"/>
  <c r="I563" i="2"/>
  <c r="L261" i="2"/>
  <c r="I582" i="2"/>
  <c r="I606" i="2"/>
  <c r="L493" i="2"/>
  <c r="K1012" i="2"/>
  <c r="I1119" i="2"/>
  <c r="K1016" i="2"/>
  <c r="L109" i="2"/>
  <c r="L1254" i="2"/>
  <c r="I1186" i="2"/>
  <c r="K1023" i="2"/>
  <c r="K1236" i="2"/>
  <c r="I72" i="2"/>
  <c r="I789" i="2"/>
  <c r="I815" i="2"/>
  <c r="K163" i="2"/>
  <c r="L606" i="2"/>
  <c r="L1006" i="2"/>
  <c r="L267" i="2"/>
  <c r="L1248" i="2"/>
  <c r="I1206" i="2"/>
  <c r="L437" i="2"/>
  <c r="L952" i="2"/>
  <c r="K639" i="2"/>
  <c r="L205" i="2"/>
  <c r="I1104" i="2"/>
  <c r="L1008" i="2"/>
  <c r="L802" i="2"/>
  <c r="K183" i="2"/>
  <c r="I177" i="2"/>
  <c r="K924" i="2"/>
  <c r="L394" i="2"/>
  <c r="L24" i="2"/>
  <c r="L674" i="2"/>
  <c r="I1252" i="2"/>
  <c r="L125" i="2"/>
  <c r="I947" i="2"/>
  <c r="I433" i="2"/>
  <c r="L78" i="2"/>
  <c r="L26" i="2"/>
  <c r="I464" i="2"/>
  <c r="L483" i="2"/>
  <c r="I803" i="2"/>
  <c r="L120" i="2"/>
  <c r="L418" i="2"/>
  <c r="I920" i="2"/>
  <c r="L482" i="2"/>
  <c r="K443" i="2"/>
  <c r="I333" i="2"/>
  <c r="K1057" i="2"/>
  <c r="L753" i="2"/>
  <c r="L709" i="2"/>
  <c r="K425" i="2"/>
  <c r="L684" i="2"/>
  <c r="K143" i="2"/>
  <c r="K66" i="2"/>
  <c r="I517" i="2"/>
  <c r="L552" i="2"/>
  <c r="I201" i="2"/>
  <c r="L620" i="2"/>
  <c r="L597" i="2"/>
  <c r="K971" i="2"/>
  <c r="L209" i="2"/>
  <c r="I91" i="2"/>
  <c r="L1251" i="2"/>
  <c r="L401" i="2"/>
  <c r="I438" i="2"/>
  <c r="I440" i="2"/>
  <c r="L386" i="2"/>
  <c r="I138" i="2"/>
  <c r="L1079" i="2"/>
  <c r="I1168" i="2"/>
  <c r="I901" i="2"/>
  <c r="K256" i="2"/>
  <c r="K405" i="2"/>
  <c r="L654" i="2"/>
  <c r="L643" i="2"/>
  <c r="I1143" i="2"/>
  <c r="L1194" i="2"/>
  <c r="K130" i="2"/>
  <c r="I421" i="2"/>
  <c r="L486" i="2"/>
  <c r="L341" i="2"/>
  <c r="L915" i="2"/>
  <c r="L488" i="2"/>
  <c r="K25" i="2"/>
  <c r="K956" i="2"/>
  <c r="I436" i="2"/>
  <c r="I1222" i="2"/>
  <c r="L548" i="2"/>
  <c r="K1243" i="2"/>
  <c r="I27" i="2"/>
  <c r="I667" i="2"/>
  <c r="I1135" i="2"/>
  <c r="L824" i="2"/>
  <c r="I980" i="2"/>
  <c r="L35" i="2"/>
  <c r="I933" i="2"/>
  <c r="I473" i="2"/>
  <c r="I1230" i="2"/>
  <c r="K188" i="2"/>
  <c r="I680" i="2"/>
  <c r="I393" i="2"/>
  <c r="K678" i="2"/>
  <c r="K72" i="2"/>
  <c r="I591" i="2"/>
  <c r="L767" i="2"/>
  <c r="K1234" i="2"/>
  <c r="L492" i="2"/>
  <c r="I581" i="2"/>
  <c r="L894" i="2"/>
  <c r="K1046" i="2"/>
  <c r="I376" i="2"/>
  <c r="K37" i="2"/>
  <c r="I858" i="2"/>
  <c r="L1167" i="2"/>
  <c r="I895" i="2"/>
  <c r="L962" i="2"/>
  <c r="I256" i="2"/>
  <c r="L1114" i="2"/>
  <c r="I1184" i="2"/>
  <c r="K274" i="2"/>
  <c r="I557" i="2"/>
  <c r="I932" i="2"/>
  <c r="L42" i="2"/>
  <c r="K927" i="2"/>
  <c r="K462" i="2"/>
  <c r="L361" i="2"/>
  <c r="L135" i="2"/>
  <c r="L934" i="2"/>
  <c r="I1084" i="2"/>
  <c r="I339" i="2"/>
  <c r="K453" i="2"/>
  <c r="K477" i="2"/>
  <c r="K392" i="2"/>
  <c r="L663" i="2"/>
  <c r="L771" i="2"/>
  <c r="I1170" i="2"/>
  <c r="L100" i="2"/>
  <c r="L1082" i="2"/>
  <c r="L780" i="2"/>
  <c r="L141" i="2"/>
  <c r="I536" i="2"/>
  <c r="L468" i="2"/>
  <c r="I940" i="2"/>
  <c r="I532" i="2"/>
  <c r="I656" i="2"/>
  <c r="I995" i="2"/>
  <c r="I903" i="2"/>
  <c r="I1095" i="2"/>
  <c r="K270" i="2"/>
  <c r="L1253" i="2"/>
  <c r="I1251" i="2"/>
  <c r="I1012" i="2"/>
  <c r="L511" i="2"/>
  <c r="K596" i="2"/>
  <c r="K1036" i="2"/>
  <c r="L506" i="2"/>
  <c r="L122" i="2"/>
  <c r="K911" i="2"/>
  <c r="L65" i="2"/>
  <c r="K908" i="2"/>
  <c r="I153" i="2"/>
  <c r="I234" i="2"/>
  <c r="I973" i="2"/>
  <c r="L1245" i="2"/>
  <c r="I420" i="2"/>
  <c r="K609" i="2"/>
  <c r="L579" i="2"/>
  <c r="I930" i="2"/>
  <c r="L12" i="2"/>
  <c r="L47" i="2"/>
  <c r="L477" i="2"/>
  <c r="L1240" i="2"/>
  <c r="K170" i="2"/>
  <c r="I1214" i="2"/>
  <c r="I100" i="2"/>
  <c r="K1177" i="2"/>
  <c r="I603" i="2"/>
  <c r="L1224" i="2"/>
  <c r="K937" i="2"/>
  <c r="L1223" i="2"/>
  <c r="I189" i="2"/>
  <c r="K1214" i="2"/>
  <c r="L763" i="2"/>
  <c r="K98" i="2"/>
  <c r="I96" i="2"/>
  <c r="I257" i="2"/>
  <c r="I23" i="2"/>
  <c r="L1179" i="2"/>
  <c r="I425" i="2"/>
  <c r="K1220" i="2"/>
  <c r="K1105" i="2"/>
  <c r="K547" i="2"/>
  <c r="I227" i="2"/>
  <c r="K653" i="2"/>
  <c r="M1026" i="2"/>
  <c r="L1140" i="2"/>
  <c r="I98" i="2"/>
  <c r="L1099" i="2"/>
  <c r="I466" i="2"/>
  <c r="L711" i="2"/>
  <c r="L134" i="2"/>
  <c r="L1094" i="2"/>
  <c r="K906" i="2"/>
  <c r="K255" i="2"/>
  <c r="K1089" i="2"/>
  <c r="K964" i="2"/>
  <c r="L128" i="2"/>
  <c r="I183" i="2"/>
  <c r="L735" i="2"/>
  <c r="L1045" i="2"/>
  <c r="K977" i="2"/>
  <c r="K1230" i="2"/>
  <c r="I594" i="2"/>
  <c r="I785" i="2"/>
  <c r="I382" i="2"/>
  <c r="L667" i="2"/>
  <c r="I1054" i="2"/>
  <c r="L817" i="2"/>
  <c r="L666" i="2"/>
  <c r="L381" i="2"/>
  <c r="K976" i="2"/>
  <c r="I684" i="2"/>
  <c r="L404" i="2"/>
  <c r="I309" i="2"/>
  <c r="L479" i="2"/>
  <c r="I99" i="2"/>
  <c r="K77" i="2"/>
  <c r="L794" i="2"/>
  <c r="I1224" i="2"/>
  <c r="L713" i="2"/>
  <c r="K736" i="2"/>
  <c r="L40" i="2"/>
  <c r="I79" i="2"/>
  <c r="K61" i="2"/>
  <c r="I208" i="2"/>
  <c r="I939" i="2"/>
  <c r="I854" i="2"/>
  <c r="L447" i="2"/>
  <c r="L958" i="2"/>
  <c r="K679" i="2"/>
  <c r="K263" i="2"/>
  <c r="L555" i="2"/>
  <c r="L157" i="2"/>
  <c r="I1059" i="2"/>
  <c r="I1253" i="2"/>
  <c r="L406" i="2"/>
  <c r="I780" i="2"/>
  <c r="I960" i="2"/>
  <c r="L637" i="2"/>
  <c r="I52" i="2"/>
  <c r="I410" i="2"/>
  <c r="I67" i="2"/>
  <c r="L841" i="2"/>
  <c r="K957" i="2"/>
  <c r="I248" i="2"/>
  <c r="L428" i="2"/>
  <c r="I649" i="2"/>
  <c r="I70" i="2"/>
  <c r="I451" i="2"/>
  <c r="L1004" i="2"/>
  <c r="L869" i="2"/>
  <c r="I455" i="2"/>
  <c r="L747" i="2"/>
  <c r="I977" i="2"/>
  <c r="L167" i="2"/>
  <c r="I1029" i="2"/>
  <c r="L837" i="2"/>
  <c r="I194" i="2"/>
  <c r="I1020" i="2"/>
  <c r="I1086" i="2"/>
  <c r="K401" i="2"/>
  <c r="L215" i="2"/>
  <c r="L1198" i="2"/>
  <c r="I990" i="2"/>
  <c r="L1166" i="2"/>
  <c r="L671" i="2"/>
  <c r="I944" i="2"/>
  <c r="L309" i="2"/>
  <c r="I690" i="2"/>
  <c r="I490" i="2"/>
  <c r="I134" i="2"/>
  <c r="K659" i="2"/>
  <c r="L445" i="2"/>
  <c r="K645" i="2"/>
  <c r="L32" i="2"/>
  <c r="I989" i="2"/>
  <c r="I1192" i="2"/>
  <c r="I545" i="2"/>
  <c r="L853" i="2"/>
  <c r="K1072" i="2"/>
  <c r="L782" i="2"/>
  <c r="I233" i="2"/>
  <c r="I867" i="2"/>
  <c r="L834" i="2"/>
  <c r="L198" i="2"/>
  <c r="K172" i="2"/>
  <c r="I712" i="2"/>
  <c r="K374" i="2"/>
  <c r="K706" i="2"/>
  <c r="L732" i="2"/>
  <c r="K1251" i="2"/>
  <c r="I1072" i="2"/>
  <c r="K281" i="2"/>
  <c r="K393" i="2"/>
  <c r="L336" i="2"/>
  <c r="K54" i="2"/>
  <c r="L170" i="2"/>
  <c r="I283" i="2"/>
  <c r="L234" i="2"/>
  <c r="L373" i="2"/>
  <c r="L1052" i="2"/>
  <c r="I367" i="2"/>
  <c r="K142" i="2"/>
  <c r="L705" i="2"/>
  <c r="I47" i="2"/>
  <c r="I880" i="2"/>
  <c r="L387" i="2"/>
  <c r="K958" i="2"/>
  <c r="K945" i="2"/>
  <c r="I253" i="2"/>
  <c r="I573" i="2"/>
  <c r="I413" i="2"/>
  <c r="I211" i="2"/>
  <c r="L1220" i="2"/>
  <c r="I434" i="2"/>
  <c r="I101" i="2"/>
  <c r="L1241" i="2"/>
  <c r="K1222" i="2"/>
  <c r="I389" i="2"/>
  <c r="K459" i="2"/>
  <c r="I232" i="2"/>
  <c r="I365" i="2"/>
  <c r="L1200" i="2"/>
  <c r="K192" i="2"/>
  <c r="I1050" i="2"/>
  <c r="L575" i="2"/>
  <c r="L413" i="2"/>
  <c r="I821" i="2"/>
  <c r="I722" i="2"/>
  <c r="L801" i="2"/>
  <c r="I428" i="2"/>
  <c r="K176" i="2"/>
  <c r="I204" i="2"/>
  <c r="K27" i="2"/>
  <c r="L255" i="2"/>
  <c r="L823" i="2"/>
  <c r="K114" i="2"/>
  <c r="I122" i="2"/>
  <c r="L1211" i="2"/>
  <c r="K910" i="2"/>
  <c r="K1258" i="2"/>
  <c r="I424" i="2"/>
  <c r="I699" i="2"/>
  <c r="L23" i="2"/>
  <c r="I692" i="2"/>
  <c r="I1149" i="2"/>
  <c r="K931" i="2"/>
  <c r="L1035" i="2"/>
  <c r="I1197" i="2"/>
  <c r="I792" i="2"/>
  <c r="K1113" i="2"/>
  <c r="L556" i="2"/>
  <c r="I1213" i="2"/>
  <c r="K1055" i="2"/>
  <c r="I639" i="2"/>
  <c r="I913" i="2"/>
  <c r="K363" i="2"/>
  <c r="L964" i="2"/>
  <c r="K1071" i="2"/>
  <c r="I437" i="2"/>
  <c r="L147" i="2"/>
  <c r="L725" i="2"/>
  <c r="I1228" i="2"/>
  <c r="I1077" i="2"/>
  <c r="L717" i="2"/>
  <c r="K156" i="2"/>
  <c r="L354" i="2"/>
  <c r="I394" i="2"/>
  <c r="L1077" i="2"/>
  <c r="L1139" i="2"/>
  <c r="L632" i="2"/>
  <c r="K125" i="2"/>
  <c r="L628" i="2"/>
  <c r="L186" i="2"/>
  <c r="K85" i="2"/>
  <c r="K297" i="2"/>
  <c r="L1042" i="2"/>
  <c r="L1078" i="2"/>
  <c r="K198" i="2"/>
  <c r="L201" i="2"/>
  <c r="I1133" i="2"/>
  <c r="I566" i="2"/>
  <c r="I441" i="2"/>
  <c r="K436" i="2"/>
  <c r="L330" i="2"/>
  <c r="K1017" i="2"/>
  <c r="L39" i="2"/>
  <c r="I681" i="2"/>
  <c r="L535" i="2"/>
  <c r="L278" i="2"/>
  <c r="I452" i="2"/>
  <c r="K1202" i="2"/>
  <c r="K127" i="2"/>
  <c r="I1031" i="2"/>
  <c r="L220" i="2"/>
  <c r="K652" i="2"/>
  <c r="I1241" i="2"/>
  <c r="L658" i="2"/>
  <c r="L638" i="2"/>
  <c r="K955" i="2"/>
  <c r="I842" i="2"/>
  <c r="K294" i="2"/>
  <c r="L264" i="2"/>
  <c r="I173" i="2"/>
  <c r="L1164" i="2"/>
  <c r="I1015" i="2"/>
  <c r="L688" i="2"/>
  <c r="L14" i="2"/>
  <c r="K174" i="2"/>
  <c r="I1142" i="2"/>
  <c r="L829" i="2"/>
  <c r="L831" i="2"/>
  <c r="I504" i="2"/>
  <c r="K288" i="2"/>
  <c r="K326" i="2"/>
  <c r="L546" i="2"/>
  <c r="K119" i="2"/>
  <c r="I969" i="2"/>
  <c r="I738" i="2"/>
  <c r="M1023" i="2"/>
  <c r="I832" i="2"/>
  <c r="I1141" i="2"/>
  <c r="K273" i="2"/>
  <c r="L250" i="2"/>
  <c r="I1026" i="2"/>
  <c r="I809" i="2"/>
  <c r="L132" i="2"/>
  <c r="I1085" i="2"/>
  <c r="I672" i="2"/>
  <c r="L743" i="2"/>
  <c r="L576" i="2"/>
  <c r="I1003" i="2"/>
  <c r="K429" i="2"/>
  <c r="I637" i="2"/>
  <c r="L232" i="2"/>
  <c r="L968" i="2"/>
  <c r="K600" i="2"/>
  <c r="L1178" i="2"/>
  <c r="I1013" i="2"/>
  <c r="I379" i="2"/>
  <c r="L1175" i="2"/>
  <c r="I1091" i="2"/>
  <c r="K193" i="2"/>
  <c r="K177" i="2"/>
  <c r="L987" i="2"/>
  <c r="I195" i="2"/>
  <c r="I937" i="2"/>
  <c r="I182" i="2"/>
  <c r="K389" i="2"/>
  <c r="I83" i="2"/>
  <c r="L449" i="2"/>
  <c r="L159" i="2"/>
  <c r="I107" i="2"/>
  <c r="I494" i="2"/>
  <c r="I8" i="2"/>
  <c r="L94" i="2"/>
  <c r="I192" i="2"/>
  <c r="L227" i="2"/>
  <c r="L971" i="2"/>
  <c r="I646" i="2"/>
  <c r="L928" i="2"/>
  <c r="L1189" i="2"/>
  <c r="I642" i="2"/>
  <c r="I157" i="2"/>
  <c r="L901" i="2"/>
  <c r="L62" i="2"/>
  <c r="K638" i="2"/>
  <c r="L764" i="2"/>
  <c r="L903" i="2"/>
  <c r="I57" i="2"/>
  <c r="K905" i="2"/>
  <c r="L416" i="2"/>
  <c r="L983" i="2"/>
  <c r="I797" i="2"/>
  <c r="K111" i="2"/>
  <c r="I1254" i="2"/>
  <c r="I1178" i="2"/>
  <c r="L148" i="2"/>
  <c r="I1240" i="2"/>
  <c r="I231" i="2"/>
  <c r="K67" i="2"/>
  <c r="I1118" i="2"/>
  <c r="K988" i="2"/>
  <c r="I392" i="2"/>
  <c r="L779" i="2"/>
  <c r="L975" i="2"/>
  <c r="I677" i="2"/>
  <c r="L593" i="2"/>
  <c r="I604" i="2"/>
  <c r="I764" i="2"/>
  <c r="L1038" i="2"/>
  <c r="I1165" i="2"/>
  <c r="K1187" i="2"/>
  <c r="L852" i="2"/>
  <c r="L236" i="2"/>
  <c r="I165" i="2"/>
  <c r="L720" i="2"/>
  <c r="L1053" i="2"/>
  <c r="I50" i="2"/>
  <c r="K585" i="2"/>
  <c r="I338" i="2"/>
  <c r="L107" i="2"/>
  <c r="L7" i="2"/>
  <c r="I405" i="2"/>
  <c r="K46" i="2"/>
  <c r="I622" i="2"/>
  <c r="I624" i="2"/>
  <c r="K268" i="2"/>
  <c r="K439" i="2"/>
  <c r="L124" i="2"/>
  <c r="I459" i="2"/>
  <c r="K691" i="2"/>
  <c r="L408" i="2"/>
  <c r="K1204" i="2"/>
  <c r="L569" i="2"/>
  <c r="I716" i="2"/>
  <c r="I605" i="2"/>
  <c r="I1187" i="2"/>
  <c r="I679" i="2"/>
  <c r="I120" i="2"/>
  <c r="L676" i="2"/>
  <c r="K420" i="2"/>
  <c r="I1048" i="2"/>
  <c r="L2" i="2"/>
  <c r="I407" i="2"/>
  <c r="L240" i="2"/>
  <c r="K402" i="2"/>
  <c r="L303" i="2"/>
  <c r="I1233" i="2"/>
  <c r="L549" i="2"/>
  <c r="L158" i="2"/>
  <c r="L813" i="2"/>
  <c r="I1163" i="2"/>
  <c r="K1068" i="2"/>
  <c r="I551" i="2"/>
  <c r="K647" i="2"/>
  <c r="K147" i="2"/>
  <c r="I19" i="2"/>
  <c r="L1228" i="2"/>
  <c r="I65" i="2"/>
  <c r="L89" i="2"/>
  <c r="I863" i="2"/>
  <c r="I1055" i="2"/>
  <c r="I818" i="2"/>
  <c r="K283" i="2"/>
  <c r="L845" i="2"/>
  <c r="L959" i="2"/>
  <c r="K1038" i="2"/>
  <c r="K133" i="2"/>
  <c r="L609" i="2"/>
  <c r="L277" i="2"/>
  <c r="I1056" i="2"/>
  <c r="L191" i="2"/>
  <c r="L435" i="2"/>
  <c r="I41" i="2"/>
  <c r="L895" i="2"/>
  <c r="L694" i="2"/>
  <c r="I938" i="2"/>
  <c r="I1195" i="2"/>
  <c r="K152" i="2"/>
  <c r="L130" i="2"/>
  <c r="L1247" i="2"/>
  <c r="L541" i="2"/>
  <c r="L772" i="2"/>
  <c r="I222" i="2"/>
  <c r="I576" i="2"/>
  <c r="L828" i="2"/>
  <c r="K677" i="2"/>
  <c r="L1127" i="2"/>
  <c r="I399" i="2"/>
  <c r="I1120" i="2"/>
  <c r="K474" i="2"/>
  <c r="K278" i="2"/>
  <c r="I774" i="2"/>
  <c r="L395" i="2"/>
  <c r="L626" i="2"/>
  <c r="I998" i="2"/>
  <c r="L1137" i="2"/>
  <c r="I1097" i="2"/>
  <c r="L339" i="2"/>
  <c r="K52" i="2"/>
  <c r="I1109" i="2"/>
  <c r="L362" i="2"/>
  <c r="I1229" i="2"/>
  <c r="K449" i="2"/>
  <c r="K457" i="2"/>
  <c r="K1056" i="2"/>
  <c r="I568" i="2"/>
  <c r="I914" i="2"/>
  <c r="I893" i="2"/>
  <c r="I143" i="2"/>
  <c r="L812" i="2"/>
  <c r="L744" i="2"/>
  <c r="K681" i="2"/>
  <c r="K476" i="2"/>
  <c r="K375" i="2"/>
  <c r="K1178" i="2"/>
  <c r="I882" i="2"/>
  <c r="I17" i="2"/>
  <c r="L832" i="2"/>
  <c r="I372" i="2"/>
  <c r="I753" i="2"/>
  <c r="I121" i="2"/>
  <c r="I654" i="2"/>
  <c r="K49" i="2"/>
  <c r="L1146" i="2"/>
  <c r="L423" i="2"/>
  <c r="L791" i="2"/>
  <c r="I530" i="2"/>
  <c r="L155" i="2"/>
  <c r="K550" i="2"/>
  <c r="I1235" i="2"/>
  <c r="L878" i="2"/>
  <c r="I584" i="2"/>
  <c r="L45" i="2"/>
  <c r="L910" i="2"/>
  <c r="L409" i="2"/>
  <c r="K1047" i="2"/>
  <c r="L749" i="2"/>
  <c r="I4" i="2"/>
  <c r="I239" i="2"/>
  <c r="I53" i="2"/>
  <c r="K1015" i="2"/>
  <c r="I483" i="2"/>
  <c r="K262" i="2"/>
  <c r="I650" i="2"/>
  <c r="L1159" i="2"/>
  <c r="K1064" i="2"/>
  <c r="K622" i="2"/>
  <c r="I983" i="2"/>
  <c r="K1054" i="2"/>
  <c r="I449" i="2"/>
  <c r="L776" i="2"/>
  <c r="I616" i="2"/>
  <c r="L542" i="2"/>
  <c r="L793" i="2"/>
  <c r="I1140" i="2"/>
  <c r="K461" i="2"/>
  <c r="I1215" i="2"/>
  <c r="I645" i="2"/>
  <c r="L761" i="2"/>
  <c r="L876" i="2"/>
  <c r="I439" i="2"/>
  <c r="I700" i="2"/>
  <c r="K704" i="2"/>
  <c r="I830" i="2"/>
  <c r="K428" i="2"/>
  <c r="K1097" i="2"/>
  <c r="L870" i="2"/>
  <c r="L641" i="2"/>
  <c r="L561" i="2"/>
  <c r="I662" i="2"/>
  <c r="L380" i="2"/>
  <c r="L472" i="2"/>
  <c r="L583" i="2"/>
  <c r="I907" i="2"/>
  <c r="I657" i="2"/>
  <c r="L929" i="2"/>
  <c r="I588" i="2"/>
  <c r="L81" i="2"/>
  <c r="I409" i="2"/>
  <c r="K584" i="2"/>
  <c r="L665" i="2"/>
  <c r="L366" i="2"/>
  <c r="L565" i="2"/>
  <c r="L329" i="2"/>
  <c r="K124" i="2"/>
  <c r="K406" i="2"/>
  <c r="I744" i="2"/>
  <c r="I240" i="2"/>
  <c r="K478" i="2"/>
  <c r="K444" i="2"/>
  <c r="L345" i="2"/>
  <c r="I936" i="2"/>
  <c r="I873" i="2"/>
  <c r="I1001" i="2"/>
  <c r="L139" i="2"/>
  <c r="L960" i="2"/>
  <c r="L114" i="2"/>
  <c r="K1221" i="2"/>
  <c r="K471" i="2"/>
  <c r="I1227" i="2"/>
  <c r="K316" i="2"/>
  <c r="L266" i="2"/>
  <c r="L648" i="2"/>
  <c r="L33" i="2"/>
  <c r="L629" i="2"/>
  <c r="L519" i="2"/>
  <c r="I719" i="2"/>
  <c r="I199" i="2"/>
  <c r="L410" i="2"/>
  <c r="L1208" i="2"/>
  <c r="L153" i="2"/>
  <c r="I516" i="2"/>
  <c r="I77" i="2"/>
  <c r="I480" i="2"/>
  <c r="K1101" i="2"/>
  <c r="I898" i="2"/>
  <c r="L1226" i="2"/>
  <c r="L16" i="2"/>
  <c r="L723" i="2"/>
  <c r="I542" i="2"/>
  <c r="I131" i="2"/>
  <c r="I1176" i="2"/>
  <c r="L282" i="2"/>
  <c r="K1070" i="2"/>
  <c r="I158" i="2"/>
  <c r="I522" i="2"/>
  <c r="L346" i="2"/>
  <c r="K637" i="2"/>
  <c r="L247" i="2"/>
  <c r="K1147" i="2"/>
  <c r="I446" i="2"/>
  <c r="K1058" i="2"/>
  <c r="I133" i="2"/>
  <c r="I1259" i="2"/>
  <c r="K59" i="2"/>
  <c r="L1244" i="2"/>
  <c r="L243" i="2"/>
  <c r="L49" i="2"/>
  <c r="I166" i="2"/>
  <c r="I843" i="2"/>
  <c r="I1145" i="2"/>
  <c r="I694" i="2"/>
  <c r="I742" i="2"/>
  <c r="L1097" i="2"/>
  <c r="L1170" i="2"/>
  <c r="K447" i="2"/>
  <c r="K1021" i="2"/>
  <c r="I358" i="2"/>
  <c r="K1219" i="2"/>
  <c r="I462" i="2"/>
  <c r="I929" i="2"/>
  <c r="L1168" i="2"/>
  <c r="K605" i="2"/>
  <c r="L390" i="2"/>
  <c r="K936" i="2"/>
  <c r="L412" i="2"/>
  <c r="I825" i="2"/>
  <c r="K680" i="2"/>
  <c r="L504" i="2"/>
  <c r="I186" i="2"/>
  <c r="K1126" i="2"/>
  <c r="I417" i="2"/>
  <c r="I743" i="2"/>
  <c r="I341" i="2"/>
  <c r="I575" i="2"/>
  <c r="L388" i="2"/>
  <c r="L460" i="2"/>
  <c r="I958" i="2"/>
  <c r="K970" i="2"/>
  <c r="K1184" i="2"/>
  <c r="I1203" i="2"/>
  <c r="I469" i="2"/>
  <c r="I217" i="2"/>
  <c r="I1083" i="2"/>
  <c r="I403" i="2"/>
  <c r="I145" i="2"/>
  <c r="K1011" i="2"/>
  <c r="L778" i="2"/>
  <c r="L722" i="2"/>
  <c r="K76" i="2"/>
  <c r="I521" i="2"/>
  <c r="L1067" i="2"/>
  <c r="K635" i="2"/>
  <c r="K1025" i="2"/>
  <c r="I453" i="2"/>
  <c r="L1145" i="2"/>
  <c r="I142" i="2"/>
  <c r="I454" i="2"/>
  <c r="L379" i="2"/>
  <c r="K434" i="2"/>
  <c r="L385" i="2"/>
  <c r="L614" i="2"/>
  <c r="I838" i="2"/>
  <c r="I73" i="2"/>
  <c r="I798" i="2"/>
  <c r="I236" i="2"/>
  <c r="I58" i="2"/>
  <c r="I579" i="2"/>
  <c r="I572" i="2"/>
  <c r="I820" i="2"/>
  <c r="I1139" i="2"/>
  <c r="I264" i="2"/>
  <c r="I659" i="2"/>
  <c r="I772" i="2"/>
  <c r="I1221" i="2"/>
  <c r="L788" i="2"/>
  <c r="K16" i="2"/>
  <c r="K157" i="2"/>
  <c r="I972" i="2"/>
  <c r="I823" i="2"/>
  <c r="L774" i="2"/>
  <c r="I553" i="2"/>
  <c r="L443" i="2"/>
  <c r="L270" i="2"/>
  <c r="L374" i="2"/>
  <c r="L253" i="2"/>
  <c r="K1077" i="2"/>
  <c r="I834" i="2"/>
  <c r="I919" i="2"/>
  <c r="L369" i="2"/>
  <c r="K403" i="2"/>
  <c r="L276" i="2"/>
  <c r="L612" i="2"/>
  <c r="I114" i="2"/>
  <c r="I741" i="2"/>
  <c r="I336" i="2"/>
  <c r="K631" i="2"/>
  <c r="K121" i="2"/>
  <c r="I669" i="2"/>
  <c r="L218" i="2"/>
  <c r="I769" i="2"/>
  <c r="L930" i="2"/>
  <c r="I244" i="2"/>
  <c r="K26" i="2"/>
  <c r="K1043" i="2"/>
  <c r="I897" i="2"/>
  <c r="L1155" i="2"/>
  <c r="L221" i="2"/>
  <c r="I1078" i="2"/>
  <c r="I282" i="2"/>
  <c r="I54" i="2"/>
  <c r="I610" i="2"/>
  <c r="K1218" i="2"/>
  <c r="I629" i="2"/>
  <c r="K612" i="2"/>
  <c r="I934" i="2"/>
  <c r="L466" i="2"/>
  <c r="K1102" i="2"/>
  <c r="K68" i="2"/>
  <c r="L13" i="2"/>
  <c r="L245" i="2"/>
  <c r="I1088" i="2"/>
  <c r="I648" i="2"/>
  <c r="L1227" i="2"/>
  <c r="I795" i="2"/>
  <c r="L714" i="2"/>
  <c r="L481" i="2"/>
  <c r="I520" i="2"/>
  <c r="K505" i="2"/>
  <c r="I497" i="2"/>
  <c r="I1153" i="2"/>
  <c r="I168" i="2"/>
  <c r="I104" i="2"/>
  <c r="I777" i="2"/>
  <c r="K701" i="2"/>
  <c r="I676" i="2"/>
  <c r="I501" i="2"/>
  <c r="L433" i="2"/>
  <c r="I161" i="2"/>
  <c r="K179" i="2"/>
  <c r="I485" i="2"/>
  <c r="I111" i="2"/>
  <c r="L296" i="2"/>
  <c r="L377" i="2"/>
  <c r="L59" i="2"/>
  <c r="L653" i="2"/>
  <c r="I1030" i="2"/>
  <c r="K132" i="2"/>
  <c r="L432" i="2"/>
  <c r="L4" i="2"/>
  <c r="I721" i="2"/>
  <c r="I817" i="2"/>
  <c r="I1080" i="2"/>
  <c r="I543" i="2"/>
  <c r="L965" i="2"/>
  <c r="L116" i="2"/>
  <c r="L551" i="2"/>
  <c r="I1005" i="2"/>
  <c r="L719" i="2"/>
  <c r="I735" i="2"/>
  <c r="K171" i="2"/>
  <c r="I151" i="2"/>
  <c r="L326" i="2"/>
  <c r="I1127" i="2"/>
  <c r="K272" i="2"/>
  <c r="L531" i="2"/>
  <c r="I737" i="2"/>
  <c r="I891" i="2"/>
  <c r="L1232" i="2"/>
  <c r="L415" i="2"/>
  <c r="K400" i="2"/>
  <c r="L754" i="2"/>
  <c r="I872" i="2"/>
  <c r="I167" i="2"/>
  <c r="L491" i="2"/>
  <c r="K463" i="2"/>
  <c r="L61" i="2"/>
  <c r="I355" i="2"/>
  <c r="I529" i="2"/>
  <c r="I1129" i="2"/>
  <c r="K648" i="2"/>
  <c r="L882" i="2"/>
  <c r="I1182" i="2"/>
  <c r="I1098" i="2"/>
  <c r="K137" i="2"/>
  <c r="I276" i="2"/>
  <c r="K917" i="2"/>
  <c r="K244" i="2"/>
  <c r="K1107" i="2"/>
  <c r="L83" i="2"/>
  <c r="L581" i="2"/>
  <c r="L944" i="2"/>
  <c r="I1032" i="2"/>
  <c r="I262" i="2"/>
  <c r="L56" i="2"/>
  <c r="L1143" i="2"/>
  <c r="I1045" i="2"/>
  <c r="L668" i="2"/>
  <c r="L214" i="2"/>
  <c r="K100" i="2"/>
  <c r="I411" i="2"/>
  <c r="L748" i="2"/>
  <c r="K282" i="2"/>
  <c r="K991" i="2"/>
  <c r="I1232" i="2"/>
  <c r="I979" i="2"/>
  <c r="L233" i="2"/>
  <c r="K932" i="2"/>
  <c r="L534" i="2"/>
  <c r="L695" i="2"/>
  <c r="K195" i="2"/>
  <c r="K266" i="2"/>
  <c r="K912" i="2"/>
  <c r="I706" i="2"/>
  <c r="I288" i="2"/>
  <c r="K960" i="2"/>
  <c r="I375" i="2"/>
  <c r="K417" i="2"/>
  <c r="I745" i="2"/>
  <c r="L177" i="2"/>
  <c r="K134" i="2"/>
  <c r="I354" i="2"/>
  <c r="I946" i="2"/>
  <c r="K1053" i="2"/>
  <c r="L927" i="2"/>
  <c r="L1070" i="2"/>
  <c r="L219" i="2"/>
  <c r="L818" i="2"/>
  <c r="I1115" i="2"/>
  <c r="K1197" i="2"/>
  <c r="L690" i="2"/>
  <c r="I481" i="2"/>
  <c r="K14" i="2"/>
  <c r="L1261" i="2"/>
  <c r="I539" i="2"/>
  <c r="I140" i="2"/>
  <c r="I651" i="2"/>
  <c r="L27" i="2"/>
  <c r="I1114" i="2"/>
  <c r="I306" i="2"/>
  <c r="I548" i="2"/>
  <c r="I251" i="2"/>
  <c r="L950" i="2"/>
  <c r="K506" i="2"/>
  <c r="I90" i="2"/>
  <c r="I1134" i="2"/>
  <c r="L662" i="2"/>
  <c r="I81" i="2"/>
  <c r="K306" i="2"/>
  <c r="I770" i="2"/>
  <c r="L171" i="2"/>
  <c r="L914" i="2"/>
  <c r="I1037" i="2"/>
  <c r="K259" i="2"/>
  <c r="L986" i="2"/>
  <c r="L550" i="2"/>
  <c r="L112" i="2"/>
  <c r="K675" i="2"/>
  <c r="L554" i="2"/>
  <c r="I1155" i="2"/>
  <c r="L1106" i="2"/>
  <c r="K1080" i="2"/>
  <c r="I316" i="2"/>
  <c r="I255" i="2"/>
  <c r="L1162" i="2"/>
  <c r="I432" i="2"/>
  <c r="I600" i="2"/>
  <c r="K452" i="2"/>
  <c r="L1000" i="2"/>
  <c r="M1028" i="2"/>
  <c r="I889" i="2"/>
  <c r="L1160" i="2"/>
  <c r="K379" i="2"/>
  <c r="K624" i="2"/>
  <c r="I593" i="2"/>
  <c r="K79" i="2"/>
  <c r="L1093" i="2"/>
  <c r="L439" i="2"/>
  <c r="L1095" i="2"/>
  <c r="K1084" i="2"/>
  <c r="L781" i="2"/>
  <c r="L258" i="2"/>
  <c r="I776" i="2"/>
  <c r="L949" i="2"/>
  <c r="I778" i="2"/>
  <c r="I427" i="2"/>
  <c r="L947" i="2"/>
  <c r="K1048" i="2"/>
  <c r="L752" i="2"/>
  <c r="I686" i="2"/>
  <c r="I472" i="2"/>
  <c r="K309" i="2"/>
  <c r="I286" i="2"/>
  <c r="L885" i="2"/>
  <c r="I141" i="2"/>
  <c r="L679" i="2"/>
  <c r="K1014" i="2"/>
  <c r="I28" i="2"/>
  <c r="I739" i="2"/>
  <c r="I831" i="2"/>
  <c r="L559" i="2"/>
  <c r="I883" i="2"/>
  <c r="K149" i="2"/>
  <c r="K69" i="2"/>
  <c r="K1140" i="2"/>
  <c r="L1091" i="2"/>
  <c r="L957" i="2"/>
  <c r="L762" i="2"/>
  <c r="I267" i="2"/>
  <c r="K1260" i="2"/>
  <c r="L787" i="2"/>
  <c r="K15" i="2"/>
  <c r="I608" i="2"/>
  <c r="L164" i="2"/>
  <c r="K191" i="2"/>
  <c r="L887" i="2"/>
  <c r="I93" i="2"/>
  <c r="I508" i="2"/>
  <c r="I801" i="2"/>
  <c r="I805" i="2"/>
  <c r="L523" i="2"/>
  <c r="I171" i="2"/>
  <c r="I596" i="2"/>
  <c r="I943" i="2"/>
  <c r="I136" i="2"/>
  <c r="L475" i="2"/>
  <c r="K1051" i="2"/>
  <c r="I103" i="2"/>
  <c r="I277" i="2"/>
  <c r="I814" i="2"/>
  <c r="L208" i="2"/>
  <c r="L798" i="2"/>
  <c r="I1014" i="2"/>
  <c r="I875" i="2"/>
  <c r="I871" i="2"/>
  <c r="I1136" i="2"/>
  <c r="I535" i="2"/>
  <c r="K175" i="2"/>
  <c r="I69" i="2"/>
  <c r="L1199" i="2"/>
  <c r="L716" i="2"/>
  <c r="K933" i="2"/>
  <c r="L992" i="2"/>
  <c r="K1001" i="2"/>
  <c r="I1245" i="2"/>
  <c r="L1020" i="2"/>
  <c r="L193" i="2"/>
  <c r="K470" i="2"/>
  <c r="L904" i="2"/>
  <c r="K965" i="2"/>
  <c r="I205" i="2"/>
  <c r="K985" i="2"/>
  <c r="L502" i="2"/>
  <c r="L726" i="2"/>
  <c r="I921" i="2"/>
  <c r="K122" i="2"/>
  <c r="K258" i="2"/>
  <c r="I5" i="2"/>
  <c r="L809" i="2"/>
  <c r="L316" i="2"/>
  <c r="K1201" i="2"/>
  <c r="I39" i="2"/>
  <c r="L1172" i="2"/>
  <c r="L1071" i="2"/>
  <c r="L1068" i="2"/>
  <c r="L677" i="2"/>
  <c r="K410" i="2"/>
  <c r="K952" i="2"/>
  <c r="L710" i="2"/>
  <c r="K975" i="2"/>
  <c r="I1023" i="2"/>
  <c r="I631" i="2"/>
  <c r="L1142" i="2"/>
  <c r="L1065" i="2"/>
  <c r="K1095" i="2"/>
  <c r="L5" i="2"/>
  <c r="I423" i="2"/>
  <c r="K994" i="2"/>
  <c r="I691" i="2"/>
  <c r="L3" i="2"/>
  <c r="L847" i="2"/>
  <c r="K168" i="2"/>
  <c r="I1123" i="2"/>
  <c r="K1190" i="2"/>
  <c r="L92" i="2"/>
  <c r="I1025" i="2"/>
  <c r="L766" i="2"/>
  <c r="L38" i="2"/>
  <c r="L863" i="2"/>
  <c r="I71" i="2"/>
  <c r="L1138" i="2"/>
  <c r="I1067" i="2"/>
  <c r="L1061" i="2"/>
  <c r="I49" i="2"/>
  <c r="K1143" i="2"/>
  <c r="K199" i="2"/>
  <c r="I671" i="2"/>
  <c r="K53" i="2"/>
  <c r="K1196" i="2"/>
  <c r="K920" i="2"/>
  <c r="I443" i="2"/>
  <c r="L17" i="2"/>
  <c r="L143" i="2"/>
  <c r="L9" i="2"/>
  <c r="L365" i="2"/>
  <c r="I1073" i="2"/>
  <c r="I612" i="2"/>
  <c r="I1105" i="2"/>
  <c r="I755" i="2"/>
  <c r="I24" i="2"/>
  <c r="I404" i="2"/>
  <c r="I160" i="2"/>
  <c r="K118" i="2"/>
  <c r="L990" i="2"/>
  <c r="K1061" i="2"/>
  <c r="I1237" i="2"/>
  <c r="L827" i="2"/>
  <c r="L1124" i="2"/>
  <c r="I767" i="2"/>
  <c r="L217" i="2"/>
  <c r="K165" i="2"/>
  <c r="L216" i="2"/>
  <c r="I999" i="2"/>
  <c r="I377" i="2"/>
  <c r="K442" i="2"/>
  <c r="K615" i="2"/>
  <c r="I1200" i="2"/>
  <c r="L160" i="2"/>
  <c r="I627" i="2"/>
  <c r="K115" i="2"/>
  <c r="K1238" i="2"/>
  <c r="L494" i="2"/>
  <c r="L465" i="2"/>
  <c r="I1058" i="2"/>
  <c r="L623" i="2"/>
  <c r="L190" i="2"/>
  <c r="I342" i="2"/>
  <c r="L74" i="2"/>
  <c r="I1094" i="2"/>
  <c r="I364" i="2"/>
  <c r="K181" i="2"/>
  <c r="L600" i="2"/>
  <c r="K1050" i="2"/>
  <c r="I116" i="2"/>
  <c r="L1005" i="2"/>
  <c r="I429" i="2"/>
  <c r="L1019" i="2"/>
  <c r="I206" i="2"/>
  <c r="I658" i="2"/>
  <c r="L896" i="2"/>
  <c r="L251" i="2"/>
  <c r="I383" i="2"/>
  <c r="K640" i="2"/>
  <c r="K914" i="2"/>
  <c r="L571" i="2"/>
  <c r="L585" i="2"/>
  <c r="I384" i="2"/>
  <c r="L152" i="2"/>
  <c r="I597" i="2"/>
  <c r="K269" i="2"/>
  <c r="K664" i="2"/>
  <c r="L562" i="2"/>
  <c r="L286" i="2"/>
  <c r="L1190" i="2"/>
  <c r="L1033" i="2"/>
  <c r="I970" i="2"/>
  <c r="K1003" i="2"/>
  <c r="I586" i="2"/>
  <c r="I1236" i="2"/>
  <c r="K455" i="2"/>
  <c r="I675" i="2"/>
  <c r="L564" i="2"/>
  <c r="L331" i="2"/>
  <c r="K643" i="2"/>
  <c r="L1182" i="2"/>
  <c r="I852" i="2"/>
  <c r="L844" i="2"/>
  <c r="I630" i="2"/>
  <c r="I174" i="2"/>
  <c r="L175" i="2"/>
  <c r="L1204" i="2"/>
  <c r="I361" i="2"/>
  <c r="I154" i="2"/>
  <c r="I390" i="2"/>
  <c r="K1103" i="2"/>
  <c r="K384" i="2"/>
  <c r="I787" i="2"/>
  <c r="L70" i="2"/>
  <c r="I426" i="2"/>
  <c r="K693" i="2"/>
  <c r="K1065" i="2"/>
  <c r="I1154" i="2"/>
  <c r="I471" i="2"/>
  <c r="I402" i="2"/>
  <c r="I864" i="2"/>
  <c r="L526" i="2"/>
  <c r="I954" i="2"/>
  <c r="L1165" i="2"/>
  <c r="I292" i="2"/>
  <c r="L814" i="2"/>
  <c r="I541" i="2"/>
  <c r="L436" i="2"/>
  <c r="L291" i="2"/>
  <c r="I547" i="2"/>
  <c r="L93" i="2"/>
  <c r="L359" i="2"/>
  <c r="K123" i="2"/>
  <c r="I155" i="2"/>
  <c r="I949" i="2"/>
  <c r="I994" i="2"/>
  <c r="I802" i="2"/>
  <c r="I763" i="2"/>
  <c r="L871" i="2"/>
  <c r="I614" i="2"/>
  <c r="I369" i="2"/>
  <c r="I249" i="2"/>
  <c r="L656" i="2"/>
  <c r="I1132" i="2"/>
  <c r="L1202" i="2"/>
  <c r="I806" i="2"/>
  <c r="I250" i="2"/>
  <c r="I198" i="2"/>
  <c r="K616" i="2"/>
  <c r="L1230" i="2"/>
  <c r="K1090" i="2"/>
  <c r="L73" i="2"/>
  <c r="K1226" i="2"/>
  <c r="L897" i="2"/>
  <c r="I33" i="2"/>
  <c r="L1176" i="2"/>
  <c r="I734" i="2"/>
  <c r="I353" i="2"/>
  <c r="I771" i="2"/>
  <c r="K507" i="2"/>
  <c r="L96" i="2"/>
  <c r="I554" i="2"/>
  <c r="L1234" i="2"/>
  <c r="K154" i="2"/>
  <c r="L700" i="2"/>
  <c r="K97" i="2"/>
  <c r="L368" i="2"/>
  <c r="I846" i="2"/>
  <c r="I268" i="2"/>
  <c r="I1090" i="2"/>
  <c r="K201" i="2"/>
  <c r="I188" i="2"/>
  <c r="I877" i="2"/>
  <c r="I702" i="2"/>
  <c r="K136" i="2"/>
  <c r="I807" i="2"/>
  <c r="L682" i="2"/>
  <c r="I638" i="2"/>
  <c r="I849" i="2"/>
  <c r="K479" i="2"/>
  <c r="J849" i="2" l="1"/>
  <c r="J638" i="2"/>
  <c r="J807" i="2"/>
  <c r="J702" i="2"/>
  <c r="J877" i="2"/>
  <c r="J188" i="2"/>
  <c r="J1090" i="2"/>
  <c r="J268" i="2"/>
  <c r="J846" i="2"/>
  <c r="J554" i="2"/>
  <c r="J771" i="2"/>
  <c r="J353" i="2"/>
  <c r="J734" i="2"/>
  <c r="J33" i="2"/>
  <c r="J198" i="2"/>
  <c r="J250" i="2"/>
  <c r="J806" i="2"/>
  <c r="J1132" i="2"/>
  <c r="J249" i="2"/>
  <c r="J369" i="2"/>
  <c r="J614" i="2"/>
  <c r="J763" i="2"/>
  <c r="J802" i="2"/>
  <c r="J994" i="2"/>
  <c r="J949" i="2"/>
  <c r="J155" i="2"/>
  <c r="J547" i="2"/>
  <c r="J541" i="2"/>
  <c r="J292" i="2"/>
  <c r="J954" i="2"/>
  <c r="J864" i="2"/>
  <c r="J402" i="2"/>
  <c r="J471" i="2"/>
  <c r="J1154" i="2"/>
  <c r="J426" i="2"/>
  <c r="J787" i="2"/>
  <c r="J390" i="2"/>
  <c r="J154" i="2"/>
  <c r="J361" i="2"/>
  <c r="J174" i="2"/>
  <c r="J630" i="2"/>
  <c r="J852" i="2"/>
  <c r="J675" i="2"/>
  <c r="J1236" i="2"/>
  <c r="J586" i="2"/>
  <c r="J970" i="2"/>
  <c r="J597" i="2"/>
  <c r="J384" i="2"/>
  <c r="J383" i="2"/>
  <c r="J658" i="2"/>
  <c r="J206" i="2"/>
  <c r="J429" i="2"/>
  <c r="J116" i="2"/>
  <c r="J364" i="2"/>
  <c r="J1094" i="2"/>
  <c r="J342" i="2"/>
  <c r="J1058" i="2"/>
  <c r="J627" i="2"/>
  <c r="J1200" i="2"/>
  <c r="J377" i="2"/>
  <c r="J999" i="2"/>
  <c r="J767" i="2"/>
  <c r="J1237" i="2"/>
  <c r="J160" i="2"/>
  <c r="J404" i="2"/>
  <c r="J24" i="2"/>
  <c r="J755" i="2"/>
  <c r="J1105" i="2"/>
  <c r="J612" i="2"/>
  <c r="J1073" i="2"/>
  <c r="J443" i="2"/>
  <c r="J671" i="2"/>
  <c r="J49" i="2"/>
  <c r="J1067" i="2"/>
  <c r="J71" i="2"/>
  <c r="J1025" i="2"/>
  <c r="J1123" i="2"/>
  <c r="J691" i="2"/>
  <c r="J423" i="2"/>
  <c r="J631" i="2"/>
  <c r="J1023" i="2"/>
  <c r="J39" i="2"/>
  <c r="J5" i="2"/>
  <c r="J921" i="2"/>
  <c r="J205" i="2"/>
  <c r="J1245" i="2"/>
  <c r="J69" i="2"/>
  <c r="J535" i="2"/>
  <c r="J1136" i="2"/>
  <c r="J871" i="2"/>
  <c r="J875" i="2"/>
  <c r="J1014" i="2"/>
  <c r="J814" i="2"/>
  <c r="J277" i="2"/>
  <c r="J103" i="2"/>
  <c r="J136" i="2"/>
  <c r="J943" i="2"/>
  <c r="J596" i="2"/>
  <c r="J171" i="2"/>
  <c r="J805" i="2"/>
  <c r="J801" i="2"/>
  <c r="J508" i="2"/>
  <c r="J93" i="2"/>
  <c r="J608" i="2"/>
  <c r="J267" i="2"/>
  <c r="J883" i="2"/>
  <c r="J831" i="2"/>
  <c r="J739" i="2"/>
  <c r="J28" i="2"/>
  <c r="J141" i="2"/>
  <c r="J286" i="2"/>
  <c r="J472" i="2"/>
  <c r="J686" i="2"/>
  <c r="J427" i="2"/>
  <c r="J778" i="2"/>
  <c r="J776" i="2"/>
  <c r="J593" i="2"/>
  <c r="J889" i="2"/>
  <c r="J600" i="2"/>
  <c r="J432" i="2"/>
  <c r="J255" i="2"/>
  <c r="J316" i="2"/>
  <c r="J1155" i="2"/>
  <c r="J1037" i="2"/>
  <c r="J770" i="2"/>
  <c r="J81" i="2"/>
  <c r="J1134" i="2"/>
  <c r="J90" i="2"/>
  <c r="J251" i="2"/>
  <c r="J548" i="2"/>
  <c r="J306" i="2"/>
  <c r="J1114" i="2"/>
  <c r="J651" i="2"/>
  <c r="J140" i="2"/>
  <c r="J539" i="2"/>
  <c r="J481" i="2"/>
  <c r="J1115" i="2"/>
  <c r="J946" i="2"/>
  <c r="J354" i="2"/>
  <c r="J745" i="2"/>
  <c r="J375" i="2"/>
  <c r="J288" i="2"/>
  <c r="J706" i="2"/>
  <c r="J979" i="2"/>
  <c r="J1232" i="2"/>
  <c r="J411" i="2"/>
  <c r="J1045" i="2"/>
  <c r="J262" i="2"/>
  <c r="J1032" i="2"/>
  <c r="J276" i="2"/>
  <c r="J1098" i="2"/>
  <c r="J1182" i="2"/>
  <c r="J1129" i="2"/>
  <c r="J529" i="2"/>
  <c r="J355" i="2"/>
  <c r="J167" i="2"/>
  <c r="J872" i="2"/>
  <c r="J891" i="2"/>
  <c r="J737" i="2"/>
  <c r="J1127" i="2"/>
  <c r="J151" i="2"/>
  <c r="J735" i="2"/>
  <c r="J1005" i="2"/>
  <c r="J543" i="2"/>
  <c r="J1080" i="2"/>
  <c r="J817" i="2"/>
  <c r="J721" i="2"/>
  <c r="J1030" i="2"/>
  <c r="J111" i="2"/>
  <c r="J485" i="2"/>
  <c r="J161" i="2"/>
  <c r="J501" i="2"/>
  <c r="J676" i="2"/>
  <c r="J777" i="2"/>
  <c r="J104" i="2"/>
  <c r="J168" i="2"/>
  <c r="J1153" i="2"/>
  <c r="J497" i="2"/>
  <c r="J520" i="2"/>
  <c r="J795" i="2"/>
  <c r="J648" i="2"/>
  <c r="J1088" i="2"/>
  <c r="J934" i="2"/>
  <c r="J629" i="2"/>
  <c r="J610" i="2"/>
  <c r="J54" i="2"/>
  <c r="J282" i="2"/>
  <c r="J1078" i="2"/>
  <c r="J897" i="2"/>
  <c r="J244" i="2"/>
  <c r="J769" i="2"/>
  <c r="J669" i="2"/>
  <c r="J336" i="2"/>
  <c r="J741" i="2"/>
  <c r="J114" i="2"/>
  <c r="J919" i="2"/>
  <c r="J834" i="2"/>
  <c r="J553" i="2"/>
  <c r="J823" i="2"/>
  <c r="J972" i="2"/>
  <c r="J1221" i="2"/>
  <c r="J772" i="2"/>
  <c r="J659" i="2"/>
  <c r="J264" i="2"/>
  <c r="J1139" i="2"/>
  <c r="J820" i="2"/>
  <c r="J572" i="2"/>
  <c r="J579" i="2"/>
  <c r="J58" i="2"/>
  <c r="J236" i="2"/>
  <c r="J798" i="2"/>
  <c r="J73" i="2"/>
  <c r="J838" i="2"/>
  <c r="J454" i="2"/>
  <c r="J142" i="2"/>
  <c r="J453" i="2"/>
  <c r="J521" i="2"/>
  <c r="J145" i="2"/>
  <c r="J403" i="2"/>
  <c r="J1083" i="2"/>
  <c r="J217" i="2"/>
  <c r="J469" i="2"/>
  <c r="J1203" i="2"/>
  <c r="J958" i="2"/>
  <c r="J575" i="2"/>
  <c r="J341" i="2"/>
  <c r="J743" i="2"/>
  <c r="J417" i="2"/>
  <c r="J186" i="2"/>
  <c r="J825" i="2"/>
  <c r="J929" i="2"/>
  <c r="J462" i="2"/>
  <c r="J358" i="2"/>
  <c r="J742" i="2"/>
  <c r="J694" i="2"/>
  <c r="J1145" i="2"/>
  <c r="J843" i="2"/>
  <c r="J166" i="2"/>
  <c r="J1259" i="2"/>
  <c r="J133" i="2"/>
  <c r="J446" i="2"/>
  <c r="J522" i="2"/>
  <c r="J158" i="2"/>
  <c r="J1176" i="2"/>
  <c r="J131" i="2"/>
  <c r="J542" i="2"/>
  <c r="J898" i="2"/>
  <c r="J480" i="2"/>
  <c r="J77" i="2"/>
  <c r="J516" i="2"/>
  <c r="J199" i="2"/>
  <c r="J719" i="2"/>
  <c r="J1227" i="2"/>
  <c r="J1001" i="2"/>
  <c r="J873" i="2"/>
  <c r="J936" i="2"/>
  <c r="J240" i="2"/>
  <c r="J744" i="2"/>
  <c r="J409" i="2"/>
  <c r="J588" i="2"/>
  <c r="J657" i="2"/>
  <c r="J907" i="2"/>
  <c r="J662" i="2"/>
  <c r="J830" i="2"/>
  <c r="J700" i="2"/>
  <c r="J439" i="2"/>
  <c r="J645" i="2"/>
  <c r="J1215" i="2"/>
  <c r="J1140" i="2"/>
  <c r="J616" i="2"/>
  <c r="J449" i="2"/>
  <c r="J983" i="2"/>
  <c r="J650" i="2"/>
  <c r="J483" i="2"/>
  <c r="J53" i="2"/>
  <c r="J239" i="2"/>
  <c r="J4" i="2"/>
  <c r="J584" i="2"/>
  <c r="J1235" i="2"/>
  <c r="J530" i="2"/>
  <c r="J654" i="2"/>
  <c r="J121" i="2"/>
  <c r="J753" i="2"/>
  <c r="J372" i="2"/>
  <c r="J17" i="2"/>
  <c r="J882" i="2"/>
  <c r="J143" i="2"/>
  <c r="J893" i="2"/>
  <c r="J914" i="2"/>
  <c r="J568" i="2"/>
  <c r="J1229" i="2"/>
  <c r="J1109" i="2"/>
  <c r="J1097" i="2"/>
  <c r="J998" i="2"/>
  <c r="J774" i="2"/>
  <c r="J1120" i="2"/>
  <c r="J399" i="2"/>
  <c r="J576" i="2"/>
  <c r="J222" i="2"/>
  <c r="J1195" i="2"/>
  <c r="J938" i="2"/>
  <c r="J41" i="2"/>
  <c r="J1056" i="2"/>
  <c r="J818" i="2"/>
  <c r="J1055" i="2"/>
  <c r="J863" i="2"/>
  <c r="J65" i="2"/>
  <c r="J19" i="2"/>
  <c r="J551" i="2"/>
  <c r="J1163" i="2"/>
  <c r="J1233" i="2"/>
  <c r="J407" i="2"/>
  <c r="J1048" i="2"/>
  <c r="J120" i="2"/>
  <c r="J679" i="2"/>
  <c r="J1187" i="2"/>
  <c r="J605" i="2"/>
  <c r="J716" i="2"/>
  <c r="J459" i="2"/>
  <c r="J624" i="2"/>
  <c r="J622" i="2"/>
  <c r="J405" i="2"/>
  <c r="J338" i="2"/>
  <c r="J50" i="2"/>
  <c r="J165" i="2"/>
  <c r="J1165" i="2"/>
  <c r="J764" i="2"/>
  <c r="J604" i="2"/>
  <c r="J677" i="2"/>
  <c r="J392" i="2"/>
  <c r="J1118" i="2"/>
  <c r="J231" i="2"/>
  <c r="J1240" i="2"/>
  <c r="J1178" i="2"/>
  <c r="J1254" i="2"/>
  <c r="J797" i="2"/>
  <c r="J57" i="2"/>
  <c r="J157" i="2"/>
  <c r="J642" i="2"/>
  <c r="J646" i="2"/>
  <c r="J192" i="2"/>
  <c r="J8" i="2"/>
  <c r="J494" i="2"/>
  <c r="J107" i="2"/>
  <c r="J83" i="2"/>
  <c r="J182" i="2"/>
  <c r="J937" i="2"/>
  <c r="J195" i="2"/>
  <c r="J1091" i="2"/>
  <c r="J379" i="2"/>
  <c r="J1013" i="2"/>
  <c r="J637" i="2"/>
  <c r="J1003" i="2"/>
  <c r="J672" i="2"/>
  <c r="J1085" i="2"/>
  <c r="J809" i="2"/>
  <c r="J1026" i="2"/>
  <c r="J1141" i="2"/>
  <c r="J832" i="2"/>
  <c r="J738" i="2"/>
  <c r="J969" i="2"/>
  <c r="J504" i="2"/>
  <c r="J1142" i="2"/>
  <c r="J1015" i="2"/>
  <c r="J173" i="2"/>
  <c r="J842" i="2"/>
  <c r="J1241" i="2"/>
  <c r="J1031" i="2"/>
  <c r="J452" i="2"/>
  <c r="J681" i="2"/>
  <c r="J441" i="2"/>
  <c r="J566" i="2"/>
  <c r="J1133" i="2"/>
  <c r="J394" i="2"/>
  <c r="J1077" i="2"/>
  <c r="J1228" i="2"/>
  <c r="J437" i="2"/>
  <c r="J913" i="2"/>
  <c r="J639" i="2"/>
  <c r="J1213" i="2"/>
  <c r="J792" i="2"/>
  <c r="J1197" i="2"/>
  <c r="J1149" i="2"/>
  <c r="J692" i="2"/>
  <c r="J699" i="2"/>
  <c r="J424" i="2"/>
  <c r="J122" i="2"/>
  <c r="J204" i="2"/>
  <c r="J428" i="2"/>
  <c r="J722" i="2"/>
  <c r="J821" i="2"/>
  <c r="J1050" i="2"/>
  <c r="J365" i="2"/>
  <c r="J232" i="2"/>
  <c r="J389" i="2"/>
  <c r="J101" i="2"/>
  <c r="J434" i="2"/>
  <c r="J211" i="2"/>
  <c r="J413" i="2"/>
  <c r="J573" i="2"/>
  <c r="J253" i="2"/>
  <c r="J880" i="2"/>
  <c r="J47" i="2"/>
  <c r="J367" i="2"/>
  <c r="J283" i="2"/>
  <c r="J1072" i="2"/>
  <c r="J712" i="2"/>
  <c r="J867" i="2"/>
  <c r="J233" i="2"/>
  <c r="J545" i="2"/>
  <c r="J1192" i="2"/>
  <c r="J989" i="2"/>
  <c r="J134" i="2"/>
  <c r="J490" i="2"/>
  <c r="J690" i="2"/>
  <c r="J944" i="2"/>
  <c r="J990" i="2"/>
  <c r="J1086" i="2"/>
  <c r="J1020" i="2"/>
  <c r="J194" i="2"/>
  <c r="J1029" i="2"/>
  <c r="J977" i="2"/>
  <c r="J455" i="2"/>
  <c r="J451" i="2"/>
  <c r="J70" i="2"/>
  <c r="J649" i="2"/>
  <c r="J248" i="2"/>
  <c r="J67" i="2"/>
  <c r="J410" i="2"/>
  <c r="J52" i="2"/>
  <c r="J960" i="2"/>
  <c r="J780" i="2"/>
  <c r="J1253" i="2"/>
  <c r="J1059" i="2"/>
  <c r="J854" i="2"/>
  <c r="J939" i="2"/>
  <c r="J208" i="2"/>
  <c r="J79" i="2"/>
  <c r="J1224" i="2"/>
  <c r="J99" i="2"/>
  <c r="J309" i="2"/>
  <c r="J684" i="2"/>
  <c r="J1054" i="2"/>
  <c r="J382" i="2"/>
  <c r="J785" i="2"/>
  <c r="J594" i="2"/>
  <c r="J183" i="2"/>
  <c r="J466" i="2"/>
  <c r="J98" i="2"/>
  <c r="J227" i="2"/>
  <c r="J425" i="2"/>
  <c r="J23" i="2"/>
  <c r="J257" i="2"/>
  <c r="J96" i="2"/>
  <c r="J189" i="2"/>
  <c r="J603" i="2"/>
  <c r="J100" i="2"/>
  <c r="J1214" i="2"/>
  <c r="J930" i="2"/>
  <c r="J420" i="2"/>
  <c r="J973" i="2"/>
  <c r="J234" i="2"/>
  <c r="J153" i="2"/>
  <c r="J1012" i="2"/>
  <c r="J1251" i="2"/>
  <c r="J1095" i="2"/>
  <c r="J903" i="2"/>
  <c r="J995" i="2"/>
  <c r="J656" i="2"/>
  <c r="J532" i="2"/>
  <c r="J940" i="2"/>
  <c r="J536" i="2"/>
  <c r="J1170" i="2"/>
  <c r="J339" i="2"/>
  <c r="J1084" i="2"/>
  <c r="J932" i="2"/>
  <c r="J557" i="2"/>
  <c r="J1184" i="2"/>
  <c r="J256" i="2"/>
  <c r="J895" i="2"/>
  <c r="J858" i="2"/>
  <c r="J376" i="2"/>
  <c r="J581" i="2"/>
  <c r="J591" i="2"/>
  <c r="J393" i="2"/>
  <c r="J680" i="2"/>
  <c r="J1230" i="2"/>
  <c r="J473" i="2"/>
  <c r="J933" i="2"/>
  <c r="J980" i="2"/>
  <c r="J1135" i="2"/>
  <c r="J667" i="2"/>
  <c r="J27" i="2"/>
  <c r="J1222" i="2"/>
  <c r="J436" i="2"/>
  <c r="J421" i="2"/>
  <c r="J1143" i="2"/>
  <c r="J901" i="2"/>
  <c r="J1168" i="2"/>
  <c r="J138" i="2"/>
  <c r="J440" i="2"/>
  <c r="J438" i="2"/>
  <c r="J91" i="2"/>
  <c r="J201" i="2"/>
  <c r="J517" i="2"/>
  <c r="J333" i="2"/>
  <c r="J920" i="2"/>
  <c r="J803" i="2"/>
  <c r="J464" i="2"/>
  <c r="J433" i="2"/>
  <c r="J947" i="2"/>
  <c r="J1252" i="2"/>
  <c r="J177" i="2"/>
  <c r="J1104" i="2"/>
  <c r="J1206" i="2"/>
  <c r="J815" i="2"/>
  <c r="J789" i="2"/>
  <c r="J72" i="2"/>
  <c r="J1186" i="2"/>
  <c r="J1119" i="2"/>
  <c r="J606" i="2"/>
  <c r="J582" i="2"/>
  <c r="J563" i="2"/>
  <c r="J7" i="2"/>
  <c r="J526" i="2"/>
  <c r="J127" i="2"/>
  <c r="J118" i="2"/>
  <c r="J701" i="2"/>
  <c r="J294" i="2"/>
  <c r="J519" i="2"/>
  <c r="J1196" i="2"/>
  <c r="J987" i="2"/>
  <c r="J281" i="2"/>
  <c r="J1249" i="2"/>
  <c r="J664" i="2"/>
  <c r="J697" i="2"/>
  <c r="J918" i="2"/>
  <c r="J223" i="2"/>
  <c r="J332" i="2"/>
  <c r="J527" i="2"/>
  <c r="J278" i="2"/>
  <c r="J31" i="2"/>
  <c r="J388" i="2"/>
  <c r="J20" i="2"/>
  <c r="J1103" i="2"/>
  <c r="J261" i="2"/>
  <c r="J210" i="2"/>
  <c r="J757" i="2"/>
  <c r="J1226" i="2"/>
  <c r="J66" i="2"/>
  <c r="J1028" i="2"/>
  <c r="J857" i="2"/>
  <c r="J88" i="2"/>
  <c r="J1122" i="2"/>
  <c r="J799" i="2"/>
  <c r="J29" i="2"/>
  <c r="J1223" i="2"/>
  <c r="J215" i="2"/>
  <c r="J1172" i="2"/>
  <c r="J796" i="2"/>
  <c r="J813" i="2"/>
  <c r="J1257" i="2"/>
  <c r="J670" i="2"/>
  <c r="J235" i="2"/>
  <c r="J60" i="2"/>
  <c r="J1096" i="2"/>
  <c r="J514" i="2"/>
  <c r="J370" i="2"/>
  <c r="J1147" i="2"/>
  <c r="J537" i="2"/>
  <c r="J510" i="2"/>
  <c r="J655" i="2"/>
  <c r="J137" i="2"/>
  <c r="J97" i="2"/>
  <c r="J1180" i="2"/>
  <c r="J1220" i="2"/>
  <c r="J689" i="2"/>
  <c r="J1201" i="2"/>
  <c r="J953" i="2"/>
  <c r="J544" i="2"/>
  <c r="J102" i="2"/>
  <c r="J1124" i="2"/>
  <c r="J89" i="2"/>
  <c r="J400" i="2"/>
  <c r="J180" i="2"/>
  <c r="J602" i="2"/>
  <c r="J10" i="2"/>
  <c r="J800" i="2"/>
  <c r="J786" i="2"/>
  <c r="J911" i="2"/>
  <c r="J237" i="2"/>
  <c r="J146" i="2"/>
  <c r="J1075" i="2"/>
  <c r="J1262" i="2"/>
  <c r="J445" i="2"/>
  <c r="J164" i="2"/>
  <c r="J673" i="2"/>
  <c r="J793" i="2"/>
  <c r="J1022" i="2"/>
  <c r="J465" i="2"/>
  <c r="J1044" i="2"/>
  <c r="J397" i="2"/>
  <c r="J950" i="2"/>
  <c r="J279" i="2"/>
  <c r="J1258" i="2"/>
  <c r="J460" i="2"/>
  <c r="J381" i="2"/>
  <c r="J1087" i="2"/>
  <c r="J746" i="2"/>
  <c r="J350" i="2"/>
  <c r="J360" i="2"/>
  <c r="J1146" i="2"/>
  <c r="J156" i="2"/>
  <c r="J92" i="2"/>
  <c r="J62" i="2"/>
  <c r="J698" i="2"/>
  <c r="J162" i="2"/>
  <c r="J1137" i="2"/>
  <c r="J853" i="2"/>
  <c r="J326" i="2"/>
  <c r="J356" i="2"/>
  <c r="J435" i="2"/>
  <c r="J495" i="2"/>
  <c r="J885" i="2"/>
  <c r="J37" i="2"/>
  <c r="J260" i="2"/>
  <c r="J855" i="2"/>
  <c r="J968" i="2"/>
  <c r="J888" i="2"/>
  <c r="J159" i="2"/>
  <c r="J352" i="2"/>
  <c r="J1218" i="2"/>
  <c r="J1019" i="2"/>
  <c r="J899" i="2"/>
  <c r="J1244" i="2"/>
  <c r="J85" i="2"/>
  <c r="J1193" i="2"/>
  <c r="J513" i="2"/>
  <c r="J1166" i="2"/>
  <c r="J1175" i="2"/>
  <c r="J981" i="2"/>
  <c r="J1242" i="2"/>
  <c r="J1082" i="2"/>
  <c r="J334" i="2"/>
  <c r="J982" i="2"/>
  <c r="J499" i="2"/>
  <c r="J634" i="2"/>
  <c r="J496" i="2"/>
  <c r="J344" i="2"/>
  <c r="J917" i="2"/>
  <c r="J125" i="2"/>
  <c r="J148" i="2"/>
  <c r="J847" i="2"/>
  <c r="J444" i="2"/>
  <c r="J965" i="2"/>
  <c r="J271" i="2"/>
  <c r="J1183" i="2"/>
  <c r="J580" i="2"/>
  <c r="J1217" i="2"/>
  <c r="J1250" i="2"/>
  <c r="J430" i="2"/>
  <c r="J1027" i="2"/>
  <c r="J1079" i="2"/>
  <c r="J703" i="2"/>
  <c r="J1081" i="2"/>
  <c r="J463" i="2"/>
  <c r="J558" i="2"/>
  <c r="J678" i="2"/>
  <c r="J461" i="2"/>
  <c r="J583" i="2"/>
  <c r="J1110" i="2"/>
  <c r="J733" i="2"/>
  <c r="J758" i="2"/>
  <c r="J123" i="2"/>
  <c r="J1126" i="2"/>
  <c r="J1111" i="2"/>
  <c r="J330" i="2"/>
  <c r="J1225" i="2"/>
  <c r="J902" i="2"/>
  <c r="J729" i="2"/>
  <c r="J850" i="2"/>
  <c r="J362" i="2"/>
  <c r="J884" i="2"/>
  <c r="J108" i="2"/>
  <c r="J643" i="2"/>
  <c r="J709" i="2"/>
  <c r="J993" i="2"/>
  <c r="J1042" i="2"/>
  <c r="J909" i="2"/>
  <c r="J224" i="2"/>
  <c r="J1159" i="2"/>
  <c r="J229" i="2"/>
  <c r="J1151" i="2"/>
  <c r="J718" i="2"/>
  <c r="J476" i="2"/>
  <c r="J45" i="2"/>
  <c r="J144" i="2"/>
  <c r="J119" i="2"/>
  <c r="J840" i="2"/>
  <c r="J26" i="2"/>
  <c r="J337" i="2"/>
  <c r="J245" i="2"/>
  <c r="J926" i="2"/>
  <c r="J254" i="2"/>
  <c r="J571" i="2"/>
  <c r="J615" i="2"/>
  <c r="J418" i="2"/>
  <c r="J149" i="2"/>
  <c r="J826" i="2"/>
  <c r="J371" i="2"/>
  <c r="J599" i="2"/>
  <c r="J731" i="2"/>
  <c r="J1102" i="2"/>
  <c r="J861" i="2"/>
  <c r="J1234" i="2"/>
  <c r="J387" i="2"/>
  <c r="J782" i="2"/>
  <c r="J945" i="2"/>
  <c r="J886" i="2"/>
  <c r="J762" i="2"/>
  <c r="J986" i="2"/>
  <c r="J727" i="2"/>
  <c r="J1150" i="2"/>
  <c r="J1157" i="2"/>
  <c r="J368" i="2"/>
  <c r="J1024" i="2"/>
  <c r="J665" i="2"/>
  <c r="J22" i="2"/>
  <c r="J113" i="2"/>
  <c r="J636" i="2"/>
  <c r="J212" i="2"/>
  <c r="J1243" i="2"/>
  <c r="J230" i="2"/>
  <c r="J870" i="2"/>
  <c r="J565" i="2"/>
  <c r="J696" i="2"/>
  <c r="J447" i="2"/>
  <c r="J725" i="2"/>
  <c r="J1038" i="2"/>
  <c r="J736" i="2"/>
  <c r="J922" i="2"/>
  <c r="J64" i="2"/>
  <c r="J1099" i="2"/>
  <c r="J35" i="2"/>
  <c r="J176" i="2"/>
  <c r="J752" i="2"/>
  <c r="J458" i="2"/>
  <c r="J130" i="2"/>
  <c r="J1066" i="2"/>
  <c r="J1246" i="2"/>
  <c r="J348" i="2"/>
  <c r="J1161" i="2"/>
  <c r="J44" i="2"/>
  <c r="J12" i="2"/>
  <c r="J910" i="2"/>
  <c r="J859" i="2"/>
  <c r="J1112" i="2"/>
  <c r="J9" i="2"/>
  <c r="J139" i="2"/>
  <c r="J592" i="2"/>
  <c r="J238" i="2"/>
  <c r="J391" i="2"/>
  <c r="J1131" i="2"/>
  <c r="J623" i="2"/>
  <c r="J59" i="2"/>
  <c r="J713" i="2"/>
  <c r="J710" i="2"/>
  <c r="J95" i="2"/>
  <c r="J560" i="2"/>
  <c r="J908" i="2"/>
  <c r="J732" i="2"/>
  <c r="J660" i="2"/>
  <c r="J412" i="2"/>
  <c r="J1071" i="2"/>
  <c r="J242" i="2"/>
  <c r="J822" i="2"/>
  <c r="J203" i="2"/>
  <c r="J386" i="2"/>
  <c r="J810" i="2"/>
  <c r="J479" i="2"/>
  <c r="J246" i="2"/>
  <c r="J836" i="2"/>
  <c r="J345" i="2"/>
  <c r="J569" i="2"/>
  <c r="J51" i="2"/>
  <c r="J486" i="2"/>
  <c r="J595" i="2"/>
  <c r="J1199" i="2"/>
  <c r="J226" i="2"/>
  <c r="J1190" i="2"/>
  <c r="J502" i="2"/>
  <c r="J971" i="2"/>
  <c r="J477" i="2"/>
  <c r="J505" i="2"/>
  <c r="J1016" i="2"/>
  <c r="J359" i="2"/>
  <c r="J106" i="2"/>
  <c r="J43" i="2"/>
  <c r="J373" i="2"/>
  <c r="J525" i="2"/>
  <c r="J314" i="2"/>
  <c r="J759" i="2"/>
  <c r="J574" i="2"/>
  <c r="J207" i="2"/>
  <c r="J1035" i="2"/>
  <c r="J559" i="2"/>
  <c r="J431" i="2"/>
  <c r="J482" i="2"/>
  <c r="J948" i="2"/>
  <c r="J1092" i="2"/>
  <c r="J617" i="2"/>
  <c r="J724" i="2"/>
  <c r="J925" i="2"/>
  <c r="J406" i="2"/>
  <c r="J1260" i="2"/>
  <c r="J674" i="2"/>
  <c r="J827" i="2"/>
  <c r="J1046" i="2"/>
  <c r="J1009" i="2"/>
  <c r="J967" i="2"/>
  <c r="J1156" i="2"/>
  <c r="J845" i="2"/>
  <c r="J531" i="2"/>
  <c r="J723" i="2"/>
  <c r="J40" i="2"/>
  <c r="J117" i="2"/>
  <c r="J484" i="2"/>
  <c r="J841" i="2"/>
  <c r="J585" i="2"/>
  <c r="J1033" i="2"/>
  <c r="J80" i="2"/>
  <c r="J243" i="2"/>
  <c r="J315" i="2"/>
  <c r="J1238" i="2"/>
  <c r="J833" i="2"/>
  <c r="J1169" i="2"/>
  <c r="J193" i="2"/>
  <c r="J492" i="2"/>
  <c r="J1261" i="2"/>
  <c r="J1255" i="2"/>
  <c r="J366" i="2"/>
  <c r="J1040" i="2"/>
  <c r="J1076" i="2"/>
  <c r="J1053" i="2"/>
  <c r="J1130" i="2"/>
  <c r="J219" i="2"/>
  <c r="J632" i="2"/>
  <c r="J862" i="2"/>
  <c r="J1060" i="2"/>
  <c r="J707" i="2"/>
  <c r="J912" i="2"/>
  <c r="J562" i="2"/>
  <c r="J500" i="2"/>
  <c r="J1158" i="2"/>
  <c r="J213" i="2"/>
  <c r="J892" i="2"/>
  <c r="J869" i="2"/>
  <c r="J621" i="2"/>
  <c r="J959" i="2"/>
  <c r="J546" i="2"/>
  <c r="J503" i="2"/>
  <c r="J653" i="2"/>
  <c r="J992" i="2"/>
  <c r="J781" i="2"/>
  <c r="J683" i="2"/>
  <c r="J906" i="2"/>
  <c r="J829" i="2"/>
  <c r="J1051" i="2"/>
  <c r="J879" i="2"/>
  <c r="J1047" i="2"/>
  <c r="J1144" i="2"/>
  <c r="J263" i="2"/>
  <c r="J1010" i="2"/>
  <c r="J11" i="2"/>
  <c r="J951" i="2"/>
  <c r="J985" i="2"/>
  <c r="J512" i="2"/>
  <c r="J835" i="2"/>
  <c r="J1101" i="2"/>
  <c r="J1070" i="2"/>
  <c r="J1004" i="2"/>
  <c r="J964" i="2"/>
  <c r="J538" i="2"/>
  <c r="J1069" i="2"/>
  <c r="J868" i="2"/>
  <c r="J860" i="2"/>
  <c r="J1209" i="2"/>
  <c r="J1185" i="2"/>
  <c r="J1171" i="2"/>
  <c r="J380" i="2"/>
  <c r="J252" i="2"/>
  <c r="J779" i="2"/>
  <c r="J957" i="2"/>
  <c r="J991" i="2"/>
  <c r="J1194" i="2"/>
  <c r="J976" i="2"/>
  <c r="J1061" i="2"/>
  <c r="J749" i="2"/>
  <c r="J1219" i="2"/>
  <c r="J915" i="2"/>
  <c r="J126" i="2"/>
  <c r="J828" i="2"/>
  <c r="J488" i="2"/>
  <c r="J1043" i="2"/>
  <c r="J561" i="2"/>
  <c r="J1177" i="2"/>
  <c r="J851" i="2"/>
  <c r="J1181" i="2"/>
  <c r="J442" i="2"/>
  <c r="J997" i="2"/>
  <c r="J84" i="2"/>
  <c r="J555" i="2"/>
  <c r="J682" i="2"/>
  <c r="J635" i="2"/>
  <c r="J784" i="2"/>
  <c r="J628" i="2"/>
  <c r="J299" i="2"/>
  <c r="J685" i="2"/>
  <c r="J768" i="2"/>
  <c r="J152" i="2"/>
  <c r="J408" i="2"/>
  <c r="J6" i="2"/>
  <c r="J974" i="2"/>
  <c r="J540" i="2"/>
  <c r="J866" i="2"/>
  <c r="J783" i="2"/>
  <c r="J221" i="2"/>
  <c r="J68" i="2"/>
  <c r="J270" i="2"/>
  <c r="J506" i="2"/>
  <c r="J331" i="2"/>
  <c r="J961" i="2"/>
  <c r="J78" i="2"/>
  <c r="J1202" i="2"/>
  <c r="J900" i="2"/>
  <c r="J1007" i="2"/>
  <c r="J663" i="2"/>
  <c r="J1211" i="2"/>
  <c r="J748" i="2"/>
  <c r="J1063" i="2"/>
  <c r="J25" i="2"/>
  <c r="J626" i="2"/>
  <c r="J687" i="2"/>
  <c r="J1162" i="2"/>
  <c r="J717" i="2"/>
  <c r="J788" i="2"/>
  <c r="J87" i="2"/>
  <c r="J601" i="2"/>
  <c r="J523" i="2"/>
  <c r="J296" i="2"/>
  <c r="J916" i="2"/>
  <c r="J228" i="2"/>
  <c r="J956" i="2"/>
  <c r="J966" i="2"/>
  <c r="J61" i="2"/>
  <c r="J518" i="2"/>
  <c r="J747" i="2"/>
  <c r="J214" i="2"/>
  <c r="J258" i="2"/>
  <c r="J791" i="2"/>
  <c r="J128" i="2"/>
  <c r="J1021" i="2"/>
  <c r="J1065" i="2"/>
  <c r="J135" i="2"/>
  <c r="J374" i="2"/>
  <c r="J695" i="2"/>
  <c r="J36" i="2"/>
  <c r="J42" i="2"/>
  <c r="J241" i="2"/>
  <c r="J620" i="2"/>
  <c r="J343" i="2"/>
  <c r="J844" i="2"/>
  <c r="J613" i="2"/>
  <c r="J105" i="2"/>
  <c r="J941" i="2"/>
  <c r="J398" i="2"/>
  <c r="J467" i="2"/>
  <c r="J927" i="2"/>
  <c r="J218" i="2"/>
  <c r="J1247" i="2"/>
  <c r="J493" i="2"/>
  <c r="J633" i="2"/>
  <c r="J509" i="2"/>
  <c r="J220" i="2"/>
  <c r="J533" i="2"/>
  <c r="J726" i="2"/>
  <c r="J86" i="2"/>
  <c r="J511" i="2"/>
  <c r="J489" i="2"/>
  <c r="J351" i="2"/>
  <c r="J1173" i="2"/>
  <c r="J422" i="2"/>
  <c r="J1074" i="2"/>
  <c r="J1148" i="2"/>
  <c r="J269" i="2"/>
  <c r="J275" i="2"/>
  <c r="J975" i="2"/>
  <c r="J15" i="2"/>
  <c r="J577" i="2"/>
  <c r="J761" i="2"/>
  <c r="J1117" i="2"/>
  <c r="J705" i="2"/>
  <c r="J839" i="2"/>
  <c r="J1164" i="2"/>
  <c r="J1057" i="2"/>
  <c r="J1113" i="2"/>
  <c r="J1125" i="2"/>
  <c r="J984" i="2"/>
  <c r="J528" i="2"/>
  <c r="J32" i="2"/>
  <c r="J773" i="2"/>
  <c r="J94" i="2"/>
  <c r="J550" i="2"/>
  <c r="J894" i="2"/>
  <c r="J346" i="2"/>
  <c r="J1008" i="2"/>
  <c r="J1052" i="2"/>
  <c r="J647" i="2"/>
  <c r="J1248" i="2"/>
  <c r="J1100" i="2"/>
  <c r="J756" i="2"/>
  <c r="J515" i="2"/>
  <c r="J564" i="2"/>
  <c r="J190" i="2"/>
  <c r="J720" i="2"/>
  <c r="J876" i="2"/>
  <c r="J955" i="2"/>
  <c r="J416" i="2"/>
  <c r="J790" i="2"/>
  <c r="J55" i="2"/>
  <c r="J590" i="2"/>
  <c r="J942" i="2"/>
  <c r="J848" i="2"/>
  <c r="J878" i="2"/>
  <c r="J931" i="2"/>
  <c r="J1128" i="2"/>
  <c r="J1002" i="2"/>
  <c r="J1160" i="2"/>
  <c r="J1041" i="2"/>
  <c r="J470" i="2"/>
  <c r="J347" i="2"/>
  <c r="J357" i="2"/>
  <c r="J200" i="2"/>
  <c r="J272" i="2"/>
  <c r="J170" i="2"/>
  <c r="J1011" i="2"/>
  <c r="J456" i="2"/>
  <c r="J63" i="2"/>
  <c r="J30" i="2"/>
  <c r="J534" i="2"/>
  <c r="J297" i="2"/>
  <c r="J524" i="2"/>
  <c r="J819" i="2"/>
  <c r="J169" i="2"/>
  <c r="J163" i="2"/>
  <c r="J1106" i="2"/>
  <c r="J751" i="2"/>
  <c r="J56" i="2"/>
  <c r="J865" i="2"/>
  <c r="J1256" i="2"/>
  <c r="J225" i="2"/>
  <c r="J1152" i="2"/>
  <c r="J924" i="2"/>
  <c r="J401" i="2"/>
  <c r="J293" i="2"/>
  <c r="J16" i="2"/>
  <c r="J587" i="2"/>
  <c r="J904" i="2"/>
  <c r="J728" i="2"/>
  <c r="J266" i="2"/>
  <c r="J38" i="2"/>
  <c r="J129" i="2"/>
  <c r="J804" i="2"/>
  <c r="J1049" i="2"/>
  <c r="J395" i="2"/>
  <c r="J856" i="2"/>
  <c r="J468" i="2"/>
  <c r="J363" i="2"/>
  <c r="J766" i="2"/>
  <c r="J450" i="2"/>
  <c r="J414" i="2"/>
  <c r="J396" i="2"/>
  <c r="J75" i="2"/>
  <c r="J202" i="2"/>
  <c r="J811" i="2"/>
  <c r="J1062" i="2"/>
  <c r="J82" i="2"/>
  <c r="J730" i="2"/>
  <c r="J196" i="2"/>
  <c r="J704" i="2"/>
  <c r="J179" i="2"/>
  <c r="J185" i="2"/>
  <c r="J988" i="2"/>
  <c r="J874" i="2"/>
  <c r="J905" i="2"/>
  <c r="J923" i="2"/>
  <c r="J1174" i="2"/>
  <c r="J303" i="2"/>
  <c r="J491" i="2"/>
  <c r="J952" i="2"/>
  <c r="J812" i="2"/>
  <c r="J457" i="2"/>
  <c r="J644" i="2"/>
  <c r="J273" i="2"/>
  <c r="J247" i="2"/>
  <c r="J1188" i="2"/>
  <c r="J14" i="2"/>
  <c r="J109" i="2"/>
  <c r="J640" i="2"/>
  <c r="J708" i="2"/>
  <c r="J474" i="2"/>
  <c r="J46" i="2"/>
  <c r="J385" i="2"/>
  <c r="J578" i="2"/>
  <c r="J896" i="2"/>
  <c r="J688" i="2"/>
  <c r="J1138" i="2"/>
  <c r="J181" i="2"/>
  <c r="J1068" i="2"/>
  <c r="J1205" i="2"/>
  <c r="J110" i="2"/>
  <c r="J625" i="2"/>
  <c r="J1179" i="2"/>
  <c r="J187" i="2"/>
  <c r="J775" i="2"/>
  <c r="J589" i="2"/>
  <c r="J1191" i="2"/>
  <c r="J1216" i="2"/>
  <c r="J928" i="2"/>
  <c r="J1036" i="2"/>
  <c r="J890" i="2"/>
  <c r="J419" i="2"/>
  <c r="J1208" i="2"/>
  <c r="J760" i="2"/>
  <c r="J1239" i="2"/>
  <c r="J661" i="2"/>
  <c r="J765" i="2"/>
  <c r="J1207" i="2"/>
  <c r="J329" i="2"/>
  <c r="J487" i="2"/>
  <c r="J172" i="2"/>
  <c r="J552" i="2"/>
  <c r="J996" i="2"/>
  <c r="J291" i="2"/>
  <c r="J115" i="2"/>
  <c r="J978" i="2"/>
  <c r="J175" i="2"/>
  <c r="J887" i="2"/>
  <c r="J794" i="2"/>
  <c r="J76" i="2"/>
  <c r="J216" i="2"/>
  <c r="J147" i="2"/>
  <c r="J1212" i="2"/>
  <c r="J1167" i="2"/>
  <c r="J837" i="2"/>
  <c r="J1189" i="2"/>
  <c r="J1089" i="2"/>
  <c r="J132" i="2"/>
  <c r="J666" i="2"/>
  <c r="J274" i="2"/>
  <c r="J184" i="2"/>
  <c r="J475" i="2"/>
  <c r="J295" i="2"/>
  <c r="J808" i="2"/>
  <c r="J711" i="2"/>
  <c r="J191" i="2"/>
  <c r="J34" i="2"/>
  <c r="J1108" i="2"/>
  <c r="J1198" i="2"/>
  <c r="J824" i="2"/>
  <c r="J1210" i="2"/>
  <c r="J714" i="2"/>
  <c r="J693" i="2"/>
  <c r="J750" i="2"/>
  <c r="J556" i="2"/>
  <c r="J507" i="2"/>
  <c r="J478" i="2"/>
  <c r="J48" i="2"/>
  <c r="J124" i="2"/>
  <c r="J74" i="2"/>
  <c r="J668" i="2"/>
  <c r="J265" i="2"/>
  <c r="J754" i="2"/>
  <c r="J549" i="2"/>
  <c r="J209" i="2"/>
  <c r="J1121" i="2"/>
  <c r="J1017" i="2"/>
  <c r="J415" i="2"/>
  <c r="J598" i="2"/>
  <c r="J448" i="2"/>
  <c r="J641" i="2"/>
  <c r="J1093" i="2"/>
  <c r="J349" i="2"/>
  <c r="J1116" i="2"/>
  <c r="J715" i="2"/>
  <c r="J378" i="2"/>
  <c r="J816" i="2"/>
  <c r="J570" i="2"/>
  <c r="J178" i="2"/>
  <c r="J259" i="2"/>
  <c r="J1039" i="2"/>
  <c r="J340" i="2"/>
  <c r="J498" i="2"/>
  <c r="J652" i="2"/>
  <c r="J935" i="2"/>
  <c r="J13" i="2"/>
  <c r="J1204" i="2"/>
  <c r="J740" i="2"/>
  <c r="J881" i="2"/>
  <c r="J1034" i="2"/>
  <c r="J1006" i="2"/>
  <c r="J18" i="2"/>
  <c r="J21" i="2"/>
  <c r="J1018" i="2"/>
  <c r="J112" i="2"/>
  <c r="J1000" i="2"/>
  <c r="J197" i="2"/>
  <c r="J1107" i="2"/>
  <c r="J1231" i="2"/>
  <c r="J150" i="2"/>
  <c r="J609" i="2"/>
  <c r="J567" i="2"/>
  <c r="J1064" i="2"/>
  <c r="C327" i="2"/>
  <c r="C328" i="2" s="1"/>
  <c r="C329" i="2" s="1"/>
  <c r="C330" i="2" s="1"/>
  <c r="C331" i="2" s="1"/>
  <c r="C332" i="2" s="1"/>
  <c r="C333" i="2" s="1"/>
  <c r="C334" i="2" s="1"/>
  <c r="F328" i="2"/>
  <c r="F327" i="2"/>
  <c r="G4" i="5"/>
  <c r="D5" i="5"/>
  <c r="A5" i="4"/>
  <c r="C4" i="4"/>
  <c r="C335" i="2" l="1"/>
  <c r="C336" i="2" s="1"/>
  <c r="C337" i="2" s="1"/>
  <c r="C338" i="2" s="1"/>
  <c r="C339" i="2" s="1"/>
  <c r="C340" i="2" s="1"/>
  <c r="C341" i="2" s="1"/>
  <c r="C342" i="2" s="1"/>
  <c r="C343" i="2" s="1"/>
  <c r="C344" i="2" s="1"/>
  <c r="C345" i="2" s="1"/>
  <c r="C346" i="2" s="1"/>
  <c r="C347" i="2" s="1"/>
  <c r="C348" i="2" s="1"/>
  <c r="C349" i="2" s="1"/>
  <c r="C350" i="2" s="1"/>
  <c r="C351" i="2" s="1"/>
  <c r="C352" i="2" s="1"/>
  <c r="C353" i="2" s="1"/>
  <c r="C354" i="2" s="1"/>
  <c r="C355" i="2" s="1"/>
  <c r="C356" i="2" s="1"/>
  <c r="C357" i="2" s="1"/>
  <c r="C358"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F335" i="2"/>
  <c r="D6" i="5"/>
  <c r="G5" i="5"/>
  <c r="C5" i="4"/>
  <c r="A6" i="4"/>
  <c r="C581" i="2" l="1"/>
  <c r="C582" i="2" s="1"/>
  <c r="C583" i="2" s="1"/>
  <c r="C584" i="2" s="1"/>
  <c r="C585" i="2" s="1"/>
  <c r="C586" i="2" s="1"/>
  <c r="C587" i="2" s="1"/>
  <c r="C588" i="2" s="1"/>
  <c r="C589" i="2" s="1"/>
  <c r="D7" i="5"/>
  <c r="G6" i="5"/>
  <c r="C6" i="4"/>
  <c r="A7" i="4"/>
  <c r="F591" i="2" l="1"/>
  <c r="F590" i="2"/>
  <c r="F593" i="2"/>
  <c r="C590" i="2"/>
  <c r="C591" i="2" s="1"/>
  <c r="C592" i="2" s="1"/>
  <c r="C593" i="2" s="1"/>
  <c r="C594" i="2" s="1"/>
  <c r="C595" i="2" s="1"/>
  <c r="C596" i="2" s="1"/>
  <c r="C597" i="2" s="1"/>
  <c r="C598" i="2" s="1"/>
  <c r="C599" i="2" s="1"/>
  <c r="C600" i="2" s="1"/>
  <c r="C601" i="2" s="1"/>
  <c r="C602" i="2" s="1"/>
  <c r="C603" i="2" s="1"/>
  <c r="C604" i="2" s="1"/>
  <c r="C606" i="2" s="1"/>
  <c r="F592" i="2"/>
  <c r="D8" i="5"/>
  <c r="G7" i="5"/>
  <c r="C7" i="4"/>
  <c r="A8" i="4"/>
  <c r="F600" i="2" l="1"/>
  <c r="F607" i="2"/>
  <c r="C607" i="2"/>
  <c r="C608" i="2" s="1"/>
  <c r="C609" i="2" s="1"/>
  <c r="C610" i="2" s="1"/>
  <c r="D9" i="5"/>
  <c r="G8" i="5"/>
  <c r="C8" i="4"/>
  <c r="A9" i="4"/>
  <c r="F611" i="2" l="1"/>
  <c r="C611" i="2"/>
  <c r="C612" i="2" s="1"/>
  <c r="C613" i="2" s="1"/>
  <c r="C614" i="2" s="1"/>
  <c r="D10" i="5"/>
  <c r="G9" i="5"/>
  <c r="C9" i="4"/>
  <c r="A10" i="4"/>
  <c r="F616" i="2" l="1"/>
  <c r="F615" i="2"/>
  <c r="F614" i="2"/>
  <c r="C615" i="2"/>
  <c r="C616" i="2" s="1"/>
  <c r="C617" i="2" s="1"/>
  <c r="C618" i="2" s="1"/>
  <c r="C619" i="2" s="1"/>
  <c r="C620" i="2" s="1"/>
  <c r="C621" i="2" s="1"/>
  <c r="C622" i="2" s="1"/>
  <c r="C623" i="2" s="1"/>
  <c r="C624" i="2" s="1"/>
  <c r="C625" i="2" s="1"/>
  <c r="C626" i="2" s="1"/>
  <c r="D11" i="5"/>
  <c r="G10" i="5"/>
  <c r="C10" i="4"/>
  <c r="A11" i="4"/>
  <c r="C627" i="2" l="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F628" i="2"/>
  <c r="F627" i="2"/>
  <c r="D12" i="5"/>
  <c r="G11" i="5"/>
  <c r="C11" i="4"/>
  <c r="A12" i="4"/>
  <c r="C912" i="2" l="1"/>
  <c r="C913" i="2" s="1"/>
  <c r="F912" i="2"/>
  <c r="D13" i="5"/>
  <c r="G12" i="5"/>
  <c r="C12" i="4"/>
  <c r="A13" i="4"/>
  <c r="C914" i="2" l="1"/>
  <c r="C915" i="2" s="1"/>
  <c r="C916" i="2" s="1"/>
  <c r="C917" i="2" s="1"/>
  <c r="F915" i="2"/>
  <c r="F916" i="2"/>
  <c r="F914" i="2"/>
  <c r="D14" i="5"/>
  <c r="G13" i="5"/>
  <c r="C13" i="4"/>
  <c r="A14" i="4"/>
  <c r="C918" i="2" l="1"/>
  <c r="C919" i="2" s="1"/>
  <c r="F918" i="2"/>
  <c r="D15" i="5"/>
  <c r="G14" i="5"/>
  <c r="C14" i="4"/>
  <c r="A15" i="4"/>
  <c r="C920" i="2" l="1"/>
  <c r="C921" i="2" s="1"/>
  <c r="C922" i="2" s="1"/>
  <c r="C923" i="2" s="1"/>
  <c r="C924" i="2" s="1"/>
  <c r="C925" i="2" s="1"/>
  <c r="C926" i="2" s="1"/>
  <c r="C927" i="2" s="1"/>
  <c r="C928" i="2" s="1"/>
  <c r="C929" i="2" s="1"/>
  <c r="C930" i="2" s="1"/>
  <c r="C931" i="2" s="1"/>
  <c r="C932" i="2" s="1"/>
  <c r="C933" i="2" s="1"/>
  <c r="C934" i="2" s="1"/>
  <c r="C935" i="2" s="1"/>
  <c r="C936" i="2" s="1"/>
  <c r="C937" i="2" s="1"/>
  <c r="C938" i="2" s="1"/>
  <c r="C939" i="2" s="1"/>
  <c r="C940" i="2" s="1"/>
  <c r="C941" i="2" s="1"/>
  <c r="C942" i="2" s="1"/>
  <c r="C943" i="2" s="1"/>
  <c r="C944" i="2" s="1"/>
  <c r="C945" i="2" s="1"/>
  <c r="C946" i="2" s="1"/>
  <c r="C947" i="2" s="1"/>
  <c r="C948" i="2" s="1"/>
  <c r="C949" i="2" s="1"/>
  <c r="C950" i="2" s="1"/>
  <c r="C951" i="2" s="1"/>
  <c r="C952" i="2" s="1"/>
  <c r="C953" i="2" s="1"/>
  <c r="C954" i="2" s="1"/>
  <c r="C955" i="2" s="1"/>
  <c r="C956" i="2" s="1"/>
  <c r="C957" i="2" s="1"/>
  <c r="C958" i="2" s="1"/>
  <c r="C959" i="2" s="1"/>
  <c r="C960" i="2" s="1"/>
  <c r="C961" i="2" s="1"/>
  <c r="C962" i="2" s="1"/>
  <c r="F920" i="2"/>
  <c r="D16" i="5"/>
  <c r="G15" i="5"/>
  <c r="C15" i="4"/>
  <c r="A16" i="4"/>
  <c r="F963" i="2" l="1"/>
  <c r="C963" i="2"/>
  <c r="C964" i="2" s="1"/>
  <c r="C965" i="2" s="1"/>
  <c r="C966" i="2" s="1"/>
  <c r="C967" i="2" s="1"/>
  <c r="C968" i="2" s="1"/>
  <c r="C969" i="2" s="1"/>
  <c r="C970" i="2" s="1"/>
  <c r="C971" i="2" s="1"/>
  <c r="C972" i="2" s="1"/>
  <c r="C973" i="2" s="1"/>
  <c r="C974" i="2" s="1"/>
  <c r="C975" i="2" s="1"/>
  <c r="C976" i="2" s="1"/>
  <c r="C977" i="2" s="1"/>
  <c r="C978" i="2" s="1"/>
  <c r="C979" i="2" s="1"/>
  <c r="C980" i="2" s="1"/>
  <c r="C981" i="2" s="1"/>
  <c r="C982" i="2" s="1"/>
  <c r="C983" i="2" s="1"/>
  <c r="C984" i="2" s="1"/>
  <c r="C985" i="2" s="1"/>
  <c r="C986" i="2" s="1"/>
  <c r="C987" i="2" s="1"/>
  <c r="C988" i="2" s="1"/>
  <c r="C989" i="2" s="1"/>
  <c r="C990" i="2" s="1"/>
  <c r="C991" i="2" s="1"/>
  <c r="C992" i="2" s="1"/>
  <c r="C993" i="2" s="1"/>
  <c r="C994" i="2" s="1"/>
  <c r="C995" i="2" s="1"/>
  <c r="C996" i="2" s="1"/>
  <c r="C997" i="2" s="1"/>
  <c r="C998" i="2" s="1"/>
  <c r="C999" i="2" s="1"/>
  <c r="C1000" i="2" s="1"/>
  <c r="C1001" i="2" s="1"/>
  <c r="C1002" i="2" s="1"/>
  <c r="C1003" i="2" s="1"/>
  <c r="C1004" i="2" s="1"/>
  <c r="C1005" i="2" s="1"/>
  <c r="C1006" i="2" s="1"/>
  <c r="C1007" i="2" s="1"/>
  <c r="C1008" i="2" s="1"/>
  <c r="C1009" i="2" s="1"/>
  <c r="C1010" i="2" s="1"/>
  <c r="C1011" i="2" s="1"/>
  <c r="C1012" i="2" s="1"/>
  <c r="C1013" i="2" s="1"/>
  <c r="C1014" i="2" s="1"/>
  <c r="C1015" i="2" s="1"/>
  <c r="C1016" i="2" s="1"/>
  <c r="C1017" i="2" s="1"/>
  <c r="C1018" i="2" s="1"/>
  <c r="C1019" i="2" s="1"/>
  <c r="C1020" i="2" s="1"/>
  <c r="C1021" i="2" s="1"/>
  <c r="C1022" i="2" s="1"/>
  <c r="C1023" i="2" s="1"/>
  <c r="C1024" i="2" s="1"/>
  <c r="C1025" i="2" s="1"/>
  <c r="C1026" i="2" s="1"/>
  <c r="C1027" i="2" s="1"/>
  <c r="C1028" i="2" s="1"/>
  <c r="C1029" i="2" s="1"/>
  <c r="C1030" i="2" s="1"/>
  <c r="C1031" i="2" s="1"/>
  <c r="C1032" i="2" s="1"/>
  <c r="C1033" i="2" s="1"/>
  <c r="C1034" i="2" s="1"/>
  <c r="C1035" i="2" s="1"/>
  <c r="C1036" i="2" s="1"/>
  <c r="C1037" i="2" s="1"/>
  <c r="C1038" i="2" s="1"/>
  <c r="C1039" i="2" s="1"/>
  <c r="C1040" i="2" s="1"/>
  <c r="C1041" i="2" s="1"/>
  <c r="C1042" i="2" s="1"/>
  <c r="C1043" i="2" s="1"/>
  <c r="C1044" i="2" s="1"/>
  <c r="C1045" i="2" s="1"/>
  <c r="C1046" i="2" s="1"/>
  <c r="C1047" i="2" s="1"/>
  <c r="C1048" i="2" s="1"/>
  <c r="C1049" i="2" s="1"/>
  <c r="C1050" i="2" s="1"/>
  <c r="C1051" i="2" s="1"/>
  <c r="C1052" i="2" s="1"/>
  <c r="C1053" i="2" s="1"/>
  <c r="C1054" i="2" s="1"/>
  <c r="C1055" i="2" s="1"/>
  <c r="C1056" i="2" s="1"/>
  <c r="C1057" i="2" s="1"/>
  <c r="C1058" i="2" s="1"/>
  <c r="C1059" i="2" s="1"/>
  <c r="C1060" i="2" s="1"/>
  <c r="C1061" i="2" s="1"/>
  <c r="C1062" i="2" s="1"/>
  <c r="C1063" i="2" s="1"/>
  <c r="C1064" i="2" s="1"/>
  <c r="C1065" i="2" s="1"/>
  <c r="C1066" i="2" s="1"/>
  <c r="C1067" i="2" s="1"/>
  <c r="C1068" i="2" s="1"/>
  <c r="C1069" i="2" s="1"/>
  <c r="C1070" i="2" s="1"/>
  <c r="C1071" i="2" s="1"/>
  <c r="C1072" i="2" s="1"/>
  <c r="C1073" i="2" s="1"/>
  <c r="C1074" i="2" s="1"/>
  <c r="C1075" i="2" s="1"/>
  <c r="C1076" i="2" s="1"/>
  <c r="C1077" i="2" s="1"/>
  <c r="C1078" i="2" s="1"/>
  <c r="C1079" i="2" s="1"/>
  <c r="C1080" i="2" s="1"/>
  <c r="C1081" i="2" s="1"/>
  <c r="C1082" i="2" s="1"/>
  <c r="C1083" i="2" s="1"/>
  <c r="C1084" i="2" s="1"/>
  <c r="C1085" i="2" s="1"/>
  <c r="C1086" i="2" s="1"/>
  <c r="C1087" i="2" s="1"/>
  <c r="C1088" i="2" s="1"/>
  <c r="C1089" i="2" s="1"/>
  <c r="C1090" i="2" s="1"/>
  <c r="C1091" i="2" s="1"/>
  <c r="C1092" i="2" s="1"/>
  <c r="C1093" i="2" s="1"/>
  <c r="C1094" i="2" s="1"/>
  <c r="C1095" i="2" s="1"/>
  <c r="C1096" i="2" s="1"/>
  <c r="C1097" i="2" s="1"/>
  <c r="C1098" i="2" s="1"/>
  <c r="C1099" i="2" s="1"/>
  <c r="C1100" i="2" s="1"/>
  <c r="C1101" i="2" s="1"/>
  <c r="C1102" i="2" s="1"/>
  <c r="C1103" i="2" s="1"/>
  <c r="C1104" i="2" s="1"/>
  <c r="C1105" i="2" s="1"/>
  <c r="C1106" i="2" s="1"/>
  <c r="C1107" i="2" s="1"/>
  <c r="C1108" i="2" s="1"/>
  <c r="C1109" i="2" s="1"/>
  <c r="C1110" i="2" s="1"/>
  <c r="C1111" i="2" s="1"/>
  <c r="C1112" i="2" s="1"/>
  <c r="C1113" i="2" s="1"/>
  <c r="C1114" i="2" s="1"/>
  <c r="C1115" i="2" s="1"/>
  <c r="C1116" i="2" s="1"/>
  <c r="C1117" i="2" s="1"/>
  <c r="C1118" i="2" s="1"/>
  <c r="C1119" i="2" s="1"/>
  <c r="C1120" i="2" s="1"/>
  <c r="C1121" i="2" s="1"/>
  <c r="C1122" i="2" s="1"/>
  <c r="C1123" i="2" s="1"/>
  <c r="C1124" i="2" s="1"/>
  <c r="C1125" i="2" s="1"/>
  <c r="C1126" i="2" s="1"/>
  <c r="C1127" i="2" s="1"/>
  <c r="C1128" i="2" s="1"/>
  <c r="C1129" i="2" s="1"/>
  <c r="C1130" i="2" s="1"/>
  <c r="C1131" i="2" s="1"/>
  <c r="C1132" i="2" s="1"/>
  <c r="C1133" i="2" s="1"/>
  <c r="C1134" i="2" s="1"/>
  <c r="C1135" i="2" s="1"/>
  <c r="C1136" i="2" s="1"/>
  <c r="C1137" i="2" s="1"/>
  <c r="C1138" i="2" s="1"/>
  <c r="C1139" i="2" s="1"/>
  <c r="C1140" i="2" s="1"/>
  <c r="C1141" i="2" s="1"/>
  <c r="C1142" i="2" s="1"/>
  <c r="C1143" i="2" s="1"/>
  <c r="C1144" i="2" s="1"/>
  <c r="C1145" i="2" s="1"/>
  <c r="C1146" i="2" s="1"/>
  <c r="C1147" i="2" s="1"/>
  <c r="C1148" i="2" s="1"/>
  <c r="C1149" i="2" s="1"/>
  <c r="C1150" i="2" s="1"/>
  <c r="C1151" i="2" s="1"/>
  <c r="C1152" i="2" s="1"/>
  <c r="C1153" i="2" s="1"/>
  <c r="C1154" i="2" s="1"/>
  <c r="C1155" i="2" s="1"/>
  <c r="C1156" i="2" s="1"/>
  <c r="C1157" i="2" s="1"/>
  <c r="C1158" i="2" s="1"/>
  <c r="C1159" i="2" s="1"/>
  <c r="C1160" i="2" s="1"/>
  <c r="C1161" i="2" s="1"/>
  <c r="C1162" i="2" s="1"/>
  <c r="C1163" i="2" s="1"/>
  <c r="C1164" i="2" s="1"/>
  <c r="C1165" i="2" s="1"/>
  <c r="C1166" i="2" s="1"/>
  <c r="C1167" i="2" s="1"/>
  <c r="C1168" i="2" s="1"/>
  <c r="C1169" i="2" s="1"/>
  <c r="C1170" i="2" s="1"/>
  <c r="C1171" i="2" s="1"/>
  <c r="C1172" i="2" s="1"/>
  <c r="C1173" i="2" s="1"/>
  <c r="D17" i="5"/>
  <c r="G16" i="5"/>
  <c r="C16" i="4"/>
  <c r="A17" i="4"/>
  <c r="C1175" i="2" l="1"/>
  <c r="C1176" i="2" s="1"/>
  <c r="C1177" i="2" s="1"/>
  <c r="C1178" i="2" s="1"/>
  <c r="C1179" i="2" s="1"/>
  <c r="C1180" i="2" s="1"/>
  <c r="C1181" i="2" s="1"/>
  <c r="C1182" i="2" s="1"/>
  <c r="C1183" i="2" s="1"/>
  <c r="C1184" i="2" s="1"/>
  <c r="C1185" i="2" s="1"/>
  <c r="C1186" i="2" s="1"/>
  <c r="C1187" i="2" s="1"/>
  <c r="C1188" i="2" s="1"/>
  <c r="C1189" i="2" s="1"/>
  <c r="C1190" i="2" s="1"/>
  <c r="C1191" i="2" s="1"/>
  <c r="C1192" i="2" s="1"/>
  <c r="C1193" i="2" s="1"/>
  <c r="C1194" i="2" s="1"/>
  <c r="C1195" i="2" s="1"/>
  <c r="C1196" i="2" s="1"/>
  <c r="C1197" i="2" s="1"/>
  <c r="C1198" i="2" s="1"/>
  <c r="C1199" i="2" s="1"/>
  <c r="C1200" i="2" s="1"/>
  <c r="C1201" i="2" s="1"/>
  <c r="C1202" i="2" s="1"/>
  <c r="C1203" i="2" s="1"/>
  <c r="C1204" i="2" s="1"/>
  <c r="C1205" i="2" s="1"/>
  <c r="C1206" i="2" s="1"/>
  <c r="C1207" i="2" s="1"/>
  <c r="C1208" i="2" s="1"/>
  <c r="C1209" i="2" s="1"/>
  <c r="C1210" i="2" s="1"/>
  <c r="C1211" i="2" s="1"/>
  <c r="C1212" i="2" s="1"/>
  <c r="C1213" i="2" s="1"/>
  <c r="C1214" i="2" s="1"/>
  <c r="C1215" i="2" s="1"/>
  <c r="C1216" i="2" s="1"/>
  <c r="C1217" i="2" s="1"/>
  <c r="C1218" i="2" s="1"/>
  <c r="C1219" i="2" s="1"/>
  <c r="C1220" i="2" s="1"/>
  <c r="C1221" i="2" s="1"/>
  <c r="C1222" i="2" s="1"/>
  <c r="C1223" i="2" s="1"/>
  <c r="C1224" i="2" s="1"/>
  <c r="C1225" i="2" s="1"/>
  <c r="C1226" i="2" s="1"/>
  <c r="C1227" i="2" s="1"/>
  <c r="C1228" i="2" s="1"/>
  <c r="C1229" i="2" s="1"/>
  <c r="C1230" i="2" s="1"/>
  <c r="C1231" i="2" s="1"/>
  <c r="C1232" i="2" s="1"/>
  <c r="C1233" i="2" s="1"/>
  <c r="C1234" i="2" s="1"/>
  <c r="C1235" i="2" s="1"/>
  <c r="C1236" i="2" s="1"/>
  <c r="C1237" i="2" s="1"/>
  <c r="C1238" i="2" s="1"/>
  <c r="C1239" i="2" s="1"/>
  <c r="C1240" i="2" s="1"/>
  <c r="D18" i="5"/>
  <c r="G17" i="5"/>
  <c r="C17" i="4"/>
  <c r="A18" i="4"/>
  <c r="C1242" i="2" l="1"/>
  <c r="C1243" i="2" s="1"/>
  <c r="C1244" i="2" s="1"/>
  <c r="C1245" i="2" s="1"/>
  <c r="C1246" i="2" s="1"/>
  <c r="C1247" i="2" s="1"/>
  <c r="C1248" i="2" s="1"/>
  <c r="C1252" i="2" s="1"/>
  <c r="C1253" i="2" s="1"/>
  <c r="C1254" i="2" s="1"/>
  <c r="C1255" i="2" s="1"/>
  <c r="C1256" i="2" s="1"/>
  <c r="C1257" i="2" s="1"/>
  <c r="C1258" i="2" s="1"/>
  <c r="C1259" i="2" s="1"/>
  <c r="C1260" i="2" s="1"/>
  <c r="D19" i="5"/>
  <c r="G18" i="5"/>
  <c r="C18" i="4"/>
  <c r="A19" i="4"/>
  <c r="D20" i="5" l="1"/>
  <c r="G19" i="5"/>
  <c r="C19" i="4"/>
  <c r="A20" i="4"/>
  <c r="D21" i="5" l="1"/>
  <c r="G20" i="5"/>
  <c r="C20" i="4"/>
  <c r="A21" i="4"/>
  <c r="D22" i="5" l="1"/>
  <c r="G21" i="5"/>
  <c r="C21" i="4"/>
  <c r="A22" i="4"/>
  <c r="D23" i="5" l="1"/>
  <c r="G22" i="5"/>
  <c r="C22" i="4"/>
  <c r="A23" i="4"/>
  <c r="D24" i="5" l="1"/>
  <c r="G23" i="5"/>
  <c r="C23" i="4"/>
  <c r="A24" i="4"/>
  <c r="D25" i="5" l="1"/>
  <c r="G24" i="5"/>
  <c r="C24" i="4"/>
  <c r="A25" i="4"/>
  <c r="D26" i="5" l="1"/>
  <c r="G25" i="5"/>
  <c r="C25" i="4"/>
  <c r="A26" i="4"/>
  <c r="D27" i="5" l="1"/>
  <c r="G26" i="5"/>
  <c r="C26" i="4"/>
  <c r="A27" i="4"/>
  <c r="D28" i="5" l="1"/>
  <c r="G28" i="5" s="1"/>
  <c r="H1" i="5" s="1"/>
  <c r="G27" i="5"/>
  <c r="C27" i="4"/>
  <c r="A28" i="4"/>
  <c r="C28" i="4" l="1"/>
  <c r="A29" i="4"/>
  <c r="C29" i="4" l="1"/>
  <c r="A30" i="4"/>
  <c r="C30" i="4" l="1"/>
  <c r="A31" i="4"/>
  <c r="C31" i="4" l="1"/>
  <c r="A32" i="4"/>
  <c r="C32" i="4" l="1"/>
  <c r="A33" i="4"/>
  <c r="A34" i="4" l="1"/>
  <c r="C33" i="4"/>
  <c r="A35" i="4" l="1"/>
  <c r="C34" i="4"/>
  <c r="A36" i="4" l="1"/>
  <c r="C35" i="4"/>
  <c r="A37" i="4" l="1"/>
  <c r="C36" i="4"/>
  <c r="A38" i="4" l="1"/>
  <c r="C37" i="4"/>
  <c r="A39" i="4" l="1"/>
  <c r="C38" i="4"/>
  <c r="A40" i="4" l="1"/>
  <c r="C39" i="4"/>
  <c r="A41" i="4" l="1"/>
  <c r="C40" i="4"/>
  <c r="A42" i="4" l="1"/>
  <c r="C41" i="4"/>
  <c r="A43" i="4" l="1"/>
  <c r="C42" i="4"/>
  <c r="A44" i="4" l="1"/>
  <c r="C43" i="4"/>
  <c r="A45" i="4" l="1"/>
  <c r="C44" i="4"/>
  <c r="A46" i="4" l="1"/>
  <c r="C45" i="4"/>
  <c r="A47" i="4" l="1"/>
  <c r="C46" i="4"/>
  <c r="A48" i="4" l="1"/>
  <c r="C47" i="4"/>
  <c r="A49" i="4" l="1"/>
  <c r="C48" i="4"/>
  <c r="A50" i="4" l="1"/>
  <c r="C49" i="4"/>
  <c r="A51" i="4" l="1"/>
  <c r="C50" i="4"/>
  <c r="A52" i="4" l="1"/>
  <c r="C51" i="4"/>
  <c r="A53" i="4" l="1"/>
  <c r="C52" i="4"/>
  <c r="A54" i="4" l="1"/>
  <c r="C53" i="4"/>
  <c r="A55" i="4" l="1"/>
  <c r="C54" i="4"/>
  <c r="A56" i="4" l="1"/>
  <c r="C55" i="4"/>
  <c r="A57" i="4" l="1"/>
  <c r="C56" i="4"/>
  <c r="A58" i="4" l="1"/>
  <c r="C57" i="4"/>
  <c r="A59" i="4" l="1"/>
  <c r="C58" i="4"/>
  <c r="A60" i="4" l="1"/>
  <c r="C59" i="4"/>
  <c r="C60" i="4" l="1"/>
  <c r="A61" i="4"/>
  <c r="A62" i="4" l="1"/>
  <c r="C61" i="4"/>
  <c r="A63" i="4" l="1"/>
  <c r="C63" i="4" s="1"/>
  <c r="D1" i="4" s="1"/>
  <c r="C62" i="4"/>
</calcChain>
</file>

<file path=xl/sharedStrings.xml><?xml version="1.0" encoding="utf-8"?>
<sst xmlns="http://schemas.openxmlformats.org/spreadsheetml/2006/main" count="3134" uniqueCount="2011">
  <si>
    <t>Item</t>
  </si>
  <si>
    <t>Question</t>
  </si>
  <si>
    <t>In women with suspected PCOS, is there evidence of ethnic and geographic variations in prevalence?</t>
  </si>
  <si>
    <t>Are women with PCOS at increased risk for cardiovascular disease?</t>
  </si>
  <si>
    <t>What are the characteristics of available models of care implemented in PCOS clinics or services?</t>
  </si>
  <si>
    <t>What is the burden of weight stigma in women with PCOS?</t>
  </si>
  <si>
    <t>Are anti-obesity pharmacological agents alone or in combination, effective for management of hormonal and clinical PCOS features and weight in adolescents and adults with PCOS?</t>
  </si>
  <si>
    <t>In adolescents and adults with PCOS, is inositol alone or in combination with other therapies, effective for management of hormonal and clinical PCOS features, weight and reproductive outcomes?</t>
  </si>
  <si>
    <t>In adults and adolescents with PCOS, is bariatric/metabolic surgery effective for management of hormonal and clinical PCOS features and weight?</t>
  </si>
  <si>
    <t>In women with PCOS and infertility, what are the preconception risk factors associated with poor or negative fertility outcomes?</t>
  </si>
  <si>
    <t>2.6.2</t>
  </si>
  <si>
    <t>included_reference</t>
  </si>
  <si>
    <t>In adolescents, at what time point after onset of menarche do irregular cycles indicate ongoing menstrual dysfunction?</t>
  </si>
  <si>
    <t>In women with suspected PCOS, what is the most effective measure to diagnose PCOS related hyperandrogenism (biochemical)?</t>
  </si>
  <si>
    <t>In women with suspected PCOS, what is the most effective measure to clinically diagnose PCOS related hyperandrogenism ?</t>
  </si>
  <si>
    <t>What is the post‐menopausal phenotype of PCOS and how elevated should androgens be to indicate PCOS?</t>
  </si>
  <si>
    <t>1.9.1</t>
  </si>
  <si>
    <t>Are women with PCOS at increased risk for impaired glucose tolerance and type 2 diabetes?</t>
  </si>
  <si>
    <t>In women with PCOS, what is the most effective tool/method to assess risk of type 2 diabetes mellitus?</t>
  </si>
  <si>
    <t>1.9.2</t>
  </si>
  <si>
    <t>Are women with PCOS at increased risk for sleep apnea?</t>
  </si>
  <si>
    <t>Are women with PCOS at increased risk of endometrial cancer?</t>
  </si>
  <si>
    <t>1.10.</t>
  </si>
  <si>
    <t>What is the risk of PCOS and related cardiometabolic outcomes (CVD, T2D) in relatives of women with PCOS?</t>
  </si>
  <si>
    <t>In women with PCOS, what is the prevalence and severity of depression and anxiety?</t>
  </si>
  <si>
    <t>In women with PCOS what is the prevalence and severity of psychosexual dysfunction?</t>
  </si>
  <si>
    <t>In women with PCOS, what is the prevalence and severity of body image distress?</t>
  </si>
  <si>
    <t>In women with PCOS what is the prevalence and severity of disordered eating?</t>
  </si>
  <si>
    <t>What are the information, resource and education needs of women, adolescents, CALD groups and healthcare providers regarding PCOS?</t>
  </si>
  <si>
    <t>2.6.1</t>
  </si>
  <si>
    <t>How can we best support women to navigate the impact of PCOS on family and interpersonal relationships?</t>
  </si>
  <si>
    <t>2.6.3</t>
  </si>
  <si>
    <t>What are the key challenges for those with PCOS when interacting with healthcare professionals about polycystic ovary syndrome and related features</t>
  </si>
  <si>
    <t>2.6.4</t>
  </si>
  <si>
    <t>Is psychological therapy effective for management and support of depression and/or anxiety, disordered eating, body image distress, self‐esteem, feminine identity or psychosexual dysfunction in women with PCOS?</t>
  </si>
  <si>
    <t>Are anti‐depressants and anxiolytics effective for management and support of depression and/or anxiety or disordered eating in women with PCOS?</t>
  </si>
  <si>
    <t>Why are women with PCOS at increased risk of weight gain?</t>
  </si>
  <si>
    <t>In women with PCOS, are exercise interventions (compared to different exercises) effective for improving anthropometric, metabolic, reproductive, fertility, quality of life and emotional wellbeing outcomes?</t>
  </si>
  <si>
    <t>In women with PCOS, are diet interventions (compared to different diets) effective for improving anthropometric, metabolic, fertility, and emotional wellbeing outcomes?</t>
  </si>
  <si>
    <t>In women with PCOS, are lifestyle interventions (compared to minimal or nothing) effective for improving anthropometric, metabolic, reproductive, fertility, quality of life and emotional wellbeing outcomes?</t>
  </si>
  <si>
    <t>In women with PCOS, are behavioural interventions (compared to different types of behavioural interventions) effective for improving anthropometric, metabolic, reproductive, fertility, quality of life and emotional wellbeing outcomes?</t>
  </si>
  <si>
    <t>Is the oral contraceptive pill alone or in combination effective for management of hormonal and clinical PCOS features in adolescents and adults with PCOS?</t>
  </si>
  <si>
    <t>Is metformin alone or in combination, effective for management of hormonal and clinical PCOS features and weight in adolescents and adults with PCOS?</t>
  </si>
  <si>
    <t>Are anti‐androgen pharmacological agents alone or in combination, effective for management of hormonal and clinical PCOS features and weight in adolescents and adults with PCOS?</t>
  </si>
  <si>
    <t>Is permanent hair reduction alone or in combination with other therapies, effective for management of hirsutism in adolescents and adults with PCOS?</t>
  </si>
  <si>
    <t>Are women with PCOS at increased risk of adverse pregnancy outcomes?</t>
  </si>
  <si>
    <t>In women with PCOS in pregnancy, is metformin compared to placebo/standard care effective in reducing pregnancy complications and adverse neonatal outcomes?</t>
  </si>
  <si>
    <t>In women with PCOS, is ovarian surgery effective for improving fertility outcomes?</t>
  </si>
  <si>
    <t>In women with PCOS, is stimulated IVF/ICSI effective for improving fertility outcomes?</t>
  </si>
  <si>
    <t>In women with PCOS, are gonadotrophins effective for improving fertility outcomes?</t>
  </si>
  <si>
    <t>Should women with PCOS and infertility due to anovulation alone with normal semen analysis undergo tubal patency testing prior to starting ovulation induction with timed intercourse or IUI treatment?</t>
  </si>
  <si>
    <t>In women with PCOS, are aromatase inhibitors effective for improving fertility outcomes?</t>
  </si>
  <si>
    <t>Topic</t>
  </si>
  <si>
    <t>Screening, diagnostic assessment, risk assessment and life-stage</t>
  </si>
  <si>
    <t>Prevalence, screening and management of psychological features and models of care</t>
  </si>
  <si>
    <t>Lifestyle Management</t>
  </si>
  <si>
    <t>Management of non-fertility features</t>
  </si>
  <si>
    <t>Assessment and treatment of infertility</t>
  </si>
  <si>
    <t>In women with PCOS, is clomiphene citrate effective for improving fertility outcomes? In women with PCOS, is metformin effective for improving fertility outcomes? In women with PCOS and a BMI&lt;30‐32, what is the effectiveness of metformin compared to clomiphene citrate for improving fertility outcomes?</t>
  </si>
  <si>
    <t>included_num</t>
  </si>
  <si>
    <t>1.4.1, 1.4.2</t>
  </si>
  <si>
    <t>What is the most effective ultrasound criteria to diagnose PCOS? When is ultrasound indicated to diagnose PCOS?</t>
  </si>
  <si>
    <t>Is AMH effective for diagnosis of PCOS? Is AMH effective to diagnosis of PCOM?</t>
  </si>
  <si>
    <t>1.5.1, 1.5.2</t>
  </si>
  <si>
    <t>evidence_review_type</t>
  </si>
  <si>
    <t>SR</t>
  </si>
  <si>
    <t>NR</t>
  </si>
  <si>
    <t>2.1.1 / 2.1.2</t>
  </si>
  <si>
    <t>In women with PCOS, what is the prevalence and severity of reduced QoL? In women with PCOS, what dimensions of QoL are most affected?</t>
  </si>
  <si>
    <t>searchstrat_year_start</t>
  </si>
  <si>
    <t>search_strat_yearend</t>
  </si>
  <si>
    <t>sr_update</t>
  </si>
  <si>
    <t>Y</t>
  </si>
  <si>
    <t>N</t>
  </si>
  <si>
    <t>question_id</t>
  </si>
  <si>
    <t>1 exp Menstruation Disturbances/
2 exp Menstruation/ or exp Menstrual Cycle/
3 mense*.tw.
4 period.tw.
5 menstrua*.tw.
6 cycl*.tw.
7 or/2-6
8 irregular*.tw.
9 dysfunction*.tw.
10 abnormal*.tw.
11 disorder*.tw.
12 disturb*.tw.
13 absen*.tw.
14 miss*.tw.
15 or/8-14
16 exp Oligomenorrhea/
17 Oligomenorrh*.mp.
18 exp Amenorrhea/
19 Amenorrh*.mp.
20 exp Anovulation/
21 Anovulat*.mp.
22 or/16-21
23 exp polycystic ovary syndrome/
24 polycystic ovar*.mp.
25 poly-cystic ovar*.mp.
26 PCO*.mp.
27 (stein-leventhal or leventhal).mp.
28 anovulation/
29 anovulat*.mp.
30 oligo-ovulat*.mp.
31 oligoovulat*.mp.
32 (ovar* adj5 (sclerocystic or polycystic or polycystic
or degenerate* or hyperandrogen* or
hyperandrogen*)).mp.
33 or/23-32
34 1 or 15 or 22
35 7 and 33 and 34
36 Adolescen*.mp. 
37 youth.mp. [mp=title, abstract, original title, name
of substance word, subject heading word, floating subheading
word, keyword heading word, organism
supplementary concept word, protocol supplementary
concept word, rare disease supplementary concept word,
unique identifier, synonyms]
38 young.mp. [mp=title, abstract, original title, name
of substance word, subject heading word, floating subheading
word, keyword heading word, organism
supplementary concept word, protocol supplementary
concept word, rare disease supplementary concept word,
unique identifier, synonyms]
39 Teenage*.mp. [mp=title, abstract, original title,
name of substance word, subject heading word, floating
sub-heading word, keyword heading word, organism
supplementary concept word, protocol supplementary
concept word, rare disease supplementary concept word,
unique identifier, synonyms]
40 36 or 37 or 38 or 39
41 35 and 40
42 limit 41 to (english language and humans and
yr="2017 -Current")</t>
  </si>
  <si>
    <t>S1 MH polycystic ovary syndrome
S2 TX polycystic ovar*
S3 TX poly-cystic ovar*
S4 TX PCO*
S5 TX (stein-leventhal or leventhal)
S6 MH anovulation
S7 TX anovulat*
S8 TX oligo-ovulat*
S9 TX oligoovulat*
S10 TX (ovar* N5 (sclerocystic or polycystic or poly-cystic
or degenerat* or hyperandrogen* or hyper-androgen*))
S11 S1 OR S2 OR S3 OR S4 OR S5 OR S6 OR S7 OR
S8 OR S9 OR S10
S12 (MH "Menstruation Disorders+")
S13 (MH "Oligomenorrhea")
S14 (MH "Amenorrhea+")
S15 (MH "Anovulation")
S16 Oligomenorrh*
S17 Amenorrh*
S18 Anovulat*
S19 (MH "Menstruation") or (MH "Menstrual Cycle+")
S20 mense* or period or menstrua* or cycl*
S21 irregular* or dysfunction* or abnormal* or disorder* or
disturb* or absen* or miss*
S22 S19 OR S20
S23 S21 AND S22
S24 S12 OR S13 OR S14 OR S15 OR S16 OR S17 OR
S18 OR S23
S25 S11 AND S24
S26 S11 AND S24 Limiters - Publication Year: 2017-
2022; English Language; Human; Sex: Female</t>
  </si>
  <si>
    <t>1 (decision aid$ or decision tool).tw.
2 tool$.tw.
3 rule$.tw.
4 measure$.tw.
5 model.tw.
6 assess$.tw.
7 calculat$.tw.
8 class$.tw.
9 (estimate$ or estimation$).tw.
10 equation$.tw.
11 (score$ or scoring).tw.
12 algorithm$.tw.
13 chart$.tw.
14 table$.tw.
15 tabulat$.tw.
16 test$.tw.
17 screen$.tw.
18 checklist.tw.
19 check-list.tw.
20 checksheet.tw.
21 check-sheet.tw.
22 ticklist.tw.
23 tick-list.tw.
24 Instrument.tw.
25 or/1-24 16687889
26 exp Diagnosis/
27 diagnos$.tw.
28 26 or 27
29 hyperandrogen$.tw.
30 hyper-androgen$.tw.
31 (androgen$ adj5 (excess$ or elevat$)).mp.
32 29 or 30 or 31
33 testosterone.tw.
34 LCMS.tw.
35 assay.tw.
36 immunoassay.tw.
37 radioimmunoassay.tw.
38 radio-immunoassay.tw.
39 34 or 35 or 36 or 37 or 38
40 33 and 39 8384
41 Sex Hormone-Binding Globulin/an, bl, du [Analysis, Blood, Diagnostic Use]
42 SHBG.tw.
43 free androgen index.tw.
44 FAI.tw.
45 Androstenedione/an, bl, du [Analysis, Blood, Diagnostic Use]
46 Dehydroepiandrosterone/an, bl, du [Analysis, Blood, Diagnostic Use]
47 DHEAS.tw.
48 exp Hydroxyprogesterones/an, bl, du [Analysis, Blood, Diagnostic Use]
49 17 hydroxy progesterone.tw.
50 17-OH-progesterone.tw.
51 17-hydroxy-progesterone.tw.
52 40 or 41 or 42 or 43 or 44 or 45 or 46 or 47 or 48 or 49 or 50 or 51
53 25 and 28 and 32 and 52
54 (sensitiv: or predictive value:).mp. or accurac:.tw.
55 53 and 54
56 limit 55 to (english language and female and humans)
57 limit 56 to yr="2017 -Current"</t>
  </si>
  <si>
    <t>searchstrat_ovidmedline</t>
  </si>
  <si>
    <t>searchstrat_cinahl</t>
  </si>
  <si>
    <t>searchstrat_embase</t>
  </si>
  <si>
    <t>searchstrat_psychinfo</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</si>
  <si>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</si>
  <si>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
humans and yr="2017 -Current")
22 from 21 keep 1-263</t>
  </si>
  <si>
    <t xml:space="preserve">S1 MH polycystic ovary syndrome
S2 TX polycystic ovar*
S3 TX poly‐cystic ovar*
S4 TX PCO*
S5 TX (stein-leventhal or leventhal)
S6 MH anovulation
S7 TX anovulat*
S8 TX oligo-ovulat*
S9 TX oligoovulat*
S10 TX (ovar* N5 (sclerocystic or
polycystic or poly-cystic or degenerat* or
hyperandrogen* or hyper-androgen*))
S11 S1 OR S2 OR S3 OR S4 OR S5 OR
S6 OR S7 OR S8 OR S9 OR S10
S12 MH diagnosis
S13 TX diagnos*
S14 S12 OR S13
S15 TX hyperandrogen*
S16 TX hyper-androgen*
S17 TX (androgen* N5 (excess* or
elevat*))
S18 S15 OR S16 OR S17
S19 TX ( (sensitiv* or predictive value) )
OR TX accurac*
S20 S11 AND S14 AND S18 AND S19
S21 S11 AND S14 AND S18
S22 S11 AND S14 AND S18 Limiters -
Publication Year: 2017-2022; English
Language; Human
</t>
  </si>
  <si>
    <t>searchstrat_ebmreviews</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</si>
  <si>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 humans and yr="2017 -Current")
22 11 and 14 and 18
23 limit 22 to english language
24 limit 23 to yr="2017 -Current"</t>
  </si>
  <si>
    <t>1. polycystic ovary syndrome [mh]
2. polycystic ovar* [tiab]
3. poly-cystic ovar* [tiab]
4. PCOS or PCO* [tiab]
5. Stein-Leventhal or Leventhal [tiab]
6. anovulation [mh]
7. anovulat* [tiab]
8. oligo-ovulat* [tiab]
9. oligoovulat* [tiab]
10. sclerocystic ovary syndrome [tiab]
11. #1 OR #2 OR #3 OR #4 OR #5 OR #6 OR #7 OR #8 OR #9 OR #10
12. Diagnosis [mh]
13. diagnos* [tiab]
14. sensitivity [tiab]
15. specificity [tiab]
16. ROC curve [tiab]
17. AUC [tiab]
18. threshold [tiab]
19. accuracy [tiab]
20. diagnostic accuracy [tiab]
21. predictive value [tiab]
22. #12 OR #13 OR #14 OR #15 OR #16 OR #17 OR #18 OR #19 OR #20 OR #21
23. ultrasound [tiab]
24. ultrasonograph* [tiab]
25. sonograph* [tiab]
26. imag* [tiab]
27. #23 OR #24 OR #25 OR #26
28. Ovary [mh]
29. ovar* [tiab]
30. Cysts [mh]
31. cyst* [tiab]
32. follic* [tiab]
33. antral follicle* [tiab]
34. polycystic ovarian morphology [tiab]
35. PCOM [tiab]
36. #28 OR #29 OR #30 OR #31 OR #32 OR #33 OR #34 OR #35
37. volume [tiab]
38. size [tiab]
39. diameter [tiab]
40. distribution [tiab]
41. population [tiab]
42. morphology [tiab]
43. #37 OR #38 OR #39 OR #40 OR #41 OR #42
44. #11 AND #22 AND #27 AND #36 AND #43
45. limit 44 to Humans
46. limit 45 to Journal Article
47. limit 46 to Female
48. limit 47 to English
49. limit 48 to yr “1990-2022”</t>
  </si>
  <si>
    <t>searchstrat_wos</t>
  </si>
  <si>
    <t>searchstrat_scopus</t>
  </si>
  <si>
    <t>searchstrat_central</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</si>
  <si>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49819
12 exp Diagnosis/
13 diagnos$.tw.
14 12 or 13
15 hyperandrogen$.tw.
16 hyper-androgen$.tw.
17 (androgen$ adj5 (excess$ or
elevat$)).mp.
18 or/15-17
19 (sensitiv: or predictive value:).mp. or accurac:.tw.
20 11 and 14 and 18 and 19
21 limit 20 to (english language and humans and yr="2017 -Current")
22 10 and 14 and 18
23 limit 22 to (english language and humans and yr="2017 -Current")</t>
  </si>
  <si>
    <t>Use polyglot translation</t>
  </si>
  <si>
    <t>TS=(((polycystic-ovar* OR poly-cystic-ovar* OR PCO* OR Leventhal OR anovulat* OR oligoovulat*
OR oligoovulat* OR (ovar* NEAR/5 (sclerocystic OR polycystic OR poly-cystic OR
degenerate* OR hyperandrogen* OR hyper-androgen*)))) AND ((antimullerian-hormone* OR
antimuellerian-hormone* OR anti-mullerian-hormone* OR anti-muellerian-hormone* OR AMH OR muellerian-inhibi* OR mullerian-inhibi*)) AND ((diagn*)) NOT ((animal* OR rat OR rats OR mouse
OR mice OR murine OR dog OR dogs OR canine OR cat OR cats OR feline OR rabbit OR cow
OR cows OR bovine OR rodent* OR sheep OR ovine OR pig OR swine OR porcine OR
veterinar* OR chick* OR zebrafish* OR baboon* OR nonhuman* OR primate* OR cattle* OR
goose OR geese OR duck OR macaque* OR avian* OR bird* OR fish*) NOT (human* OR
patient* OR women OR woman OR men OR man))) AND DT=(Article OR Review OR Letter OR
Early Access) AND LA=(English) AND PY=(2017-2030)</t>
  </si>
  <si>
    <t>(exp polycystic ovary syndrome/ OR anovulation/ OR (polycystic-ovar* OR poly-cystic-ovar* OR PCO* OR Leventhal OR anovulat* OR oligo-ovulat* OR oligoovulat* OR (ovar* ADJ5 (sclerocystic OR polycystic OR poly-cystic OR degenerate* OR hyperandrogen* OR hyperandrogen*))).ab,ti,kf.) AND (Anti-Mullerian Hormone/ OR (antimullerian-hormone* OR antimuellerian-hormone* OR anti-mullerian-hormone* OR anti-muellerian-hormone* OR AMH OR muellerian-inhibi* OR mullerian-inhibi*).ab,ti,kf.) AND (exp Diagnosis/ OR diagnosis.fx. OR (diagn*).ab,ti,kf.) AND 2017:2030.(sa_year) AND english.lg. NOT (exp animals/ NOT humans/) NOT (news OR congres* OR abstract* OR book* OR chapter* OR dissertation abstract*).pt.</t>
  </si>
  <si>
    <t>('ovary polycystic disease'/exp OR 'anovulation'/exp OR (polycystic-ovar* OR poly-cystic-ovar* OR PCO* OR Leventhal OR anovulat* OR oligo-ovulat* OR oligoovulat* OR (ovar* NEAR/5 (sclerocystic OR polycystic OR poly‐cystic OR degenerate* OR hyperandrogen* OR hyperandrogen*))):ab,ti,kw) AND ('Muellerian inhibiting factor'/exp OR (antimullerian-hormone* OR antimuellerian-hormone* OR anti-mullerian-hormone* OR anti-muellerian-hormone* OR AMH OR muellerian-inhibi* OR mullerian-inhibi*):ab,ti,kw) AND ('diagnosis'/exp OR 'diagnosis':lnk OR (diagn*):ab,ti,kw) AND [2017-2030]/py AND [English]/lim NOT ((animal/exp OR animal*:de OR nonhuman/de) NOT ('human'/exp)) NOT [conference abstract]/lim</t>
  </si>
  <si>
    <t>((polycystic-ovar* OR poly-cystic-ovar* OR PCO* OR Leventhal OR anovulat* OR oligo‐ovulat* OR oligoovulat* OR (ovar* NEAR/5 (sclerocystic OR polycystic OR poly‐cystic OR degenerate* OR hyperandrogen* OR hyper-androgen*))):ab,ti,kw) AND ((antimullerian hormone* OR antimuellerian-hormone* OR anti-mullerian-hormone* OR anti-muellerian-hormone* OR AMH OR muellerian-inhibi* OR mullerian-inhibi*):ab,ti,kw) AND ((diagn*):ab,ti,kw) NOT "conference abstract":pt Filtered in database: 01/01/2017 to 31/12/2022</t>
  </si>
  <si>
    <t>(MH Polycystic Ovary Syndrome OR MH Anovulation OR TI(polycystic-ovar* OR poly-cystic-ovar* OR PCO* OR Leventhal OR anovulat* OR oligo‐ovulat* OR oligoovulat* OR (ovar* N5 (sclerocystic OR polycystic OR poly‐cystic or degenerate* OR hyperandrogen* OR hyperandrogen*))) OR AB(polycystic-ovar* OR poly-cystic-ovar* OR PCO* OR Leventhal OR anovulat* OR oligo‐ovulat* OR oligoovulat* OR (ovar* N5 (sclerocystic OR polycystic OR poly‐cystic OR degenerate* OR hyperandrogen* OR hyper-androgen*)))) AND (TI(antimullerian-hormone* OR antimuellerian-hormone* OR anti-mullerian-hormone* OR anti-muellerian-hormone* OR AMH OR muellerian-inhibi* OR mullerian-inhibi*) OR AB(antimullerian-hormone* OR antimuellerianhormone* OR anti-mullerian-hormone* OR anti-muellerian-hormone* OR AMH OR muellerianinhibi* OR mullerian-inhibi*)) AND (MH Diagnosis+ OR TI(diagn*) OR AB(diagn*)) NOT (MH animals+ NOT human+)
Limits
Language: English
Publication date: 2017-2030
Source types: Academic journals</t>
  </si>
  <si>
    <t>((polycystic-ovar* OR poly-cystic-ovar* OR PCO* OR Leventhal OR anovulat* OR oligo-ovulat* OR oligoovulat* OR (ovar* ADJ5 (sclerocystic OR polycystic OR poly-cystic or degenerate* OR hyperandrogen* OR hyper-androgen*))).ab,ti.) AND ((antimullerian hormone* OR antimuellerianhormone* OR anti-mullerian-hormone* OR anti-muellerian-hormone* OR AMH OR muellerianinhibi* OR mullerian-inhibi*).ab,ti.) AND (exp Diagnosis/ OR (diagn*).ab,ti.) AND 2017:2030.(sa_year) AND english.lg. NOT ((animal.po. OR exp animals/) NOT human.po.) NOT (news OR congres* OR abstract* OR book* OR chapter* OR dissertation abstract*).pt.</t>
  </si>
  <si>
    <t xml:space="preserve">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Population Groups/
13 "Ethnic and Racial Minorities"/
14 Minority Groups/
15 Arabs/
16 Indigenous Peoples/
17 Vulnerable Populations/
18 Roma/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2049
24 exp Polycystic Ovary Syndrome/cl, di, ep, pc, sn [Classification, Diagnosis, Epidemiology, Prevention &amp; Control, Statistics &amp; Numerical Data]
25 11 and (22 or 24)
26 limit 25 to (english language and humans and yr="1990 -Current")
</t>
  </si>
  <si>
    <t>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"Population Groups"/
13 "Ethnic and Racial Minorities".tw.
14 "Minority Groups"/
15 Arabs/
16 Indigenous Peoples/
17 "Vulnerable Populations"/
18 Roma/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24 exp ovary polycystic disease/di, ep [Diagnosis, Epidemiology]
25 11 and (22 or 24)
26 limit 25 to (human and english language and yr="1990 -Current")</t>
  </si>
  <si>
    <t>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(Population groups or Racial groups or Black or African Americans or American Native Continental Ancestry Group or Asians or Asian Americans or Whites or "Native Hawaiian or Other Pacific Islander" or Ethnicity).tw.
13 "Ethnic and Racial Minorities".tw
14 Minority Groups.tw
15 Arabs.tw
16 Indigenous Peoples.tw
17 Vulnerable Populations.tw
18 Roma.tw
19 (aborigin* or native* or inuit* or eskimo* or kalaallit* or amerind* or romany or romani* or gypsies or gipsies or maori* or metis* or First Nation* or Torres Strait island*).tw. 6837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24 (prevalen* or inciden* or epidemiolog*).tw.
25 11 and (22 or 24)
26 limit 25 to english language
27 limit 26 to yr="1990 -Current" 
28 limit 27 to humans</t>
  </si>
  <si>
    <t>1 Polycystic Ovary Syndrome.mp.
2 Polycystic ovar*.mp. 
3 Poly-cystic ovar*.mp.
4 PCO*.mp.
5 (stein-leventhal or Leventhal).mp.
6 Anovulation.mp.
7 Anovulat*.mp.
8 Oligo-ovulat*.mp.
9 Oligoovulat*.mp.
10 (ovar* adj5 (sclerocystic or polycystic or poly-cystic or degenerat* or hyperandrogen* or hyper-androgen*)).mp.
11 or/1-10
12 (Population groups or Racial groups or Black or African Americans orAmerican Native Continental Ancestry Group or Asians or Asian Americans or Whites or "Native Hawaiian or Other Pacific Islander" or Ethnicity).tw.
13 "Ethnic and Racial Minorities".tw.
14 Minority Groups.tw. 
15 Arabs.tw.
16 Indigenous Peoples.tw. 
17 Vulnerable Populations.tw.
18 Roma.tw.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exp epidemiology/
24 (prevalen* or inciden* or epidemiolog*).tw. 
25 23 or 24 
26 11 and 25 
27 11 and (22 or 25) 
28 27 
29 limit 28 to (human and english language and yr="1990 -Current")</t>
  </si>
  <si>
    <t>sr_new</t>
  </si>
  <si>
    <t>1 exp Polycystic Ovary Syndrome/
2 polycystic ovar$.mp.
3 poly-cystic ovar$.mp.
4 PCO$.mp.
5 (stein-leventhal or leventhal).mp.
6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cardiovascular disorders.mp.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diabetes mellitus/
64 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(english language and humans and yr="2017-Current")
80 11 and 47 and 76
81 limit 80 to (english language and female and humans and yr="2017 -Current")
82 limit 80 to (english language and humans and yr="2017-Current")
83 82 not 81
84 or/1-10
85 or/48-62
86 or/37-46
87 84 and 85 and 86
88 limit 87 to (english language and humans and yr="2017-Current")
89 11 and 36 and 85
90 limit 89 to (English language and humans and yr=”2017-Current”)
91 90 NOT</t>
  </si>
  <si>
    <t>Repeat medline</t>
  </si>
  <si>
    <t xml:space="preserve">S1 (MM "Polycystic Ovary Syndrome")
S2 TX polycystic ovar*
S3 TX poly-cystic ovar*
S4 TX PCO*
S5 TX (stein-leventhal or leventhal)
S6 (MM "Anovulation")
S7 TX anovulati*
S8 TX oligoovulat*
S9 TX oligo-ovulat*
S10 TX (ovar* N5 (scelerocystic or polycystic or poly-cystic or degenerat* or hyperandrogen* or hyper-androgen*)).
S11 S1 OR S2 OR S3 OR S4 OR S5 OR S6 OR S7 OR S8 OR S9 OR S10
S12 TI ( (decision aid* or decision tool) ) OR AB ( (decision aid* or decision tool) )
S13 TI tool* OR AB tool*
S14 TI rule* OR AB rule*
S15 TI measure* OR AB measure*
S16 TI model OR AB model
S17 TI assess* OR AB assess*
S18 TI calculat* OR AB calculat*
S19 TI class* OR AB class*
S20 TI ( (estimate* or estimation*) ) OR AB ( (estimate* or estimation*) )
S21 TI equation* OR AB equation*
S22 TI ( (score* or scoring) ) OR AB ( (score* or scoring) )
S23 TI algorithm* OR AB algorithm*
S24 TI chart* OR AB chart*
S25 TI table* OR AB table*
S26 TI tabulat* OR AB tabulat*
S27 TI test* OR AB test*
S28 TI screen* OR AB screen*
S29 TI checklist OR AB checklist
S30 TI check-list OR AB check-list
S31 TI checksheet OR AB checksheet
S32 TI check-sheet OR AB check-sheet
S33 TI ticklist OR AB ticklist
S34 TI instrument OR AB instrument
S35 TI tick-list OR AB tick-list
S36 S12 OR S13 OR S14 OR S15 OR S16 OR S17 OR S18 OR S19 OR S20 OR S21 OR S22 OR S23 OR S24 OR S25 OR S26 OR S27 OR S28 OR S29 OR S30 OR S31 OR S32 OR S33 OR S34 OR S35
S37 (MM "Risk Assessment")
S38 TI risk* OR AB risk*
S39 TI chance* OR AB chance*
S40 TI chance* OR AB chance*
S41 TI likelihood* OR AB likelihood*
S42 TI potential OR AB potential
S43 TI probabilit* OR AB probabilit*
S44 TI possib* OR AB possib*
S45 TI prognosis OR AB prognosis
S46 TI inciden* OR AB inciden*
S47 S37 OR S38 OR S39 OR S41 OR S42 OR S43 OR S44 OR
S45 OR S46
S48 (MM "Coronary Disease+")
S49 (MM "Cerebrovascular Disorders+")
S50 (MM "Cardiovascular Diseases+")
S51 (MM "Atherosclerosis")
S52 TI heart attack* OR AB heart attack*
S53 TI stroke* OR AB stroke*
S54 TI myocardial infarction OR AB myocardial infarction
S55 TI cerebral vascular accident* OR AB cerebral vascular accident*
S56 TI coronary vascular accident OR AB coronary vascular accident
S57 TI ( (coronary N1 (event* or disease or heart disease or mortality)) ) OR AB ( (coronary N1 (event* or disease or heart disease or mortality)) )
S58 TI coronary thrombosis OR AB coronary thrombosis
S59 TI coronary atherosclerosis OR AB coronary atherosclerosis
S60 TI ( (cardiovascular N1 (event$ or mortality)) ) OR AB ((cardiovascular N1 (event$ or mortality)) )
S61 TX CAD
S62 TX CVD
S63 (MM "Diabetes Mellitus+")
S64 TI diabet* OR AB diabet*
S65 TI IDDM OR AB IDDM
S66 TI NIDDM OR AB NIDDM
S67 TI MODY OR AB MODY
S68 TI (late onset N1 diabet*) OR AB (late onset N1 diabet*)
S69 TI (maturity onset N1 diabet*) OR AB (maturity onset N1 diabet*)
S70 TI ( (non insulin* depend* or non‐insulin* depend* or noninsulin* depend* or non insulin#depend* or noninsulin#depend*) ) OR AB ( (non insulin* depend* or noninsulin* depend* or noninsulin* depend* or non insulin#depend* or noninsulin#depend*) )
S71 TI ( (insulin* depend* or insulin-depend* or insulin#depend*)) OR AB ( (insulin* depend* or insulin-depend* or insulin#depend*) )
S72 TI (typ* 2 N6 diabet*) OR AB (typ* 2 N6 diabet*)
S73 TI (typ* II N6 diabet*) OR AB (typ* II N6 diabet*)
S74 TI T2DM OR AB T2DM
S75 TI DM2 OR AB DM2
S76 S48 OR S49 OR S50 OR S51 OR S52 OR S53 OR S54 OR S55 OR S56 OR S57 OR S58 OR S59 OR S60 OR S61 OR S62 OR S63 OR S64 OR S65 OR S66 OR S67 OR S68 OR S69 OR
S70 OR S71 OR S72 OR S73 OR S74 OR S75
S77 TX ( sensitiv* OR predictive value OR accurac* OR specificit*)
S78 S11 AND S36 AND S47 AND S76 AND S77
S79 S11 AND S36 AND S47 AND S76 AND S77
S80 S48 OR S49 OR S50 OR S51 OR S52 OR S53 OR S54 OR S55 OR S56 OR S57 OR S58 OR S59 OR S60 OR S61 OR S62
S81 S11 AND S47 AND S80
S82 S11 AND S47 AND S80 Limiters - Publication Year: 2017-2022; English Language; Human
S83 S11 AND S36 AND S80
S84 S11 AND S36 AND S80 Limiters - Publication Year: 2017-2022; English Language; Human
S85 S84 NOT S82
</t>
  </si>
  <si>
    <t>1 exp Polycystic Ovary Syndrome/
2 Polycystic Ovar*.tw.
3 (pco or pcos).tw.
4 (sclerocystic adj3 ovar*).tw.
5 stein leventhal.tw.
6 or/1-5
7 animals/ not (animals/ and humans/)
8 6 not 7
9 diabet*.tw.
10 NIDDM.tw.
11 exp Diabetes Mellitus, Type 2/
12 exp glucose intolerance/
13 glucose intoleran*.tw.
14 impaired glucose toleran*.tw.
15 (obes* adj diabet*).tw.
16 dm2.tw.
17 (non insulin* depend* or noninsulin* depend* or noninsulindepend* or non insulin?depend*).tw.
18 ((typ* 2 or typ*II or typ* ii) adj diabet*).tw.
19 ((keto?resist* or non?keto*) adj diabet*).tw.
20 ((adult* or matur* or late or slow or stabl*) adj diabet*).tw.
21 (insulin* defic* adj relativ*).tw.
22 (exp obesity/ or obes*.mp.) and (exp diabetes mellitus/ or Diabet*.mp.)
23 or/9-22
24 exp Diabetes Insipidus/
25 diabet* insipidus.tw.
26 24 or 25
27 23 not 26
28 (insulin* resistan* adj3 syndrome*).tw.
29 metabolic* syndrom*.tw. or exp metabolic syndrome 
30 X/ (pluri metabolic* syndrom* or plurimetabolic* syndrom*).tw.
31 (syndrome* adj x).tw.
32 or/28-31
33 8 and (27 or 32)
34 limit 33 to english language
35 limit 34 to yr="2016 -Current"</t>
  </si>
  <si>
    <t xml:space="preserve">S1 MH polycystic ovary syndrome
S2 sclerocystic N3 ovar*
S3 Polycystic Ovar*
S4 PCO*
S5 stein leventhal
S6 S2 OR S3 OR S4 OR S5
S7 S1 OR S6
S8 TX "obes* diabet*"
S9 TX (diabet* OR NIDDM OR glucose intoleran* OR impaired glucose toleran* OR dm2)
S10 (MH "diabetes mellitus, type 2" )
S11 (MH "glucose intolerance" )
S12 non insulin* depend*
S13 non insulin?depend*
S14 "typ* 2 or typ*II or typ* ii diabet*"
S15 "(keto?resist* or non? keto*) diabet*"
S16 TI ( (adult* or matur* or late or slow or stabl*) diabet*)) OR AB ( (adult* or matur* or late or slow or stabl*) diabet*) )
S17 (insulin* defic* relativ*)
S18 Diabet* AND obes*
S19 S8 OR S9 OR S10 OR S11 OR S12 OR S13 OR S14 OR S15 OR S16 OR S17 OR S18
S20 (MH "diabetes insipidus" )
S21 diabet* insipidus
S22 S20 OR S21
S23 S19 NOT S22
S24 insulin*
S25 metabolic* syndrom* OR (MH "metabolic syndrome X")
S26 pluri metabolic* syndrom* or plurimetabolic* syndrom*
S27 syndrome* x
S28 S24 OR S25 OR S26 OR S27
S29 S23 OR S28
S30 S7 AND S29
S31 S7 AND S29
</t>
  </si>
  <si>
    <t xml:space="preserve">1 exp Polycystic Ovary Syndrome/
2 polycystic ovar$.mp.
3 poly-cystic ovar$.mp.
4 PCO$.mp.
5 (stein-leventhal or leventhal).mp.
6 exp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exp Cardiovascular Diseases/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exp Diabetes Mellitus/
64 diabet$.tw.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(human and english language and yr="2017 -Current") 
80 limit 78 to (english language and humans and yr="2017 - 2022") 
81 or/63-75
82 11 and 36 and 47 and 81 and 77 
83 limit 82 to (english language and yr="2017 - 2022") </t>
  </si>
  <si>
    <t>1 exp Polycystic Ovary Syndrome/ 1,697
2 polycystic ovar$.mp. 4,598
3 poly-cystic ovar$.mp. 132
4 PCO$.mp. 6,171
5 (stein-leventhal or leventhal).mp. 98
6 exp Anovulation/ 154
7 anovulat$.mp. 1,175
8 oligo-ovulat$.mp. 55
9 oligoovulat$.mp. 31
10
(ovar$ adj5 (scelerocystic or polycystic or poly-cystic or degenerat$ or hyperandrogen$ or hyperandrogen$)).
mp.
4,791
11 or/1-10 8,115
12 (decision aid$ or decision tool).tw. 1,919
13 tool$.tw. 52,170
14 rule$.tw. 14,962
15 measure$.tw. 520,519
16 model.tw. 113,223
17 assess$.tw. 595,770
18 calculat$.tw. 102,538
19 class$.tw. 127,387
20 (estimate$ or estimation$).tw. 117,524
21 equation$.tw. 9,696
22 (score$ or scoring).tw. 317,651
23 algorithm$.tw. 16,076
24 chart$.tw. 12,842
25 table$.tw. 107,543
26 tabulat$.tw. 3,648
27 test$.tw. 420,757
28 screen$.tw. 100,506
29 checklist.tw. 10,711
30 check-list.tw. 1,182
31 checksheet.tw. 2
32 check-sheet.tw. 19
33 ticklist.tw. 0
34 tick-list.tw. 7
35 instrument.tw. 14,712
36 or/12-35 1,256,988
37 exp Risk Assessment/ 10,244
38 exp Risk/ 42,256
39 risk$.tw. 291,774
40 chance$.tw. 16,168
41 likelihood.tw. 17,640
42 potential.tw. 142,814
43 probabilit$.tw. 24,547
44 possib$.tw. 114,117
45 prognosis.tw. 25,317
46 inciden$.tw. 151,452
47 or/37-46 592,208
48 exp Coronary Disease/ 15,347
49 exp Cerebrovascular Disorders/ 17,516
50 exp Cardiovascular Diseases/ 121,194
51 exp Atherosclerosis/ 2,722
52 heart attack$.tw. 1,992
53 stroke$.tw. 65,882
54 myocardial infarction.tw. 36,114
55 cerebral vascular accident.mp. 126
56 coronary vascular accident.mp. 0
57 (coronary adj (event$ or disease or heart disease or mortality)).mp. 12,059
58 coronary thrombosis.mp. 676
59 coronary atherosclerosis.mp. 907
60 (cardiovascular adj (event$ or mortality)).mp. 16,910
61 CAD.mp. 6,375
62 CVD.mp. 6,991
63 exp Diabetes Mellitus/ 36,270
64 diabet$.tw. 110,178
65 IDDM.tw. 653
66 NIDDM.tw. 1,196
67 MODY.tw. 91
68 (late onset adj diabet$).tw. 6
69 (maturity onset adj diabet$).tw. 131
70
(non insulin$ depend$ or non-insulin$ depend$ or noninsulin$ depend$ or non insulin?depend$ or
noninsulin?depend$).tw.
2,499
71 (insulin$ depend$ or insulin-depend$ or insulin?depend$).tw. 4,018
72 (typ$ 2 adj6 diabet$).tw. 43,224
73 (typ$ II adj6 diabet$).tw. 3,127
74 T2DM.tw. 7,528
75 DM2.tw. 424
76 or/48-75 288,007
77 (sensitiv: or predictive value:).mp. or accurac:.tw. or specificit$.tw. 147,035
78 11 and 36 and 47 and 76 and 77 220
79
limit 78 to (human and english language and yr="2017 -Current") [Limit not valid in CDSR,ACP Journal
Club,DARE,CCA,CCTR,CLCMR; records were retained]
78
80
limit 78 to (english language and humans and yr="2017 - 2022") [Limit not valid in CDSR,ACP Journal
Club,DARE,CCA,CCTR,CLCMR; records were retained]
78
81 or/63-75 113,084
82 11 and 36 and 47 and 81 and 77 178
83
limit 82 to (english language and yr="2017 - 2022") [Limit not valid in CDSR,ACP Journal
Club,DARE,CCA,CLCMR; records were retained]
62</t>
  </si>
  <si>
    <t>1 exp Polycystic Ovary Syndrome/ 0
2 polycystic ovar$.mp. 519
3 poly-cystic ovar$.mp. 1
4 PCO$.mp. 1,113
5 (stein-leventhal or leventhal).mp. 317
6 exp Anovulation/ 0
7 anovulat$.mp. 161
8 oligo-ovulat$.mp. 0
9 oligoovulat$.mp. 0
10
(ovar$ adj5 (scelerocystic or polycystic or poly-cystic or degenerat$ or hyperandrogen$ or hyperandrogen$)).
mp.
538
11 or/1-10 1,763
12 (decision aid$ or decision tool).tw. 1,701
13 tool$.tw. 178,539
14 rule$.tw. 67,515
15 measure$.tw. 838,837
16 model.tw. 574,771
17 assess$.tw. 856,935
18 calculat$.tw. 67,751
19 class$.tw. 418,371
20 (estimate$ or estimation$).tw. 170,369
21 equation$.tw. 59,007
22 (score$ or scoring).tw. 386,774
23 algorithm$.tw. 37,823
24 chart$.tw. 22,939
25 table$.tw. 37,356
26 tabulat$.tw. 3,792
27 test$.tw. 895,060
28 screen$.tw. 113,025
29 checklist.tw. 29,785
30 check-list.tw. 4,174
31 checksheet.tw. 9
32 check-sheet.tw. 26
33 ticklist.tw. 0
34 tick-list.tw. 2
35 instrument.tw. 74,224
36 or/12-35 2,769,408
37 exp Risk Assessment/ 14,907
38 exp Risk/ 0
39 risk$.tw. 448,831
40 chance$.tw. 32,656
41 likelihood.tw. 59,091
42 potential.tw. 367,942
43 probabilit$.tw. 60,565
44 possib$.tw. 385,800
45 prognosis.tw. 21,088
46 inciden$.tw. 89,558
47 or/37-46 1,240,325
48 exp Coronary Disease/ 0
49 exp Cerebrovascular Disorders/ 30,844
50 exp Cardiovascular Diseases/ 0
51 exp Atherosclerosis/ 1,153
52 heart attack$.tw. 1,123
53 stroke$.tw. 38,670
54 myocardial infarction.tw. 4,502
55 cerebral vascular accident.mp. 169
56 coronary vascular accident.mp. 0
57 (coronary adj (event$ or disease or heart disease or mortality)).mp. 3,032
58 coronary thrombosis.mp. 39
59 coronary atherosclerosis.mp. 111
60 (cardiovascular adj (event$ or mortality)).mp. 1,533
61 CAD.mp. 1,389
62 CVD.mp. 3,270
63 exp Diabetes Mellitus/ 9,634
64 diabet$.tw. 35,229
65 IDDM.tw. 251
66 NIDDM.tw. 100
67 MODY.tw. 36
68 (late onset adj diabet$).tw. 5
69 (maturity onset adj diabet$).tw. 12
70
(non insulin$ depend$ or non-insulin$ depend$ or noninsulin$ depend$ or non insulin?depend$ or
noninsulin?depend$).tw.
291
71 (insulin$ depend$ or insulin-depend$ or insulin?depend$).tw. 1,099
72 (typ$ 2 adj6 diabet$).tw. 8,516
73 (typ$ II adj6 diabet$).tw. 864
74 T2DM.tw. 1,264
75 DM2.tw. 159
76 or/48-75 89,965
77 (sensitiv: or predictive value:).mp. or accurac:.tw. or specificit$.tw. 314,565
78 11 and 36 and 47 and 76 and 77 11
79 limit 78 to (human and english language and yr="2017 -Current") 3
80
limit 78 to (english language and humans and yr="2017 - 2022") [Limit not valid in APA PsycInfo; records
were retained]
3
81 or/63-75 35,894
82 11 and 36 and 47 and 81 and 77 8
83 limit 82 to (english language and yr="2017 - 2022") 3</t>
  </si>
  <si>
    <t>1 exp Polycystic Ovary Syndrome/
2 polycystic ovar$.mp.
3 poly-cystic ovar$.mp.
4 PCO$.mp.
5 (stein-leventhal or leventhal).mp.
6 exp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exp Cardiovascular Diseases/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exp Diabetes Mellitus/
64 diabet$.tw.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(human and english language and yr="2017 -Current")
80 limit 78 to (english language and humans and yr="2017 - 2022")
81 or/63-75
82 11 and 36 and 47 and 81 and 77
83 limit 82 to (english language and yr="2017 - 2022")</t>
  </si>
  <si>
    <t>searchstrat_linebylineresults</t>
  </si>
  <si>
    <t>searchstrat_cinahl_flippedorder</t>
  </si>
  <si>
    <t>S90 S28 and S47 and S57 and S89 (357)
S89 S76 or S88 (940,899)
S88 S77 or S78 or S79 or S80 or S81 or S82 or S83 or S84 or S85 or S86 or S87 (277,628)
S87 DM2 (521)
S86 T2DM (8,007)
S85 type II diabet* (2,628)
S84 type 2 diabet* (89,057)
S83 maturity onset diab* (506)
S82 late onset diab* (111)
S81 MODY (1,193)
S80 NIDDM (1,323)
S79 IDDM (1,193)
S78 diabet* (275,364)
S77 (MH "Diabetes Mellitus+") or (MH "Diabetes Mellitus, Gestational") or (MH "Diabetes Mellitus, Insulin-Dependent")
or (MH "Diabetes Mellitus, Non-Insulin- Dependent")
(187,581)
S76 S58 or S59 or S60 or S61 or S62 or S63 or S64 or S65 or S66 or S67 or S68 or S69 or S70 or S71 or S72 or S73
or S74 or S75
(741,986)
S75 cvd (15,537)
S74 cad (11,424)
S73 cardiovascular mortality (20,483)
S72 cardiovascular event* (17,834)
S71 coronary atherosclerosis (2,720)
S70 coronary thrombosis (2,491)
S69 coronary mortality (8,999)
S68 heart disease (67,478)
S67 coronary event* (5,112)
S66 coronary vascular accident (4)
S65 cerebral vascular accident (317)
S64 myocardial infarction (71,620)
S63 stroke* (140,219)
S62 heart attack* (4,720)
S61 (MH "Atherosclerosis") (10,760)
S60 (MH "Cardiovascular Abnormalities+") or (MH "Cardiovascular Diseases+") (669,662)
S59 (MH "Coronary Disease+") or (MH"Myocardial Infarction+") or (MH "Coronary Arteriosclerosis+") (101,181)
S58 (MH "Cerebrovascular Disorders+") (124,534)
S57 S48 or S49 or S50 or S51 or S52 or S53 or S54 or S55 or S56 (1,943,399)
S56 inciden* (277,510)
S55 prognosis (181,582)
S54 possib* (288,911)
S53 probabilit* (74,015)
S52 potential (440,565)
S51 likelihood (55,891)
S50 chance* (27,789)
S49 risk* (1,129,587)
S48 ("risk assessment") or (MH "Risk Assessment") (145,098)
S47 S37 or S38 or S39 or S40 or S41 or S42 or S43 or S44 or S45 or S46 (11,562)
S46 ovar* N5 sclerocystic or ovar* N5 polycystic or ovar* N5 poly-cystic or ovar* N5 degenerat* or ovar* N5
hyperandrogen* or ovar* N5 hyperandrogen*
( 6,086)
S45 oligoovulat* (15)
S44 oligo-ovulat* (10)
S43 SU anovulation (367)
S42 SU ovarian cysts (1,066)
S41 stein-leventhal or leventhal (1,306)
S40 PCO* (6,094)
S39 poly-cystic ovar* (28)
S38 polycystic ovar* (5,999)
S37 SU polycystic ovary syndrome (4,696)
S36 S29 or S30 or S31 or S32 or S33 or S34 or S35 (280,196)
S35 likelihood ratio* (6,611)
S34 predictive value* (78,742)
S33 post-test probability (300)
S32 (pre-test or pretest) and probability (1,529)
S31 specificity (131,827)
S30 sensitivity (215,340)
S29 (MH "Sensitivity and Specificity") (91,891)
S28 S19 or S27 (3,347,222)
S27 S20 or S21 or S24 or S25 or S26 (222,402)
S26 check sheet (49)
S25 check sheet (49)
S24 tick-list (12)
S23 ticklist (0)
S22 ticklist (0)
S21 checklist (49,875)
S20 instrument* (177,688)
S19 (S1 or S2 or S3 or S4 or S5 or S6 or S7 or S8 or S9 or S10 or S11 or S12 or S13 or S14 or S15 or S16 or S17 or
S18)
(3,319,730)
S18 ("checklist") or (MH "Checklists") (48,347)
S17 screen* (253,790)
S16 test* (1,236,798)
S15 tabulat* (4,927)
S14 table* (48,800)
S13 chart* (52,892)
S12 algorithm* (70,357)
S11 score* or scoring (419,572)
S10 equation* (40,339)
S9 estimate* or estimation* (248,150)
S8 ("calculat*") or (MH "Algorithms") (221,907)
S7 assess* (1,345,353)
S6 "measure*" (960,796)
S5 "class*" (419,009)
S4 "model" (444,648)
S3 "rule" (20,475)
S2 ("tool") or (MH "Clinical Assessment Tools+") (409,482)
S1 ( ("decision") or (MH "Decision Making, Clinical") ) or decision tool or decision aid (217,720)</t>
  </si>
  <si>
    <t>search_strat_clean_checked</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</si>
  <si>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Sleep Apnea, Obstructive/
13 exp Sleep Apnea Syndromes/
14 exp Obesity Hypoventilation Syndrome/
15 exp Sleep Apnea, Central/
16 exp Polysomnography/
17 exp Snoring/
18 sleep apn*.mp.
19 apn*-hypopn*.mp.
20 sleep hypopn*.mp.
21 sleep hypoventilation.mp.
22 obesity hypoventilation.mp.
23 apnoea.mp.
24 apnea.mp.
25 apneic.mp.
26 apnoeic.mp.
27 hypopneic.mp.
28 hypopnoeic.mp.
29 sleep disordered breathing.mp.
30 sleep-disordered breathing.mp.
31 (sleep and breathing).mp.
32 (sleep and respiratory).mp.
33 upper-airway resistance.mp.
34 upper airway resistance.mp.
35
(sleep adj5 (apn* or hypopn* or hypoventilation or breathing or
respiratory)).mp.
36 polysomnography.mp.
37 snoring.mp.
38 snore.mp.
39 SDB.mp.
40 OSA.mp.
41 OSAS.mp.
42 SAHS.mp.
43 OSAHS.mp.
44 SAS.mp.
45 SHS.mp.
46 pickwickian.mp.
47
12 or 13 or 14 or 15 or 16 or 17 or 18 or 19 or 20 or 21 or 22 or
23 or 24 or 25 or 26 or 27 or 28 or 29 or 30 or 31 or 32 or 33 or
34 or 35 or 36 or 37 or 38 or 39 or 40 or 41 or 42 or 43 or 44 or
45 or 46
48 11 and 47</t>
  </si>
  <si>
    <t>1 SU polycystic ovary syndrome
2 "polycystic ovar*"
3 "poly-cystic ovar*"
4 "PCO*"
5 "stein-leventhal or leventhal"
6 SU anovulation
7 SU ovarian cysts
8 "anovulat*"
9 "oligo-ovulat*"
10 "oligoovulat*"
11
"ovar* N5 sclerocystic or ovar* N5
polycystic or ovar* N5 poly-cystic or
ovar* N5 degenerat* or ovar* N5
hyperandrogen* or ovar* N5
hyperandrogen*"
12
S1 OR S2 OR S3 OR S4 OR S5 OR
S6 OR S7 OR S8 OR S9 OR S10
OR S11
13 SU Sleep Apnea, Obstructive
14 SU Sleep Apnea Syndromes
15
SU Obesity Hypoventilation
Syndrome
16 SU Sleep Apnea, Central
17 SU Polysomnography
18 SU Snoring
19 "sleep apn*"
20 "apn*-hypopn*"
21 "sleep hypopn*"
22 "sleep hypoventilation"
23 "obesity hypoventilation"
24 "apnoea"
25 "apnea"
26 "apneic"
27 "apnoeic"
28 "hypopneic"
29 "hypopnoeic"
30 "sleep disordered breathing"
31 "sleep-disordered breathing"
32 "sleep and breathing"
33 "sleep and respiratory"
34 "upper-airway resistance"
35 "upper airway resistance"
36
"sleep N5 apn* or sleep N5 hypopn*
or sleep N5 hypoventilation or sleep
N5 breathing or sleep N5 respiratory"
37 "polysomnography"
38 "snoring"
39 "snore"
40 "SDB"
41 "OSA"
42 "OSAS"
43 "SAHS"
44 "OSAHS"
45 "SAS"
46 "SHS"
47 "pickwickian"
48
S13 OR S14 OR S15 OR S16 OR
S17 OR S18 OR S19 OR S20 OR
S21 OR S22 OR S23 OR S24 OR
S25 OR S26 OR S27 OR S28 OR
S29 OR S30 OR S31 OR S32 OR
S33 OR S34 OR S35 OR S36 OR
S37 OR S38 OR S39 OR S40 OR
S41 OR S42 OR S43 OR S44 OT
S45 OR S46 OR S47
49 S12 AND S48</t>
  </si>
  <si>
    <t>S1 (MM "Polycystic Ovary Syndrome")
S2 TX polycystic ovar*
S3 TX poly-cystic ovar*
S4 TX PCO*
S5 TX (stein-leventhal or leventhal)
S6 (MM "Anovulation")
S7 TX anovulati*
S8 TX oligoovulat*
S9 TX oligo-ovulat*
S10 TX (ovar* N5 (scelerocystic or polycystic or poly-cystic or
degenerat* or hyperandrogen* or hyper-androgen*)).
S11 S1 OR S2 OR S3 OR S4 OR S5 OR S6 OR S7 OR S8 OR
S9 OR S10
S12 (MM "Endometrial Neoplasms")
S13 TX ( (endom* N5 (cancer* or neoplas* or carcinom* or
adenocarcinom* or malignan* or tumor* or tumour* or
hyperplasia* or lesion* or abnormal* or disease*)) )
S14 TX ((uter* and lining) N5 (cancer* or neoplas* or carcinom*
or adenocarcinom* or malignan* or tumor* or tumour* or lesion*
or abnormal* or disease*))
S15 TX ((womb or corpus uter*) N5 (cancer* or neoplas* or
carcinom* or adenocarcinom* or malignan* or tumor* or tumour*
or lesion* or abnormal* or disease*))
S16 (MH "Hyperplasia+")
S17 TX endometrial cancer or endometrial carcinoma
S18 S16 AND S17
S19 S12 OR S13 OR S14 OR S15 OR S18
S20 S11 AND S19
Limiters - Publication Year: 1990- 2022; English Language;
Human Search modes - Boolean/Phrase</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</si>
  <si>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Endometrial Neoplasms/
13 (endom* adj5 (cancer* or neoplas* or carcinom* or
adenocarcinom* or malignan* or tumor* or tumour* or
hyperplasia* or lesion* or abnormal* or disease*)).ti,ab,kw.
14 ((uter* and lining) adj5 (cancer* or neoplas* or
carcinom* or adenocarcinom* or malignan* or tumor* or tumour*
or lesion* or abnormal* or disease*)).ti,ab,kw.
15 ((womb or corpus uter*) adj5 (cancer* or neoplas* or
carcinom* or adenocarcinom* or malignan* or tumor* or tumour*
or lesion* or abnormal* or disease*)).ti,ab,kw.
16 Endometrial Hyperplasia/
17 or/12-16
18 11 and 17
19 limit 18 to (english language and humans)
20 limit 19 to yr="1990 -Current"</t>
  </si>
  <si>
    <t>1. exp Polycystic Ovary Syndrome/
2. (polycystic adj5 ovar$).tw.
3. (PCOS or PCO).tw.
4. PCOD.tw.
5. (“stein‐leventhal” or leventhal).tw.
6. PCOM.tw.
7. anovulation/
8. anovulat*.mp.
9. oligo-ovula*.mp.
10. oligoovulat*.mp.
11. (ovar* adj5 (sclerocystic or polycystic or poly?cystic or degenerat* or hyperandrogen* or hyperandrogen*)).mp.
12. Or/1-11
13. exp Diabetes Mellitus, Type 2/
14. (MODY or NIDDM or T2DM or T2D).tw.
15. (non insulin* depend* or noninsulin* depend* or noninsulin?depend* or non insulin?depend*).tw.
16. ((typ? 2 or typ? II or typ?2 or typ?II) adj3 diabet*).tw.
17. (((late or adult* or matur* or slow or stabl*) adj3 onset) and diabet*).tw.
18. exp Glucose Intolerance/
19. exp Insulin Resistance/
20. (diabet* adj6 (diagnos* or prevention* or control*)).tw,ot.
21. (impaired adj6 glucose toleranc*).tw,ot.
22. insulin resistanc*.tw,ot.
23. glucose intoleranc*.tw,ot.
24. Prediabetic state/
25. (prediabet* or pre diabet*).tw.
26. intermediate hyperglyc?emi*.tw.
27. ((impaired fasting adj2 glucose) or IFG or impaired FPG).tw.
28. glucose intolerance.tw.
29. ((impaired glucose adj (tolerance or metabolism)) or IGT).tw.
30. ((risk or progress* or prevent* or inciden* or conversion or develop* or delay*) adj4 (diabetes or T2D* or NIDDM or "type
2" or "type II")).tw.
31. Or/13-30
32. exp Diabetes Insipidus/
33. diabet* insipidus.tw.
34. 32 or 33
35. 31 not 34
36. Cardiovascular Diseases/
37. Cardiovascular disease*.tw.
38. (CVD or ASCVD).tw.
39. coronary disease/ or coronary artery disease/
40. (Coronary adj2 disease*).tw.
41. CAD.tw.
42. Acute Coronary Syndrome/
43. acute coronary syndrome.tw.
44. ACS.tw.
45. exp Myocardial Infarction/
46. myocardial infarction*.tw.
47. heart attack*.tw.
48. exp Angina Pectoris/
49. angina.tw.
50. exp Heart Diseases/
51. heart disease*.tw.
52. (CHD or IHD).tw.
53. revasculari?ation.tw.
54. exp Coronary Artery Bypass/
55. coronary artery bypass.tw.
56. CABG.tw.
57. exp Percutaneous Coronary Intervention/
58. (Percutaneous adj2 coronary).tw.
59. PCI.tw.
60. exp Angioplasty/
61. Angioplast*.tw.
62. Peripheral Arterial Disease/
63. peripheral arter* disease*.tw.
64. Heart Failure/
65. ((heart or cardiac) adj2 failure).tw.
66. (HF or CHF or CCF).tw.
67. HFpEF.tw.
68. HFrEF.tw.
69. exp Hypertension/
70. hypertensi*.tw.
71. ((high or increased or elevated) adj2 blood pressure).tw.
72. exp Hyperlipidemias/
73. hyperlipid*.tw.
74. hyperlip?emia*.tw.
75. hypercholesterol*.tw.
76. hypercholester?emia*.tw.
77. hyperlipoprotein?emia*.tw.
78. hypertriglycerid?emia*.tw.
79. exp Arteriosclerosis/
80. exp Cholesterol/
81. cholesterol.tw.
82. Blood Pressure/
83. blood pressure.tw.
84. cerebrovascular disorders/ or basal ganglia cerebrovascular disease/ or exp brain ischemia/ or exp carotid artery
diseases/ or exp cerebral small vessel diseases/ or exp intracranial arterial diseases/ or exp "intracranial embolism and
thrombosis"/ or exp intracranial hemorrhages/ or stroke/ or exp brain infarction/ or stroke, lacunar/ or vasospasm, intracranial/
or vertebral artery dissection/
85. (stroke$ or poststroke or apoplex$ or cerebral vasc$ or brain vasc$ or cerebrovasc$ or cva$ or SAH).tw.
86. ((brain or cerebr$ or cerebell$ or vertebrobasil$ or hemispher$ or intracran$ or intracerebral or infratentorial or
supratentorial or "middle cerebral artery" or MCA$ or "anterior circulation" or "posterior circulation" or "basilar artery" or
"vertebral artery" or "space‐occupying") adj5 (isch?emi$ or infarct$ or thrombo$ or emboli$ or occlus$ or hypoxi$)).tw.
87. ((brain$ or cerebr$ or cerebell$ or intracerebral or intracran$ or parenchymal or intraparenchymal or intraventricular or
infratentorial or supratentorial or basal gangli$ or putaminal or putamen or posterior fossa or hemispher$ or subarachnoid) adj5
(h?emorrhag$ or h?ematoma$ or bleed$)).tw.
88. hemiplegia/ or exp paresis/ or exp Gait Disorders, Neurologic/
89. (hemipleg$ or hemipar$ or paresis or paraparesis or paretic).tw.
90. or/35-89
91. family history.tw,ot.
92. exp Family/
93. exp Genetic Predisposition to Disease/
94. (familial or inherit$ or heredit$ or predispos$ or susceptib$).mp.
95. Parent* OR father* OR mother* OR sister* OR brother* OR sibling* OR daughter* OR son* OR children OR twin* OR
offspring OR relative* OR kindred* OR proband OR generation.mp.
96. Or/91-95
97. (12 and 90 and 96) or (12 and 96)
98. exp Animals/ not (Humans/ and exp Animals/)
99. 97 not 98
100. limit 99 to english language</t>
  </si>
  <si>
    <t>1. exp ovary polycystic disease/
2. (polycystic adj5 ovar$).tw.
3. (PCOS or PCO).tw.
4. leventhal.tw.
5. PCOD.tw.
6. anovulation/
7. anovulat*.mp.
8. oligoovulat*.mp. OR oligo-ovulat*.mp.
9. (ovar* adj5 (sclerocystic or polycystic or poly?cystic or degenerat* or hyperandrogen* or hyperandrogen*)).mp.
10. or/1-9
11. exp diabetes mellitus/
12. exp glucose intolerance/
13. exp insulin resistance/
14. (diabet* adj6 (diagnos* or prevention* or control*)).tw,ot.
15. (impaired adj6 glucos* toleranc*).tw,ot.
16. (insulin resistanc* or glucose intoleranc*).tw,ot.
17. Prediabetic state/
18. (prediabet* or pre diabet*).tw.
19. intermediate hyperglyc?emi*.tw.
20. ((impaired fasting adj2 glucose) or IFG or impaired FPG).tw.
21. glucose intolerance.tw.
22. ((impaired glucose adj (tolerance or metabolism)) or IGT).tw.
23. ((risk or progress* or prevent* or inciden* or conversion or develop* or delay*) adj4 (diabetes or T2D* or NIDDM or "type
2" or "type II")).tw.
24. or/11-23
25. exp Diabetes Insipidus/
26. diabet* insipidus.tw.
27. 25 or 26
28. 24 not 27
29. cardiovascular disease/
30. Cardiovascular disease*.tw.
31. (CVD or ASCVD).tw.
32. coronary artery disease/
33. (Coronary adj2 disease*).tw.
34. CAD.tw.
35. acute coronary syndrome/
36. acute coronary syndrome.tw.
37. ACS.tw.
38. exp heart infarction/
39. myocardial infarction*.tw.
40. heart attack*.tw.
41. exp angina pectoris/
42. angina.tw.
43. exp heart disease/
44. heart disease*.tw.
45. (CHD or IHD).tw.
46. revasculari?ation.tw.
47. exp coronary artery bypass graft/
48. coronary artery bypass.tw.
49. CABG.tw.
50. exp percutaneous coronary intervention/
51. (Percutaneous adj2 coronary).tw.
52. PCI.tw.
53. exp angioplasty/
54. Angioplast*.tw.
55. peripheral occlusive artery disease/
56. peripheral arter* disease*.tw.
57. heart failure/
58. ((heart or cardiac) adj2 failure).tw.
59. (HF or CHF or CCF).tw.
60. HFpEF.tw.
61. HFrEF.tw.
62. exp Hypertension/
63. hypertensi*.tw.
64. ((high or increased or elevated) adj2 blood pressure).tw.
65. exp Hyperlipidemias/
66. hyperlipid*.tw.
67. hyperlip?emia*.tw.
68. hypercholesterol*.tw.
69. hypercholester?emia*.tw.
70. hyperlipoprotein?emia*.tw.
71. hypertriglycerid?emia*.tw.
72. exp Arteriosclerosis/
73. exp Cholesterol/
74. cholesterol.tw.
75. "coronary risk factor* ".tw.
76. Blood Pressure/
77. blood pressure.tw.
78. cerebrovascular disease/ or brain disease/ or exp basal ganglion hemorrhage/ or exp brain hemangioma/ or exp brain
hematoma/ or exp brain hemorrhage/ or exp brain infarction/ or exp brain ischemia/ or exp carotid artery disease/ or exp
cerebral artery disease/ or exp cerebrovascular accident/ or exp cerebrovascular malformation/ or exp intracranial aneurysm/
or exp occlusive cerebrovascular disease/ or exp vertebrobasilar insufficiency/
79. (stroke$ or poststroke or apoplex$ or cerebral vasc$ or brain vasc$ or cerebrovasc$ or cva$ or SAH).tw.
80. ((brain or cerebr$ or cerebell$ or vertebrobasil$ or hemispher$ or intracran$ or intracerebral or infratentorial or supratentorial or "middle
cerebral artery" or MCA$ or "anterior circulation" or "posterior circulation" or "basilar artery" or "vertebral artery" or "space‐occupying") adj5
(isch?emi$ or infarct$ or thrombo$ or emboli$ or occlus$ or hypoxi$)).tw.
81. ((brain$ or cerebr$ or cerebell$ or intracerebral or intracran$ or parenchymal or intraparenchymal or intraventricular or
infratentorial or supratentorial or basal gangli$ or putaminal or putamen or posterior fossa or hemispher$ or subarachnoid) adj5
(h?emorrhag$ or h?ematoma$ or bleed$)).tw.
82. exp hemiplegia/ or exp paresis/
83. neurologic gait disorder/
84. (hemipleg$ or hemipar$ or paresis or paraparesis or paretic).tw.
85. or/28-84
86. (familial or inherit$ or heredit$ or predispos$ or susceptib$).mp.
87. exp genetic predisposition/
88. Parent* OR father* OR mother* OR sister* OR brother* OR sibling* OR daughter* OR son* OR children OR twin* OR
offspring OR relative* OR kindred* OR proband OR generation.mp.
89. family history.tw,ot.
90. exp Family/
91. exp Genetic Predisposition to Disease/
92. or/86-91
93. (10 and 85 and 92) or (10 and 92)
94. (animal/ or nonhuman/) not exp human/
95. 93 not 94
96. limit 95 to english language</t>
  </si>
  <si>
    <t>TI = (polycyst* NEAR/5 ovar*)
TS = polycystic ovar*
TS = leventhal
#3 OR #2 OR #1
TS= (diabet* or "noninsulin*‐depend*" or "non‐insulin*‐depend*" or "noninsulin*depend*" or "non‐insulin*depend*") OR TS=
("fasting glucose" or "plasma glucose" or "glucose tolerance test* "or (glyc$emic NEAR/2 control*)) OR TS= (HbA1c or A1C or A1c
or hba1c or ((glycated or glycosylated) NEAR/1 h$emoglobin*)) OR TS= (IDDM or NIDDM or MODY or T1DM or T2DM or T1D or
T2D)
TS= ("diabet* insipidus")
#5 NOT #6
TS=(stroke or poststroke or post‐stroke or apoplex* or cerebral vasc* or brain vasc* or cerebrovasc* or cva or SAH)
TS=((brain or cerebr* or cerebell* or vertebrobasil* or hemispher* or intracran* or intracerebral or infratentorial or supratentorial or
“middle cerebral artery” or MCA* or “anterior circulation” or “posterior circulation” or “basilar artery” or “vertebral artery” or “spaceoccupying”)
NEAR/5 (isch$emi* or infarct* or thrombo* or emboli* or occlus* or hypoxi*))
TS=((brain* or cerebr* or cerebell* or intracerebral or intracran* or parenchymal or intraparenchymal or intraventricular or
infratentorial or supratentorial or “basal gangli*” or putaminal or putamen or “posterior fossa” or hemispher* or subarachnoid)
NEAR/5 (h$emorrhage* or h$ematoma* or bleed*))
TS=(hemipleg* or hemipar* or paresis or paraparesis or paretic)
TS=(hyperlipid* OR hyperlip?emia* OR hypercholesterol* OR hypercholester?emia* OR hyperlipoprotein?emia* OR
hypertriglycerid?emia*)
TS=(antihypertens* OR hypertens* OR prehypertens* OR "blood pressur*")
TS=(HFpEF or HFrEF) OR TS=(HF or CHF or CCF) OR TS=((heart or cardiac) NEAR/2 failure)
TS=peripheral arter* disease*
TS=(PCI or Angioplast*) OR TS=(Percutaneous NEAR/2 coronary) OR TS=CABG OR TS=coronary artery bypass OR
TS=revasculari?ation
TS=(CHD or IHD) OR TS=heart disease* OR TS=angina OR TS=heart attack* OR TS=myocardial infarction* OR TS=ACS OR
TS=acute coronary syndrome OR TS=CAD OR TS=(Coronary NEAR/2 disease*)
TS=(CVD or ASCVD) OR TS=Cardiovascular disease*
#18 OR #17 OR #16 OR #15 OR #14 OR #13 OR #12 OR #11 OR #10 OR #9 OR #8 OR #7
TS=(Parent* OR father* OR mother* OR sister* OR brother* OR sibling* OR daughter* OR son* OR children OR twin* OR offspring
OR relative* OR kindred* OR proband OR generation OR familial or inherit$ or heredit$ or predispos$ or susceptib$)
(#4 AND #19 AND #20) OR (#4 AND #20)
TI=(rat or rats or mice or mouse)
#21 not #22 and English (Languages)</t>
  </si>
  <si>
    <t>searchstrat_clinicaltrialsgov</t>
  </si>
  <si>
    <t>searchstract_whoictrp</t>
  </si>
  <si>
    <t>Condition: Polycystic ovary
Other terms: Family</t>
  </si>
  <si>
    <t>Condition: polycystic ovary
Title: family OR relative OR relatives</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</si>
  <si>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"Quality of Life"/
13 Quality of life.mp.
14 Sickness Impact Profile/
15 Sickness impact profile.mp.
16 Polycystic Ovar* Syndrome Questionnaire.mp.
17 (short form and ("21" or "36")).mp.
18 (World Health Organization quality of life scale or WHO
brief).mp.
19 (Quality of well?being or quality of well being).mp.
20 General health questionnaire.mp.
21 Spitzer quality of life index.mp.
22 Medical outcomes study short form health survey.mp.
23 "Work and social adjustment scale".mp.
24 "The quality of life enjoyment and satisfaction
questionnaire".mp.
25 Nottingham health profile.mp.
26 Medical outcomes scale.mp.
27 Assessment of quality of life.mp.
28 EuroQol.mp.
29 PaedsQL.mp.
30 (HRQOL or HRQL or PCOSQ or MPCOSQ or SF-36 or
SF36 or SF-12 or SF12 or SIP or QWB or GHQ28 or
WHO-QOL or WHOQOL or AQOL or SQLI or EQ-5D).mp.
31 or/12-30
32 11 and 31
33 limit 32 to (english language and humans)
34 33
35. limit 34 to yr=”2017-Current”</t>
  </si>
  <si>
    <t>S1. SU polycystic ovary syndrome
S2. polycystic ovar*
S3. poly-cystic ovar*
S4. PCO*
S5. stein-leventhal or leventhal
S6. SU ovarian cysts
S7. SU anovulation
S8. oligo-ovulat*
S9. oligoovulat*
S10. ovar* N5 sclerocystic or. ovar* N5 polycystic or ovar*
N5 poly-cystic or S1. ovar* N5 degenerat* or ovar*
N5 hyperandrogen* or ovar* N5 hyperandrogen
S11. S1 OR S2 OR S3 OR S4 OR S5 OR S6 OR S7 OR
S8 OR S9 OR S10
S12. (MH "Quality of Life+")
S13. quality of life
S14. (MH "Sickness Impact Profile")
S15. sickness impact profile
S16. (MH "Quality of Life (Iowa NOC)") OR (MH " Health
and Life Quality (Iowa NOC)+")
S17. Polycystic Ovar* Syndrome Questionnaire
S18. (short form AND ("12" or "36"))
S19. World Health Organization quality of life scale OR
WHO brief
S20. Quality of well?being OR quality of well being
S21. General health questionnaire
S22. Spitzer quality of life index
S23. Medical outcomes study short form health survey
S24. "Work and social adjustment scale"
S25. "The quality of life enjoyment and satisfaction
questionnaire"
S26. Nottingham health profile
S27. Medical outcomes scale
S28. Assessment of quality of life
S29. EuroQol
S30. pedsql
S31. TX PaedsQL
S32. HRQOL OR HRQL OR PCOSQ OR MPCOSQ OR
SF-36 OR SF36 OR SF-12 OR SF12 OR SIP OR
QWB OR GHQ28 OR WHOQOL OR WHOQOL OR AQOL
OR SQLI OR EQ-5D
S33. S12 OR S13 OR S14 OR S15 OR S16 OR S17 OR
S18 OR S19 OR S20 OR S21 OR S22 OR S23 OR
S24 OR S25 OR S26 OR S27 OR S28 OR S29 OR
S30 OR S31 OR S32
S34. S11 AND S33</t>
  </si>
  <si>
    <t>1 Polycystic Ovary Syndrome/
2 pcos.mp.
3 polycyst$ ovar$.mp.
4 Stein Leventhal Syndrome/
5 stein leventhal$.mp.
6 or/1-5
7 exp Depression/
8 exp Depressive Disorder/
9 depress$.mp.
10 exp Anxiety/
11 exp Anxiety Disorder/
12 (anxiet$ or anxious$).mp.
13 exp Mental Disorders/
14 (panic or phobi$ or nervous).mp.
15 exp Mood Disorders/
16 (bipolar or cyclothym$ or dysthym$ or affective).mp.
17 or/7-16
18 6 and 17
19 limit 18 to (english language and humans and yr="2016 -Current")</t>
  </si>
  <si>
    <t>1 Polycystic Ovary Syndrome/
2 pcos.mp.
3 polycyst$ ovar$.mp.
4 Stein Leventhal Syndrome/
5 stein leventhal$.mp.
6 or/1-5
7 exp major depression/
8 exp Depressive Disorder/
9 depress$.mp.
10 exp Anxiety/
11 exp Anxiety Disorder/
12 (anxiet$ or anxious$).mp.
13 exp Mental Disorders/
14 (panic or phobi$ or nervous).mp.
15 exp Mood Disorders/
16 (bipolar or cyclothym$ or dysthym$ or affective).mp.
17 or/7-16
18 6 and 17
19 limit 18 to (english language and humans and yr="2016 -Current")</t>
  </si>
  <si>
    <t>1 exp Endocrine Sexual Disorders/
2 pcos.mp.
3 polycyst* ovar*.mp.
4 stein leventhal*.mp.
5 or/1-4
6 exp major depression/
7 exp "Depression (Emotion)"/
8 depress$.mp.
9 exp Anxiety/
10 exp Anxiety Disorder/
11 (anxiet$ or anxious$).mp.
12 exp Mental Disorders/
13 (panic or phobi$ or nervous).mp.
14 exp Mood Disorders/
15 (bipolar or cyclothym$ or dysthym$ or affective).mp.
16 or/6-15
17 5 and 16
18 limit 17 to (human and english language and yr="2016 -Current")</t>
  </si>
  <si>
    <t>('ovary polycystic disease'/de OR (((polycyst* OR micropolycyst* OR sclerocyst*) NEAR/3 (ovar* OR
follic*)) OR ((Stein) NEAR/3 (Leventhal)) OR pcos):ab,ti) AND (sex/de OR sexuality/exp OR 'sexual
arousal'/de OR 'sexual dysfunction'/exp OR 'psychosexual disorder'/exp OR sexology/de OR 'sexual
counseling'/de OR 'sexual function'/de OR 'Female Sexual Function Index'/de OR (sexual* OR arous*
OR anorgas* OR orgas* OR libid* OR abstinen* OR hypersex* OR hyposex* OR dyspareun* OR
frigid* OR vaginis* OR psychosex* OR copulation OR coit* OR masturbat* OR virgin*):ab,ti) NOT
([animals]/lim NOT [humans]/lim)</t>
  </si>
  <si>
    <t>("Polycystic Ovary Syndrome"/ OR (((polycyst* OR micropolycyst* OR sclerocyst*) ADJ3 (ovar* OR
follic*)) OR ((Stein) ADJ3 (Leventhal)) OR pcos).ab,ti.) AND (exp "sexual behavior"/ OR exp "Sexual
Dysfunction, Physiological"/ OR exp "Sexual Dysfunctions, Psychological"/ OR exp sexology/ OR
(sexual* OR arous* OR anorgas* OR orgas* OR libid* OR abstinen* OR hypersex* OR hyposex* OR
dyspareun* OR frigid* OR vaginis* OR psychosex* OR copulation OR coit* OR masturbat* OR
virgin*).ab,ti.) NOT (exp animals/ NOT humans/)</t>
  </si>
  <si>
    <t>TS=(((((polycyst* OR micropolycyst* OR sclerocyst*) NEAR/3 (ovar* OR follic*)) OR ((Stein) NEAR/3
(Leventhal)) OR pcos)) AND ((sexual* OR arous* OR anorgas* OR orgas* OR libid* OR abstinen*
OR hypersex* OR hyposex* OR dyspareun* OR frigid* OR vaginis* OR psychosex* OR copulation
OR coit* OR masturbat* OR virgin*)))</t>
  </si>
  <si>
    <t>TITLE-ABS-KEY(((((polycyst* OR micropolycyst* OR sclerocyst*) W/3 (ovar* OR follic*)) OR ((Stein)
W/3 (Leventhal)) OR pcos)) AND ((sexual* OR arous* OR anorgas* OR orgas* OR libid* OR
abstinen* OR hypersex* OR hyposex* OR dyspareun* OR frigid* OR vaginis* OR psychosex* OR
copulation OR coit* OR masturbat* OR virgin*)))</t>
  </si>
  <si>
    <t>(MH "Polycystic Ovary Syndrome+" OR (((polycyst* OR micropolycyst* OR sclerocyst*) N3 (ovar*
OR follic*)) OR ((Stein) N3 (Leventhal)) OR pcos)) AND (MH "sexuality+" OR MH "Sexual and
Gender Disorders+" OR MH "Sexual Dysfunction, Female+" OR (sexual* OR arous* OR anorgas*
OR orgas* OR libid* OR abstinen* OR hypersex* OR hyposex* OR dyspareun* OR frigid* OR
vaginis* OR psychosex* OR copulation OR coit* OR masturbat* OR virgin*)) NOT (MH animals+
NOT MH humans+)</t>
  </si>
  <si>
    <t>((((polycyst* OR micropolycyst* OR sclerocyst*) ADJ3 (ovar* OR follic*)) OR ((Stein) ADJ3
(Leventhal)) OR pcos).ab,ti.) AND (exp "Psychosexual Behavior"/ OR exp "Sexual Function
Disturbances"/ OR Sexuality/ OR "Sexual Satisfaction"/ OR "Sex Therapy"/ OR (sexual* OR arous*
OR anorgas* OR orgas* OR libid* OR abstinen* OR hypersex* OR hyposex* OR dyspareun* OR
frigid* OR vaginis* OR psychosex* OR copulation OR coit* OR masturbat* OR virgin*).ab,ti.) NOT
(exp animals/ NOT humans/)</t>
  </si>
  <si>
    <t>searchstrat_googlescholar</t>
  </si>
  <si>
    <t>Pcos &amp; sexual|sexuality|anorgasmia|orgasm|libido|hyposexuality|dyspareunia|frigidity|vaginismus|psychose
xual|copulation|coitus|masturbatation</t>
  </si>
  <si>
    <t>1. Exp Polycystic Ovary Syndrome/
2. (“pcos” or “pcod”).mp.
3. (polycystic ovar* or “polycystic ovarian disease”).mp.
4. *Hirsutism/ or *Hyperandrogenism/
5. 1 or 2 or 3 or 4
6. *Depression/
7. *Anxiety/ or *Anxiety Disorders/
8. *Mental Health/ or *Mental Disorders/
9. *Body Image/ or *Body Weight/
10. (“body dysmorphic disorder” or “body image concerns” or exp Body Weight/).mp.
11. *Social Stigma/ or *“Quality of Life”/
12. exp Sexual Dysfunctions, Psychological/ or *Sexual Behaviour/
13. 6 or 7 or 8 or 9 or 10 or 11 or 12
14. 5 and 13</t>
  </si>
  <si>
    <t>searchstrat_pubmed</t>
  </si>
  <si>
    <t>1. "Polycystic Ovary Syndrome"[Mesh] OR “polycystic ovar*”[tw] OR pcos[tw] or pcod[tw] or “polycystic ovarian disease”[tw]
2. "Hirsutism"[Mesh] OR "Hyperandrogenism"[Mesh]
3. 1 or 
4. "Depression"[Mesh] OR "Depressive Disorder"[Mesh:NoExp] OR depression[tw]
5. "Anxiety"[Mesh:NoExp] OR "Anxiety Disorders"[Mesh:NoExp] OR anxiety[tw]
6. "Mental Health"[Mesh] OR "Mental Disorders"[Mesh:NoExp]
7. "Body Image"[Mesh:NoExp] OR "Body Weight"[Mesh:NoExp] OR "Body Dysmorphic Disorders"[Mesh] OR “body
image”[tw] OR "Feeding and Eating Disorders"[Mesh:NoExp]
8. "Social Stigma"[Mesh:NoExp] OR stigma[tw] OR "Quality of Life"[Mesh:NoExp] OR “quality of life”[tw]
9. "Sexual Dysfunctions, Psychological"[Mesh] OR “sexual dysfunction*”[tw] OR "Sexual Behavior"[Mesh:NoExp] OR
“sexual behaviour*”[tw]
10. 4 or 5 or 6 or 7 or 8 or 9
11. 3 and 10</t>
  </si>
  <si>
    <t>1. ALL=("polycystic ovary syndrome" OR "polycystic ovarian syndrome" OR "polycystic ovary disease" OR "polycystic ovar*"
OR "stein-leventhal syndrome" OR OR pcos OR pcod OR hirsutism OR hyperandrogenism)
2. ALL=(depression OR "depressive symptom*" OR "depressive disorder*" OR anxiety OR "anxiety disorder*" OR "mental
health")
3. ALL=("body image" OR "body weight" OR "body dysmorphic disorder*" OR "eating disorder*")
4. ALL=("stigma")
5. ALL=("quality of life")
6. ALL=("sexual behaviour*" OR "sexual dysfunction*" OR "psychosexual dysfunction*" OR "psychological sexual
dysfunction" OR "sexual disorder*")
7. 2 or 3 or 4 or 5 or 6
8. 1 and 7
9. (#1) AND (#7) and Science Citation Index Expanded (SCI-EXPANDED) or Social Sciences Citation Index (SSCI) (Web of
Science Index)
10. (#1) AND (#7) and Science Citation Index Expanded (SCI-EXPANDED) or Social Sciences Citation Index (SSCI) (Web of
Science Index) and Articles (Document Types)</t>
  </si>
  <si>
    <t>1. MeSH descriptor: [Polycystic Ovary Syndrome] explode all trees
2. MeSH descriptor: [Hirsutism] explode all trees
3. MeSH descriptor: [Hyperandrogenism] explode all trees
4. pcos OR pcod OR "polycystic ovar*" OR "polycystic ovarian disease"
5. #1 OR #2 OR #3 OR #4
6. MeSH descriptor: [Depression] explode all trees
7. MeSH descriptor: [Anxiety] this term only
8. depression OR "depressive symptom*" OR "depressive disorder*" OR "anxiety" OR "anxiety disorder*" OR "mental
health"
9. MeSH descriptor: [Body Image] explode all trees
10. MeSH descriptor: [Body Weight] this term only
11. MeSH descriptor: [Body Dysmorphic Disorders] explode all trees
12. MeSH descriptor: [Feeding and Eating Disorders] explode all trees
13. "body image" OR "body dysmorphic disorder"
14. MeSH descriptor: [Social Stigma] explode all trees
15. MeSH descriptor: [Quality of Life] explode all trees
16. stigma OR "quality of life"
17. MeSH descriptor: [Sexual Dysfunctions, Psychological] explode all trees
18. "sexual behaviour*" OR "sexual dysfunction*" OR "psychosexual dysfunction*" OR "psychological sexual dysfunction*"
OR "sexual disorder*"
19. 6 OR 7 OR 8 OR 9 OR 10 OR 11 OR 12 OR 13 OR 14
20. #5 AND #20 (Trials)</t>
  </si>
  <si>
    <t>((((polycyst* OR micropolycyst* OR sclerocyst*) NEAR/3 (ovar* OR follic*)) OR ((Stein) NEAR/3
(Leventhal)) OR pcos):ab,ti) AND ((sexual* OR arous* OR anorgas* OR orgas* OR libid* OR
abstinen* OR hypersex* OR hyposex* OR dyspareun* OR frigid* OR vaginis* OR psychosex* OR
copulation OR coit* OR masturbat* OR virgin*):ab,ti)</t>
  </si>
  <si>
    <t>1 exp "Feeding and Eating Disorders"/ 34876
2 eating disorder*.tw. 22866
3 anorexia nervosa.tw. 14559
4 anorex*.tw. 36368
5 bulimia nervosa.tw. 5803
6 bulim*.tw. 9011
7 "BN".tw. 12647
8 binge eating.tw. 6622
9 bing*.tw. 18674
10 (other Specified Feeding and Eating Disorder*).tw. 116
11 PICA.tw. 2682
12 rumination disorder.tw. 36
13 ((avoidant or restrictive) and food intake disorder*).tw. 294
14 avoidant food.tw. 0
15 restrict* food.tw. 1016
16 food intake.tw. 49460
17 (unspecified Feeding or Eating Disorder).tw. 12398
18 unspecified feed*.tw. 33
19 unspecified eating.tw. 26
20 UFED.tw. 14
21 muscle dysmorphia.tw. 194
22 orthorexia nervosa.tw. 277
23 overeat*.mp. [mp=title, book title, abstract, original title, name of substance word, subject heading word,
floating sub-heading word, keyword heading word, organism supplementary concept word, protocol
supplementary concept word, rare disease supplementary concept word, unique identifier, synonyms]
3242
24 night eating*.tw. 423
25 feeding.tw. 218914
26 hyperphagi*.tw. 4888
27 purg*.tw. 9349
28 compulsive exercise*.tw. 145
29 (eating disorder adj4 otherwise specified).tw. 439
30 ednos.tw. 364
31 food craving.tw. 554
32 food addiction*.tw. 774
33 or/1-32 352015
34 exp polycystic ovary syndrome/ 16980
35 polycystic ovar*.mp. 22535
36 poly-cystic ovar*.mp. 52
37 PCO*.mp. 36291
38 (stein-leventhal or leventhal).mp. 915
39 anovulation/ 2266
40 anovulat*.mp. 6774
41 oligo-ovulat*.mp. 108
42 oligoovulat*.mp. 61
43 (ovar* adj5 (sclerocystic or polycystic or poly-cystic or degenerat* or hyperandrogen* or hyperandrogen*)).
mp. 23525
44 or/34-43 49889
45 33 and 44 770
46 limit 45 to (english language and humans) 377</t>
  </si>
  <si>
    <t>1 exp "Feeding and Eating Disorders"/ 61439
2 eating disorder*.tw. 29559
3 anorexia nervosa.tw. 18545
4 anorex*.tw. 54441
5 bulimia nervosa.tw. 7270
6 bulim*.tw. 11688
7 "BN".tw. 15486
8 binge eating.tw. 8362
9 bing*.tw. 26140
10 (other Specified Feeding and Eating Disorder*).tw. 115
11 PICA.tw. 3704
12 rumination disorder.tw. 42
13 ((avoidant or restrictive) and food intake disorder*).tw. 432
14 avoidant food.tw. 1
15 restrict* food.tw. 1386
16 food intake.tw. 66519
17 (unspecified Feeding or Eating Disorder).tw. 15255
18 unspecified feed*.tw. 34
19 unspecified eating.tw. 35
20 UFED.tw. 18
21 muscle dysmorphia.tw. 215
22 orthorexia nervosa.tw. 313
23 overeat*.mp. [mp=title, abstract, heading word, drug trade name, original title, device manufacturer, drug
manufacturer, device trade name, keyword heading word, floating subheading word, candidate term
word] 4401
24 night eating*.tw. 636
25 feeding.tw. 273538
26 hyperphagi*.tw. 6542
27 purg*.tw. 11788
28 compulsive exercise*.tw. 155
29 (eating disorder adj4 otherwise specified).tw. 525
30 ednos.tw. 477
31 food craving.tw. 718
32 food addiction*.tw. 1069
33 or/1-32 464088
34 exp polycystic ovary syndrome/ 33669
35 polycystic ovar*.mp. 28917
36 poly-cystic ovar*.mp. 204
37 PCO*.mp. 53787
38 (stein-leventhal or leventhal).mp. 1502
39 anovulation/ 6703
40 anovulat*.mp. 11178
41 oligo-ovulat*.mp. 155
42 oligoovulat*.mp. 123
43 (ovar* adj5 (sclerocystic or polycystic or poly-cystic or degenerat* or hyperandrogen* or hyperandrogen*)).
mp. 38397
44 or/34-43 78733
45 33 and 44 1388
46 limit 45 to (english language and humans) 856</t>
  </si>
  <si>
    <t>1 exp "Feeding and Eating Disorders"/ 1886
2 eating disorder*.tw. 3051
3 anorexia nervosa.tw. 1304
4 anorex*.tw. 4286
5 bulimia nervosa.tw. 976
6 bulim*.tw. 1264
7 "BN".tw. 673
8 binge eating.tw. 1387
9 bing*.tw. 2661
10 (other Specified Feeding and Eating Disorder*).tw. 11
11 PICA.tw. 148
12 rumination disorder.tw. 4
13 ((avoidant or restrictive) and food intake disorder*).tw. 26
14 avoidant food.tw. 1
15 restrict* food.tw. 77
16 food intake.tw. 6057
17 (unspecified Feeding or Eating Disorder).tw. 2080
18 unspecified feed*.tw. 3
19 unspecified eating.tw. 5
20 UFED.tw. 1
21 muscle dysmorphia.tw. 19
22 orthorexia nervosa.tw. 8
23 overeat*.mp. [mp=ti, ab, tx, kw, ct, ot, fx, sh, hw] 467
24 night eating*.tw. 39
25 feeding.tw. 17831
26 hyperphagi*.tw. 238
27 purg*.tw. 852
28 compulsive exercise*.tw. 18
29 (eating disorder adj4 otherwise specified).tw. 66
30 ednos.tw. 52
31 food craving.tw. 215
32 food addiction*.tw. 104
33 or/1-32 33257
34 exp polycystic ovary syndrome/ 1712
35 polycystic ovar*.mp. 4675
36 poly-cystic ovar*.mp. 136
37 PCO*.mp. 6256
38 (stein-leventhal or leventhal).mp. 99
39 anovulation/ 154
40 anovulat*.mp. 1193
41 oligo-ovulat*.mp. 55
42 oligoovulat*.mp. 32
43 (ovar* adj5 (sclerocystic or polycystic or poly-cystic or degenerat* or hyperandrogen* or hyperandrogen*)).
mp. 4868
44 or/34-43 8226
45 33 and 44 144
46 limit 45 to (english language and humans) 143</t>
  </si>
  <si>
    <t>1 exp Eating Disorders/ or exp Feeding Disorders/ 33805
2 eating disorder*.tw. 28807
3 anorexia nervosa.tw. 13411
4 anorex*.tw. 18456
5 bulimia nervosa.tw. 7338
6 bulim*.tw. 12442
7 "BN".tw. 2885
8 binge eating.tw. 6988
9 bing*.tw. 15868
10 (other Specified Feeding and Eating Disorder*).tw. 114
11 PICA.tw. 667
12 rumination disorder.tw. 71
13 ((avoidant or restrictive) and food intake disorder*).tw. 308
14 avoidant food.tw. 0
15 restrict* food.tw. 587
16 food intake.tw. 12263
17 (unspecified Feeding or Eating Disorder).tw. 14755
18 unspecified feed*.tw. 27
19 unspecified eating.tw. 31
20 UFED.tw. 9
21 muscle dysmorphia.tw. 272
22 orthorexia nervosa.tw. 181
23 overeat*.mp. [mp=title, abstract, heading word, table of contents, key concepts, original title, tests &amp;
measures, mesh word] 2553
24 night eating*.tw. 337
25 feeding.tw. 28690
26 hyperphagi*.tw. 1619
27 purg*.tw. 2975
28 compulsive exercise*.tw. 178
29 (eating disorder adj4 otherwise specified).tw. 561
30 ednos.tw. 428
31 food craving.tw. 457
32 food addiction*.tw. 620
33 or/1-32 90309
34 exp Endocrine Sexual Disorders/ 1759
35 polycystic ovar*.mp. 523
36 poly-cystic ovar*.mp. 1
37 PCO*.mp. 1118
38 (stein-leventhal or leventhal).mp. 319
39 anovulation/ 0
40 anovulat*.mp. 161
41 oligo-ovulat*.mp. 0
42 oligoovulat*.mp. 0
43 (ovar* adj5 (sclerocystic or polycystic or poly-cystic or degenerat* or hyperandrogen* or hyperandrogen*)).
mp. 542
44 or/34-43 3303
45 33 and 44 100
46 limit 45 to (english language and humans) 94</t>
  </si>
  <si>
    <t>1 exp Endocrine Sexual Disorders/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8106
26 "health care professional$2".tw.
27 healthcare professional$2.tw.
28 health-care professional$2.tw.
29 exp Health Personnel/
30 (("health care" or health-care or healthcare)
adj worker$1).tw.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Hospitalized Patients/
58 exp Outpatients/
59 exp Human Females/
60 (consumer* or patient*).tw.
61 exp Adolescent Attitudes/ or exp Adolescent
Health/
62 exp "Racial and Ethnic Differences"/ or exp
Cultural Diversity/ or exp Multicultural
Education/ or exp Cultural Sensitivity/ or exp
"Racial and Ethnic Groups"/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Consumer Health Information/ or exp
Information Services/ or exp Patient
Education as Topic/
77 (knowledge adj1 gap).tw.
78 (resource or resources).tw.
79 exp Medical Education/
80 exp Health Knowledge/ or exp Health
Information/ or exp Information Seeking/ or
exp Health Education/ or exp
Communication/
81 exp Sex Education/
82 *Needs Assessment/
83 *Communication Barriers/
84 *Informed Consent/
85 exp Professional Consultation/
86 exp Health Promotion/ or exp Health
Literacy/ or exp Health Information/ or exp
Health Education/
87 *Information Literacy/
88 *Choice Behavior/
89 *Decision Making/ or exp Decision Support
Systems, Management/ or exp Decision
Support Techniques/ or exp Decision Making/
90 communications media/ or library materials/
or teaching materials/ or
telecommunications/ or electronic mail/ or
telemedicine/ or remote consultation/ or
telephone/ or answering services/ or exp
cellular phone/ or television/
91 computers/ or exp Microcomputers/ or
Minicomputers/ or exp Internet/ or
electronic mail/ or video games/
92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87706
93 (perspective$1 or opinion$1 or perception or
view$1 or viewpoint$1 or experience$1 or
satisfaction or attitude$1 or preference$1 or
expectation$1 or engagement or
dissatisfaction or collaborat* or communicat*
or cooperat* or relation* or interact* or
challeng*).tw.
94 *Patient Satisfaction/ or *Patient Preference/
95 55 or 63
96 93 or 94
97 11 and 55 and 96
98 or/64-92
99 55 or 63
100 11 and 98 and 99
101 97 or 100
102 limit 101 to (human and english language and
yr="1990 -Current")</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</si>
  <si>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26 "health care professional$2".tw.
27 healthcare professional$2.tw.
28 health-care professional$2.tw.
29 exp Health Personnel/
30 (("health care" or health-care or healthcare) adj
worker$1).tw. 2647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Inpatients/
58 exp Outpatients/
59 exp Female/
60 (consumer* or patient*).tw.
61 exp Adolescent/ or exp Culture/
62 "Ethnic and Racial Minorities"/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Health Knowledge, Attitudes, Practice/ or
exp "Patient Acceptance of Health Care"/
77 exp Information Seeking Behavior/
78 exp Consumer Health Information/ or exp
Information Services/ or exp Patient Education as
Topic/
79 (knowledge adj1 gap).tw.
80 (resource or resources).tw.
81 exp Health Education/
82 exp Consumer Health Information/
83 exp Patient Education as Topic/
84 exp Sex Education/
85 exp Attitude to Health/
86 *Decision Making/ or exp Decision Support
Systems, Management/ or exp Decision Support
Techniques/ or exp Decision Making/
87 exp Professional-Patient Relations/
88 communications media/ or library materials/ or
teaching materials/ or telecommunications/ or
electronic mail/ or telemedicine/ or remote
consultation/ or telephone/ or answering
services/ or exp cellular phone/ or television/
89 computers/ or exp Microcomputers/ or
Minicomputers/ or exp Internet/ or electronic
mail/ or video games/
90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91 (perspective$1 or opinion$1 or perception or
view$1 or viewpoint$1 or experience$1 or
satisfaction or attitude$1 or preference$1 or
expectation$1 or engagement or dissatisfaction
or collaborat* or communicat* or cooperat* or
relation* or interact* or challeng*).tw.
92 55 or 63
93 11 and 55 and 91 43294 or/64-90
95 11 and 92 and 94
96 93 or 95
97 limit 96 to english language
98 limit 97 to yr="1990 -Current"
99 limit 98 to humans</t>
  </si>
  <si>
    <t>S1 (MM "Polycystic Ovary Syndrome")
S2 TX polycystic ovar*
S3 TX poly-cystic ovar*
S4 TX PCO*
S5 TX (stein-leventhal or leventhal)
S6 (MM "Anovulation")
S7 TX anovulat*
S8 TX oligo-ovulat*
S9 TX oligoovulat*
S10 TX (ovar* N5 (sclerocystic or polycystic or polycystic
or degenerat* or hyperandrogen* or hyperandrogen*))
S11 S1 OR S2 OR S3 OR S4 OR S5 OR S6 OR S7 OR
S8 OR S9 OR S10
S12 (MH "Allied Health Personnel+")
S13 (MH "Physicians+")
S14 TI ( doctor* OR physician* OR nurse* OR
clinician* OR dietitian* OR medical care
provider* OR medical-care professional* OR
medical professional* OR health care provider*
OR healthcare provider* OR healthcare
professiona;* OT health care professional* OR
health-worker* OR healthworker* OR health
worker ) OR AB ( doctor* OR physician* OR
nurse* OR clinician* OR dietitian* OR medical
care provider* OR medical-care professional* OR
medical professional* OR health care provider*
OR healthcare provider* OR healthcare
professiona;* OT health care professional* OR
health-worker* OR healthworker* OR health
worker )
S15 TI ( Obstetrician-Gynecologist* OR
gynaecologist* OR psychiatrist* midwife OR
midwives OR obstetrician* OR nutritionist* OR
general practitioner* OR pharmacologist* OR
family physician* OR psychologist* OR
psychiatrist* ) OR AB ( Obstetrician-
Gynecologist* OR gynaecologist* OR
psychiatrist* midwife OR midwives OR
obstetrician* OR nutritionist* OR general
practitioner* OR pharmacologist* OR family
physician* OR psychologist* OR psychiatrist* )
S16 TI ( medical specialist* OR endocrine specialist*
OR endocrinologist* OR nurse practitioner* OR
health personnel ) OR AB ( medical specialist* OR
endocrine specialist* OR endocrinologist* OR
nurse practitioner* OR health personnel )
S17 TX (("health care" or health-care or healthcare) N2
worker*)
S18 TI ( (gynecolog* specialist* or gyneacolog*
specialist*) ) OR AB ( (gynecolog* specialist* or
gyneacolog* specialist*) )
S19 TX (mental health N2 (practitioner* or clini* or
specialist*))
S20 S12 OR S13 OR S14 OR S15 OR S16 OR S17 OR
S18 OR S19
S21 TI ( (perspective* or opinion* or perception or
view* or viewpoint* or experience* or satisfaction
or attitude* or preference* or expectation* or
engagement or dissatisfaction or collaborat* or
communicat* or cooperat* or relation* or interact*
or challeng*) ) OR AB ( (perspective* or opinion*
or perception or view* or viewpoint* or
experience* or satisfaction or attitude* or
preference* or expectation* or engagement or
dissatisfaction or collaborat* or communicat* or
cooperat* or relation* or interact* or challeng*) )
S22 (MH "Patient Satisfaction+")
S23 (MM "Patient Preference")
S24 S21 OR S22 OR S23
S25 S11 AND S20 AND S24
S26 (MH "Patients+")
S27 (MM "Female")
S28 TI ( consumer* or patient* ) OR AB ( consumer*
or patient* )
S29 TI ( female or women or woman or females ) OR
AB ( female or women or woman or females )
S30 (MH "Adolescence+")
S31 (MM "Adolescent Health")
S32 (MM "Minority Groups") OR (MH "Sexual and
Gender Minorities+") OR (MH "Ethnic Groups+")
OR "Ethnic and Racial Minorities"
S33 (MM "Cultural Diversity")
S34 S26 OR S27 OR S28 OR S29 OR S30 OR S31 OR
S32 OR S33
S35 S20 OR S34
S36 TI health literacy OR AB health literacy OR TI
health promotion OR AB health promotion OR TI (
(Health seeking behaviour or Health seeking
behavior) ) OR AB ( (Health seeking behaviour or
Health seeking behavior) )
S37 TI ( (Information seeking behaviour or Information
seeking behavior or Information-seeking behaviour
or Information-seeking behavior) ) OR AB (
(Information seeking behaviour or Information
seeking behavior or Information-seeking behaviour
or Information-seeking behavior) ) OR TI
continuing education OR AB Continuing education
OR TI Medical education OR AB Medical
education OR TI Professional education OR AB
Professional education OR TI Nursing education
OR AB Nursing education OR TI Consumer health
information OR AB Consumer health information
S38 TI Information provision OR AB Information
provision OR TI (knowledge N2 gap) OR AB
(knowledge N2 gap) OR TI ( resource or resources
) OR AB ( resource or resources )
S39 (MM "Health Literacy")
S40 (MH "Attitude of Health Personnel+") OR (MM
"Health Knowledge")
S41 (MM "Information Seeking Behavior")
S42 (MH "Consumer Health Information+")
S43 (MH "Patient Education+") OR (MM "Patient
Discharge Education") OR (MH "Patient Education
(Iowa NIC)+")
S44 TI knowledge N2 gap OR AB knowledge N2 gap
S45 (MH "Communication Barriers+")
S46 (MH "Information Literacy+")
S47 (MH "Communications Media+")
S48 (MH "Social Media+")
S49 (MH "Internet+")
S50 (MM "Decision Support Systems, Clinical") OR
(MH "Decision Support Techniques+")
S51 TI ( communications media or library materials or
teaching materials or telecommunications or
electronic mail or telemedicine or remote
consultation or telephone or answering services or
television ) OR AB ( communications media or
library materials or teaching materials or
telecommunications or electronic mail or
telemedicine or remote consultation or telephone or
answering services or television )
S52 TI ( Social Media or Self-Help Groups or Decision
Support Techniques or Algorithms or Decision
Support Systems or Internet or Mass Media or
Patient Care Planning or Managed Care Programs
or Practice Guideline* or Books or Textbooks ) OR
AB ( Social Media or Self-Help Groups or
Decision Support Techniques or Algorithms or
Decision Support Systems or Internet or Mass
Media or Patient Care Planning or Managed Care
Programs or Practice Guideline* or Books or
Textbooks )
S53 S36 OR S37 OR S38 OR S39 OR S40 OR S41 OR
S42 OR S43 OR S44 OR S45 OR S46 OR S47 OR
S48 OR S49 OR S50 OR S51 OR S52
S54 S11 AND S35 AND S53
S55 S25 OR S54
S56 S25 OR S54 Limiters - Publication Year: 1990-
2022; English Language; Human</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</si>
  <si>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Patient Care Team/
13. exp "Continuity of Patient Care"/
14. exp Patient Care Planning/
15. exp Case Management/
16. exp Patient Care Management/
17. exp "Delivery of Health Care, Integrated"/
18. exp Patient-Centered Care/
19. exp Interdisciplinary Communication/
20. exp Managed Care Programs/
21. models, organizational/
22. (Case-management or care-coordination or care-coordination
or care-planning).mp.
23. (Multidisciplin* or multi-disciplin* or multiprofessional or
multi-professional or interdisciplin* or inter-disciplin* or
(multi* and profession*)).mp.
24. ((Interdiscipin* or step* or collaborat* or health or patient* or
integrat* or parallel* or stratified or matched or co-managed
or comanaged or shared or primary or specialis* or
transition* or tailored or bio-psychosocial or contin*or
individual* or model*) adj care).mp.
25. ((team-oriented or team oriented) adj (healthcare or healthcare
or model or practice)).mp.
26. ((inter-professional or interprofessional or integrat* or "home
treatment") adj (team or health-care or healthcare or model
or practice)).mp.
27. exp Consumer Participation/
28. exp Self Care/
29. exp Self Concept/
30. exp Decision Making, Shared/
31. exp Decision Support Systems, Clinical/ or decisionsupport.
mp.
32. community informed care.mp.
33. digital first.mp.
34. ((self or self directed or self-directed or self monitor* or selfmonitor*
or symptom*) adj (care or help or manag* or
efficacy or admin* or concept)).mp.
35. or/12-34
36. 11 and 35
37. limit 36 to (english language and humans)</t>
  </si>
  <si>
    <t>1. SU polycystic ovary syndrome
2. polycystic ovar*
3. poly-cystic ovar*
4. PCO*
5. Stein-leventhal or Leventhal
6. SU Ovarian cysts
7. SU anovulation
8. Oligo-ovulat*
9. Oligoovulat*
10. ovar* N5 sclerocystic or ovar* N5 polycystic or
ovar* N5 poly-cystic or ovar* N5 degenerat* or
ovar* N5 hyperandrogen*or ovar* N5
hyperandrogen*
11. S1 OR S2 OR S3 OR S4 OR S5 OR S6 OR S7
OR S8 OR S9 OR S10
12. MH “Consumer Participation +”)
13. (MH "Self Care+")
14. (MH "Self Concept+"
15. ((self or self directed or self-directed or
selfmonitor* or selfmonitor* or symptom*) N
(care or help or manag* or efficacy or admin* or
concept))
16. Health communication
17. Interdisciplinary communication
18. Patient Care Management
19. Case-management Or care-coordination OR
care-co-ordination Or care-planning
20. (MH "Continuity ofPatient Care+")
21. (Multidisciplin* or multi-disciplin* or
multiprofessional or multi-professional or
interdisciplin* or interdisciplin* or (multi*and
profession*))
22. ((Interdiscipin* or step* or collaborat* or health
or patient* or integrat* or parallel* or stratifi ed
or matched or comanaged or comanaged or
shared or primary or specialis* or transition* or
tailored or biopsychosocial orcontin* or
individual* ormodel*) N care)
23. (MH "Patient CarePlans+") OR
(MH"MultidisciplinaryCare Team+") OR
(MH"ComputerizedPatient Record") OR
(MH"Patient CenteredCare")
24. (MH "CaseManagement") OR (MH"Decision
SupportSystems, Management")
25. (MH "Health Care Delivery+") OR (MH"Health
Care Delivery,Integrated")
26. (MH "Managed CarePrograms+")
27. ((team-oriented or team oriented) N (healthcare
or healthcare or model or practice))
28. ((inter-professional or interprofessional or
integrat* or "home treatment") N (team or
health-care or healthcare or model or practice))
29. patient centered care or patient-centred care or
person centred care or person-centred care
30. shared decision making
31. Decision support or decision-support
32. community informed care
33. digital first
34. S12 OR S13 OR S14 OR S15 OR S16 OR S17
OR S18 OR S19 OR S20 OR S21 OR S22 OR
S23 OR S24 OR S25 OR S26 OR S27 OR S28
OR S29 OR S30 OR S31 OR S32 OR S33
35. S11 AND S34</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</si>
  <si>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26 "health care professional$2".tw.
27 healthcare professional$2.tw.
28 health-care professional$2.tw.
29 exp Health Personnel/
30 (("health care" or health-care or healthcare) adj
worker$1).tw.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Inpatients/
58 exp Outpatients/
59 exp Female/
60 (consumer* or patient*).tw.
61 exp Adolescent/ or exp Culture/
62 "Ethnic and Racial Minorities"/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Health Knowledge, Attitudes, Practice/ or
exp "Patient Acceptance of Health Care"/
77 exp Information Seeking Behavior/
78 exp Consumer Health Information/ or exp
Information Services/ or exp Patient Education as
Topic/
79 (knowledge adj1 gap).tw.
80 (resource or resources).tw.
81 *Education, Medical/
82 exp Health Education/
83 exp Consumer Health Information/
84 exp Patient Education as Topic/
85 exp Sex Education/
86 *Needs Assessment/
87 exp Attitude to Health/
88 *Communication Barriers/
89 *Informed Consent/
90 *Truth Disclosure/
91 *Health Communication/
92 *Information Literacy/
93 *Choice Behavior/
94 *Decision Making/ or exp Decision Support
Systems, Management/ or exp Decision Support
Techniques/ or exp Decision Making/
95 exp Professional-Patient Relations/ 147652
96 communications media/ or library materials/ or
teaching materials/ or telecommunications/ or
electronic mail/ or telemedicine/ or remote
consultation/ or telephone/ or answering
services/ or exp cellular phone/ or television/
97 computers/ or exp Microcomputers/ or
Minicomputers/ or exp Internet/ or electronic
mail/ or video games/
98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99 or/64-98
100 (perspective$1 or opinion$1 or perception or
view$1 or viewpoint$1 or experience$1 or
satisfaction or attitude$1 or preference$1 or
expectation$1 or engagement or dissatisfaction
or collaborat* or communicat* or cooperat* or
relation* or interact* or challeng*).tw.
101 *Patient Satisfaction/ or *Patient Preference/
102 100 or 101
103 55 or 63 14503199
104 11 and 99 and 103
105 11 and 55 and 102
106 104 or 105
107 limit 106 to (english language and humans and
yr="1990 -Current")</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</si>
  <si>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Antidepressive Agents/
13 exp Serotonin Uptake
Inhibitors/
14 exp Monoamine Oxidase
Inhibitors/
15 exp Adrenergic Uptake
Inhibitors/
16 exp Hypericum/
17 exp Anti-Anxiety Agents/
18 (anti-depress* or
antidepress*).mp.
19 (selective serotonin reuptake
inhibit* or SSRI* or serotonin
norepinephrine reuptake
inhibit* or SNRI*).mp.
20 ((serotonin or norepinephrine
or noradrenaline or
neurotransmitter* or dopamin*)
adj (uptake or reuptake or reuptake)).
mp.
21 (tricyclic* or TCA* or
tetracyclic* or TeCA* or
heterocyclic*).mp.
22 (monoamine oxidase inhibit* or
MAOI* or rMAO*).mp.
23 (('Noradrenergic and specific
serotonergic') or NaSSA*).mp.
24 (RIMA* or SARI* or NDRI* or
NARI*).mp.
25 (St John* wort or
hypericum).mp.
26 (Anxiolytic* or antianxiety or
anti-anxiety or antipanic or
anti-panic).mp.
27 12 or 13 or 14 or 15 or 16 or
17 or 18 or 19 or 20 or 21 or
22 or 23 or 24 or 25 or 26
28 search$.tw. or metaanalysis.
mp. or metaanalysis.
pt. or review.pt. or
di.xs. or associated.tw.
29 clinical trial.mp. or clinical
trial.pt. or random.mp. or tu.xs.
30 28 or 29
31 11 and 27 and 30
32 limit 31 to (english language
and humans)
33 limit 32 to yr="2017 -Current"
32</t>
  </si>
  <si>
    <t>S1 SU polycystic ovary
syndrome
S2 polycystic ovar*
S3 poly-cystic ovar*
S4 PCO*
S5 stein-leventhal or leventhal
S6 SU ovarian cysts
S7 SU anovulation
S8 oligo-ovulat*
S9 oligoovulat*
S10 ovar* N5 sclerocystic or
ovar* N5 polycystic or ovar* N5
poly-cystic or ovar* N5
degenerat* or ovar* N5
hyperandrogen* or ovar* N5
hyper- androgen*
S11 S1ORS2ORS3OR
S4ORS5ORS6OR
S7ORS8ORS9OR S10
S12 (MH "Antidepressive
Agents+")
S13 (MH "Adrenergic Uptake
Inhibitors+") OR (MH
"Serotonin Uptake Inhibitors+")
OR (MH "Monoamine Oxidase
Inhibitors+")
S14 (MH "Antianxiety Agents+")
S15 anti-depress* or
antidepress*
S16 selective serotonin
reuptake inhibit* or SSRI* or
serotonin –norepinephrine
reuptake inhibit* or SNRI*
S17 ((serotonin or
norepinephrine or
noradrenaline or
neurotransmitter* or dopamin*)
N (uptake or reuptake or reuptake))
S18 Tricyclic* or TCA* or
tetracyclic* or TeCA* or
heterocyclic*
S19 monoamine oxidase
inhibit* or MAOI* or rMAO-A*
S20 “Noradrenergic and
specific serotonergic” or
NaSSA*
S21 RIMA* or SARI* or NDRI*
or NARI*
S22 St John* wort or hypericum
S23 Anxiolytic* or antianxiety or
anti- anxiety or antipanic or
anti-panic
S24 S12 OR S13 OR S14
ORS15ORS16OR S17 OR S18
OR S19 ORS20ORS21OR S22
OR S23
S25 S11 AND S24
Limiters - English Language;
Exclude MEDLINE records
Search modes -
Boolean/Phrase</t>
  </si>
  <si>
    <t>1. exp Polycystic Ovary Syndrome/ OR Polycystic Ovar$.tw. OR (PCOS or PCOD).tw. OR
(sclerocystic adj3 ovar$).tw. OR stein leventhal.tw.
2. exp Diet Therapy/ OR diet$.tw. OR exp Weight Loss/ OR (weight adj2 lose).tw. OR Weight Loss.tw. OR (weight adj3
reduc$).tw. OR ((body mass index adj2 loss) or reduc$ or decreas$).tw. OR ((BMI adj2 loss) or (BMI adj2 reduc) or (BMI adj2
decreas$)).tw. OR exp Exercise Therapy/ OR (exercise$ or exercising).tw. OR exp sports/ or exp bicycling/ or exp running/ or
exp swimming/ or exp walking/ OR (run$ or jog$).tw. OR (sport$ or walk$).tw. OR swim$.tw. OR train$.tw. OR fitness.tw. OR
yoga.tw. OR exp cognitive therapy/ or exp relaxation techniques/ OR (cognitive adj2 therap$).tw. OR exp Psychotherapy/ OR
Psychotherapy.tw. OR psychosocial.tw. OR exp Behavior Therapy/ OR (Behavio?r adj2 therap$).tw. OR behavio?r
modif$.tw. OR (behavio?r adj2 manage$).tw. OR CBT.tw. OR exp life style/ or exp life change events/ OR ((life*style adj2
change$) or intervention$).tw. OR counselling.tw. OR social support/ OR (social adj2 support).tw. OR relaxation.tw. OR exp
self eIicacy/ OR self eIicacy.tw. OR exp Health Promotion/ OR (Health adj2 Promotion).tw. OR exp Health Education/ OR
(Health$ adj2 Education).tw. OR (motivation$ adj2 therap$).tw.
3. randomised controlled trial.pt. OR controlled clinical trial.pt. OR randomized.ab. OR placebo.tw. OR clinical trials as topic.sh.
OR randomly.ab. OR trial.ti. OR (crossover or cross-over or cross over).tw.
4. 1 AND 2 AND 3
5. limit 4 to (English language, and humans AND yr="2018 -Current")</t>
  </si>
  <si>
    <t>1 exp polycystic ovary syndrome/ 1705
2 polycystic ovar*.mp. 4396
3 poly-cystic ovar*.mp. 136
4 PCO*.mp. 6012
5 (stein-leventhal or leventhal).mp. 58
6 anovulation/ 151
7 anovulat*.mp. 1092
8 oligo-ovulat*.mp. 38
9 oligoovulat*.mp. 28
10 (ovar* adj5 (sclerocystic or polycystic or poly-cystic or degenerat* or hyperandrogen* or hyper-androgen*)).mp. 4588
11 or/1-10 7749
12 exp Diet Therapy/ 6611
13 exp Weight Loss/ 7136
14 exp Exercise Therapy/ 16211
15 exp Sports/ 17296
16 exp Bicycling/ 1749
17 exp Running/ 2207
18 exp Jogging/ 52
19 exp Walking/ 6281
20 exp Cognitive Behavioral Therapy/ 10334
21 exp Relaxation Therapy/ 2064
22 exp Psychotherapy/ 26780
23 exp Behavior Therapy/ 18705
24 exp Life Style/ 6377
25 exp Life Change Events/ 461
26 exp Social Support/ 3545
27 exp Health Promotion/ 7165
28 exp Health Education/ 21239
29 (diet* or (weight adj2 lose) or Weight Loss or (weight adj3 reduc*) or (body mass index adj2 loss) or reduc* or decreas* or
(BMI adj2 loss) or (BMI adj2 reduc) or (BMI adj2 decreas*) or (exercise* or exercising) or (run* or jog*) or (sport* or walk*) or swim* or
train* or fitness or yoga or (cognitive adj2 therap*) or Psychotherapy or psychosocial or (Behavio?r adj2 therap*) or behavio?r modif*
or (behavio?r adj2 manage*) or CBT or (life*style adj2 change*) or intervention* or counselling or (social adj2 support) or relaxation or
self efficacy or (Health adj2 Promotion) or (Health* adj2 Education) or (motivation* adj2 therap*)).tw. 1044945
30 or/12-29 1052246
31 11 and 30 5069
32 limit 31 to (yr="2018 -Current" and english language) 1605</t>
  </si>
  <si>
    <t>Unretrievable</t>
  </si>
  <si>
    <t xml:space="preserve">1 exp Endocrine Sexual
Disorders/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Antidepressant Drugs/
13 exp Serotonin Reuptake
Inhibitors/ or exp
Antidepressant Drugs/
14 exp Monoamine Oxidase
Inhibitors/
15 exp Hypericum/
16 exp Tranquilizing Drugs/
17 (anti-depress* or
antidepress*).mp.
18 (selective serotonin reuptake
inhibit* or SSRI* or serotonin
norepinephrine reuptake
inhibit* or SNRI*).mp.
19 ((serotonin or norepinephrine
or noradrenaline or
neurotransmitter* or dopamin*)
adj (uptake or reuptake or reuptake)).
mp.
20 (tricyclic* or TCA* or
tetracyclic* or TeCA* or
heterocyclic*).mp.
21 (monoamine oxidase inhibit*
or MAOI* or rMAO*).mp.
22 (('Noradrenergic and specific
serotonergic') or NaSSA*).mp.
23 (RIMA* or SARI* or NDRI* or
NARI*).mp.
24 (St John* wort or
hypericum).mp.
25 (Anxiolytic* or antianxiety or
anti-anxiety or antipanic or
anti-panic).mp. 12409
26 12 or 13 or 14 or 15 or 16 or
17 or 18 or 19 or 20 or 21 or
22 or 23 or 24 or 25
27 search$.tw. or metaanalysis.
mp. or metaanalysis.
pt. or review.pt. or
associated.tw.
28 clinical trial.mp. or clinical
trial.pt. or random.mp.
29 27 or 28
30 11 and 26 and 29
31 limit 30 to (human and english
language)
32 limit 31 to yr="2017 -Current"
</t>
  </si>
  <si>
    <t>('ovary polycystic disease'/de OR 'anovulation'/de OR (PCOS OR PCO OR leventhal* OR ((polycyst* OR poly-cyst* OR
scelerocystic* OR degenerat* OR hyperandrogen* OR hyper-androgen*) NEAR/6 (ovar*)) OR anovulat* OR oligo-ovulat*
OR oligoovulat*):ab,ti,kw) AND ('cognitive behavioral therapy'/de OR 'cognitive therapy'/de OR 'lifestyle modification'/de
OR 'lifestyle'/de OR 'behavior theory'/de OR 'Social Cognitive Theory'/de OR 'Theory of Planned Behavior'/de OR
(lifestyle* OR ((behavior* OR behaviour* OR cognit* OR transtheoretical-stage* OR self-determination*) NEAR/3
(intervention* OR therap* OR modificat* OR advic* OR treatment* OR chang* OR theor*)) OR health-coach*):ab,ti,kw)
AND ('randomization'/exp OR 'clinical trial'/exp OR 'systematic review'/exp OR 'meta analysis'/de OR (trial OR random*
OR systematic-review* OR meta-analy* OR guideline*):ab,ti,kw) NOT ((animal/exp OR animal*:de OR nonhuman/de) NOT
('human'/exp))</t>
  </si>
  <si>
    <t>(Polycystic Ovary Syndrome/ OR Anovulation/ OR (PCOS OR PCO OR leventhal* OR ((polycyst* OR poly-cyst* OR
scelerocystic* OR degenerat* OR hyperandrogen* OR hyper-androgen*) ADJ6 (ovar*)) OR anovulat* OR oligo-ovulat* OR
oligoovulat*).ab,ti,kf.) AND (Cognitive Behavioral Therapy/ OR Life Style/ OR Transtheoretical Model/ OR (lifestyle* OR
((behavior* OR behaviour* OR cognit* OR transtheoretical-stage* OR self-determination*) ADJ3 (intervention* OR therap*
OR modificat* OR advic* OR treatment* OR chang* OR theor*)) OR health-coach*).ab,ti,kf.) AND (exp Clinical Trial/ OR
Systematic Review/ OR Meta-Analysis/ OR (trial OR random* OR systematic-review* OR meta-analy* OR
guideline*).ab,ti,kf.) NOT (exp animals/ NOT humans/)</t>
  </si>
  <si>
    <t>((PCOS OR PCO OR leventhal* OR ((polycyst* OR poly-cyst* OR scelerocystic* OR degenerat* OR hyperandrogen* OR
hyper-androgen*) NEAR/6 (ovar*)) OR anovulat* OR oligo-ovulat* OR oligoovulat*):ab,ti,kw) AND ((lifestyle* OR
((behavior* OR behaviour* OR cognit* OR transtheoretical-stage* OR self-determination*) NEAR/3 (intervention* OR
therap* OR modificat* OR advic* OR treatment* OR chang* OR theor*)) OR health-coach*):ab,ti,kw)</t>
  </si>
  <si>
    <t>TS=(((PCOS OR PCO OR leventhal* OR ((polycyst* OR poly-cyst* OR scelerocystic* OR degenerat* OR hyperandrogen*
OR hyper-androgen*) NEAR/5 (ovar*)) OR anovulat* OR oligo-ovulat* OR oligoovulat*)) AND ((lifestyle* OR ((behavior*
OR behaviour* OR cognit* OR transtheoretical-stage* OR self-determination*) NEAR/2 (intervention* OR therap* OR
modificat* OR advic* OR treatment* OR chang* OR theor*)) OR health-coach*)) AND ((trial OR random* OR systematicreview*
OR meta-analy* OR guideline*)) NOT ((animal* OR rat OR rats OR mouse OR mice OR murine OR dog OR dogs
OR canine OR cat OR cats OR feline OR rabbit OR cow OR cows OR bovine OR rodent* OR sheep OR ovine OR pig OR
swine OR porcine OR veterinar* OR chick* OR zebrafish* OR baboon* OR nonhuman* OR primate* OR cattle* OR goose
OR geese OR duck OR macaque* OR avian* OR bird* OR fish*) NOT (human* OR patient* OR women OR woman OR
men OR man)))</t>
  </si>
  <si>
    <t>“polycystic ovary syndrome|disease” lifestyle|”behavioral|behavioural|cognition|cognitive intervention|therapy|treatment”</t>
  </si>
  <si>
    <t>1. exp polycystic ovary syndrome/ OR polycystic ovar*.mp. OR poly-cystic
ovar*.mp. OR PCO*.mp. OR (stein-leventhal or leventhal).mp. OR anovulation/
OR anovulat*.mp. OR oligo-ovulat*.mp. OR oligoovulat*.mp. OR (ovar* adj5
(sclerocystic or polycystic or poly-cystic or degenerat* or hyperandrogen* or
hyper-androgen*)).mp.
2. exp life style/ OR exp life change events/ OR (life*style adj2 change*).mp. OR
(life*style adj2 intervention*).mp. OR (life*style adj2 modif*).mp. OR (life*style
adj2 choice*).mp. OR exp self efficacy/ OR self-efficacy.mp. OR exp Health
Promotion/ OR (health adj2 promotion).mp. OR exp Health Education/ OR
(health* adj2 education).mp. OR (motivation* adj2 therap*).mp. OR
interview*.mp. OR diet*.mp. OR nutrition*.mp. OR meal*.mp. OR food*.mp. OR
(Energy adj3 restrict*).mp. OR (Energy adj3 reduc*).mp. OR Kilojoule*.mp. OR
Calor*.mp. OR hypocaloric.mp. OR hypercaloric.mp. OR hyperproteic.mp. OR
hypoproteic.mp. OR feeding behaviour*.mp. OR feeding behavior*.mp. OR
eating behaviour*.mp. OR eating behaviour*.mp. OR exp diet/ OR exp diet
therapy/ OR exp nutrition therapy/ OR exp food/ OR exp feeding behavior/
3. search$.tw. or meta-analysis.mp. or meta-analysis.pt. or review.pt. or di.xs. or
associated.tw. OR clinical trial.mp. or clinical trial.pt. or random.mp. or tu.xs.
4. 1 AND 2 AND 3
5. limit 4 to (English language and humans and yr="2017 -2022"</t>
  </si>
  <si>
    <t>1 exp polycystic ovary syndrome/ 1712
2 polycystic ovar*.mp. 4675
3 poly-cystic ovar*.mp. 136
4 PCO*.mp. 6256
5 (stein-leventhal or leventhal).mp. 99
6 anovulation/ 154
7 anovulat*.mp. 1193
8 oligo-ovulat*.mp. 55
9 oligoovulat*.mp. 32
10 (ovar* adj5 (sclerocystic or polycystic or poly-cystic or degenerat* or
hyperandrogen* or hyper-androgen*)).mp. 4868
11 or/1-10 8226
12 exp life style/ 6496
13 exp life change events/ 464
14 (life*style adj2 change*).mp. 3486
15 (life*style adj2 intervention*).mp. 6764
16 (life*style adj2 modif*).mp. 5484
17 (life*style adj2 choice*).mp. 227
18 exp self efficacy/ 3497
19 self-efficacy.mp. 16564
20 exp Health Promotion/ 7449
21 (health adj2 promotion).mp. 12952
22 exp Health Education/ 21359
23 (health* adj2 education).mp. 15419
24 (motivation* adj2 therap*).mp. 937
25 interview*.mp. 48994
26 diet*.mp. 109821
27 nutrition*.mp. 52738
28 meal*.mp. 27171
29 food*.mp. 60291
30 (Energy adj3 restrict*).mp. 1479
31 (Energy adj3 reduc*).mp. 1813
32 Kilojoule*.mp. 97
33 Calor*.mp. 18008
34 hypocaloric.mp. 1217
35 hypocaloric.mp. 1217
36 hyperproteic.mp. 43
37 hypoproteic.mp. 10
38 feeding behaviour*.mp. 140
39 feeding behavior*.mp. 5567
40 eating behaviour*.mp. 837
41 eating behaviour*.mp. 837
42 exp diet/ 20558
43 exp diet therapy/ 6661
44 exp nutrition therapy/ 10481
45 exp food/ 54753
46 exp feeding behavior/ 9877
47 or/12-46 287108
48 11 and 47 1438
49 limit 48 to (english language and humans and yr="2017 -Current") 652</t>
  </si>
  <si>
    <t>polycystic ovar*.mp.</t>
  </si>
  <si>
    <t>PCO*.mp.</t>
  </si>
  <si>
    <t>anovulation/</t>
  </si>
  <si>
    <t>anovulat*.mp.</t>
  </si>
  <si>
    <t>oligo-ovulat*.mp.</t>
  </si>
  <si>
    <t>oligoovulat*.mp.</t>
  </si>
  <si>
    <t>poly-cystic ovar*.mp.</t>
  </si>
  <si>
    <t>train*.mp.</t>
  </si>
  <si>
    <t>exp exercise/</t>
  </si>
  <si>
    <t>1 exp polycystic ovary syndrome/
2 polycystic ovar*.mp.
3 PCO*.mp.
4 (stein-leventhal or leventhal).mp.
5 anovulation/
6 anovulat*.mp.
7 oligo-ovulat*.mp.
8 oligoovulat*.mp.
9 (ovar* adj5 (sclerocystic or polycystic or poly-cystic or degenerat* or hyperandrogen* or hyper-androgen*)).mp.
10 poly-cystic ovar*.mp.
11 or/1-10
12 exercise*.mp.
13 exercise therapy.mp.
14 exertion.mp.
15 physical fitness.mp.
16 physical activit*.mp.
17 physical performance.mp.
18 sport*.mp.
19 (strength adj2 training).mp.
20 resistance training.mp.
21 (aerobic* adj2 training).mp.
22 (endurance adj training).mp.
23 physical training.mp.
24 (strength* adj2 exercise*).mp.
25 (weight-bearing adj2 exercise*).mp.
26 (Resistance adj2 exercise*).mp.
27 (Aerobic* adj2 exercise*).mp.
28 (Endurance adj2 exercise*).mp.
29 (Physical adj2 exercise*).mp.
30 fit*.mp.
31 bicycle*.mp.
32 cycl*.mp.
33 run*.mp.
34 swim*.mp.
35 walk*.mp.
36 jog*.mp.
37 train*.mp.
38 gym*.mp.
39 aqua-aerobics.mp.
40 pilates.mp.
41 yoga.mp.
42 danc*.mp.
43 exp exercise/
44 exp exercise therapy/
45 physical exertion/
46 exp sports/
47 exp physical endurance/
48 or/12-47
49 search$.tw. or meta-analysis.mp. or meta-analysis.pt. or review.pt. or di.tw,kw. or associated.tw.
50 clinical trial.mp. or clinical trial.pt. or random.mp. or tu.xs.
51 49 or 50
52 11 and 48 and 51
53 limit 52 to (english language and humans and yr="2017 -Current")</t>
  </si>
  <si>
    <t>S1 SU polycystic ovary syndrome
S2 polycystic ovar*
S3 poly-cystic ovar*
S4 PCO*
S5 stein-leventhal or leventhal
S7 SU anovulation
S8 oligo-ovulat*
S9 oligoovulat*
S10 ovar* N5 sclerocystic or ovar* N5 polycystic or ovar* N5 poly-cystic or ovar* N5 degenerat* or ovar* N5 hyperandrogen* or ovar* N5 hyperandrogen*
S11 S1 OR S2 OR S3 OR S4 OR S5 OR S6 OR S7 OR S8 OR S9 OR S10
S12 exercise*
S13 exercise therapy
S14 physical activit*
S15 physical performance
S16 (strength N2 training)
S17 resistance training
S18 (aerobic* N2 training)
S19 (endurance N training)
S20 physical training
S21 (strength* N2 exercise*)
S22 (weight-bearing N2 exercise*)
S23 (Resistance N2 exercise*)
S24 (Aerobic* N2 exercise*)
S25 (Endurance N2 exercise*)
S26 (Physical N2 exercise*)
S27 (MH "Exercise+")
S28 (MH "Therapeutic Exercise+")
S29 (MH "Yoga+")
S30 S12 OR S13 OR S14 OR S15 OR S16 OR S17 OR S18 OR S19 OR S20 OR S21 OR S22 OR S23 OR S24 OR S25 OR S26 OR S27 OR S28 OR S29
S31 S11 AND S30
S32 Limiters - Published Date: 20170101-20221231; English Language; Exclude MEDLINE records</t>
  </si>
  <si>
    <t>polycystic ovary syndrome/</t>
  </si>
  <si>
    <t>PCOS.mp.</t>
  </si>
  <si>
    <t>Stein-Leventhal.mp.</t>
  </si>
  <si>
    <t>Leventhal.mp.</t>
  </si>
  <si>
    <t>sclerocystic ovary syndrome.mp.</t>
  </si>
  <si>
    <t>OR/ 1-12</t>
  </si>
  <si>
    <t>exp diet/</t>
  </si>
  <si>
    <t>diet*.mp.</t>
  </si>
  <si>
    <t>exp diet therapy/</t>
  </si>
  <si>
    <t>nutrition*.mp.</t>
  </si>
  <si>
    <t>nutrient*.mp.</t>
  </si>
  <si>
    <t>exp food/</t>
  </si>
  <si>
    <t>food.mp.</t>
  </si>
  <si>
    <t>feeding behavior/</t>
  </si>
  <si>
    <t>eat*.mp.</t>
  </si>
  <si>
    <t>intake*.mp.</t>
  </si>
  <si>
    <t>consum*.mp.</t>
  </si>
  <si>
    <t>meat.mp.</t>
  </si>
  <si>
    <t>poultry.mp.</t>
  </si>
  <si>
    <t>chicken.mp.</t>
  </si>
  <si>
    <t>fish.mp.</t>
  </si>
  <si>
    <t>seafood.mp.</t>
  </si>
  <si>
    <t>soy.mp.</t>
  </si>
  <si>
    <t>legume*.mp.</t>
  </si>
  <si>
    <t>bean*.mp.</t>
  </si>
  <si>
    <t>nut*.mp.</t>
  </si>
  <si>
    <t>seed*.mp.</t>
  </si>
  <si>
    <t>dairy.mp.</t>
  </si>
  <si>
    <t>fruit.mp.</t>
  </si>
  <si>
    <t>vegetable.mp.</t>
  </si>
  <si>
    <t>cereal.mp.</t>
  </si>
  <si>
    <t>grain*.mp.</t>
  </si>
  <si>
    <t>sugar-sweetened.mp.</t>
  </si>
  <si>
    <t>soft drink*.mp.</t>
  </si>
  <si>
    <t>juice.mp.</t>
  </si>
  <si>
    <t>processed food*.mp.</t>
  </si>
  <si>
    <t>exp Life Style/</t>
  </si>
  <si>
    <t>lifestyle.mp.</t>
  </si>
  <si>
    <t>life style.mp.</t>
  </si>
  <si>
    <t>OR/ 14-46</t>
  </si>
  <si>
    <t>exp human activities/</t>
  </si>
  <si>
    <t>physical activity.mp.</t>
  </si>
  <si>
    <t>exercis*.mp.</t>
  </si>
  <si>
    <t>exp leisure activities/</t>
  </si>
  <si>
    <t>leisure.mp.</t>
  </si>
  <si>
    <t>fitness.mp.</t>
  </si>
  <si>
    <t>sedentary behavior/</t>
  </si>
  <si>
    <t>sedentary behavior.mp.</t>
  </si>
  <si>
    <t>sedentary behaviour.mp.</t>
  </si>
  <si>
    <t>OR/ 48-58</t>
  </si>
  <si>
    <t>47 OR 59</t>
  </si>
  <si>
    <t>13 AND 60</t>
  </si>
  <si>
    <t>exp animals/ not humans/</t>
  </si>
  <si>
    <t>#61 NOT #62</t>
  </si>
  <si>
    <t>searchstrat_notes</t>
  </si>
  <si>
    <t>medline, psycINFO, EMBSAE and CINAHL via EBSCOhost</t>
  </si>
  <si>
    <t>1 polycystic ovary syndrome/
2 polycystic ovar*.mp.
3 poly-cystic ovar*.mp.
4 PCOS.mp.
5 PCO*.mp.
6 anovulation/
7 anovulat*.mp.
8 oligo-ovulat*.mp.
9 oligoovulat*.mp.
10 Stein-Leventhal.mp.
11 Leventhal.mp.
12 sclerocystic ovary syndrome.mp.
13 OR/ 1-12
14 exp diet/
15 diet*.mp.
16 exp diet therapy/
17 nutrition*.mp.
18 nutrient*.mp.
19 exp food/
20 food.mp.
21 feeding behavior/
22 eat*.mp.
23 intake*.mp.
24 consum*.mp.
25 meat.mp.
26 poultry.mp.
27 chicken.mp.
28 fish.mp.
29 seafood.mp.
30 soy.mp.
31 legume*.mp.
32 bean*.mp.
33 nut*.mp.
34 seed*.mp.
35 dairy.mp.
36 fruit.mp.
37 vegetable.mp.
38 cereal.mp.
39 grain*.mp.
40 sugar-sweetened.mp.
41 soft drink*.mp.
42 juice.mp.
43 processed food*.mp.
44 exp Life Style/
45 lifestyle.mp.
46 life style.mp.
47 OR/ 14-46
48 exp human activities/
49 physical activity.mp.
50 exp exercise/
51 exercis*.mp.
52 exp leisure activities/
53 leisure.mp.
54 train*.mp.
55 fitness.mp.
56 sedentary behavior/
57 sedentary behavior.mp.
58 sedentary behaviour.mp.
59 OR/ 48-58
60 47 OR 59
61 13 AND 60
62 exp animals/ not humans/
63 #61 NOT #62</t>
  </si>
  <si>
    <t>S1 TI ( (experienc* OR perceiv* OR perceptio* OR internal* OR "self direct*”) N5 ("weight stigm*" OR "weight bias" OR "weight discrimination") OR ("weight” OR “self directed”) N5 (bias OR stigm* OR stereotyp* OR discriminat* OR prejudic* OR attitude*) OR “Stigmati* weight experiences” OR “Weight self stigm*" OR WBIS OR SSI* OR WSSQ OR SSQ* ) OR AB (experienc* OR perceiv* OR perceptio* OR internal* OR "self direct*”) N5 ("weight stigm*" OR "weight bias" OR "weight discrimination") OR ("weight” OR “self directed”) N5 (bias OR stigm* OR stereotyp* OR discriminat* OR prejudic* OR attitude*) OR “Stigmati* weight experiences” OR “Weight self stigm*" OR WBIS OR SSI* OR WSSQ OR SSQ* )
S2 TX ( "polycystic ovar*" OR "poly-cystic ovar*" OR PCO* OR (stein-leventhal OR leventhal) OR "exp polycystic ovary syndrome" OR anovulat* OR "oligo-ovulat*" oligoovulat* OR (ovar* N5 (sclerocystic OR polycystic OR "poly-cystic" OR degenerat* OR hyperandrogen* OR "hyper-androgen*")) OR (MM "Anovulation" OR "Polycystic Ovary Syndrome") )
S3 S1 AND S2</t>
  </si>
  <si>
    <t>1 exp polycystic ovary syndrome/ 1712
2 polycystic ovar*.mp. 4675
3 poly-cystic ovar*.mp. 136
4 PCO*.mp. 6256
5 (stein-leventhal or leventhal).mp. 99
6 anovulation/ 154
7 anovulat*.mp. 1193
8 oligo-ovulat*.mp. 55
9 oligoovulat*.mp. 32
10 (ovar* adj5 (sclerocystic or polycystic or polycystic or degenerat* or hyperandrogen* or hyperandrogen*)).mp. 4868
11 or/1-10 8226
12 ((experienc* or perceiv* or perceptio* or internal* or self-direct or "self direct") adj5 ("weight stigm*" or "weight-stigm*" or "weight-bias" or "weight bias" or "weight discrimination" or "weightdiscrimination")).tw. 65
13 ((weight or "self directed" or "self-directed") adj5 (bias or stigm* or stereotyp* or discriminat* or prejudic* or attitude)).tw. 359
14 ("Stigmati* weight experiences" or "Weight self stigm*" or "WBIS" or "SSI*" or "WSSQ" or "ORSSQ*").tw. 2107
15 12 or 13 or 14 2448
16 11 and 15 11</t>
  </si>
  <si>
    <t>repeat EBSCOhost</t>
  </si>
  <si>
    <t>4.2 / 4.3</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</si>
  <si>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Contraceptives, Oral/
13 ((Oral and contracept*) or OCP or COCP).tw.
14 exp Metformin/
15 Metformin*.tw.
16 exp Androgen Antagonists/
17 *Spironolactone/
18 *Finasteride/
19 (anti?androgen* or anti androgen or androgen antagonist* or
spironolactone or cyproterone acetate or finasteride or flutamide).mp.
20 exp Anti-Obesity Agents/
21 *Obesity/th [Therapy]
22 ((anti?obesity or anti obesity or weight loss) and (agent* or
drug*)).mp.
23 (orlistat or sibutramine).mp.
24 *Inositol/
25 (inositol* or myo?inositol* or myo inositol* or meso?inositol* or
meso inositol* or i-inositol* or epi?inositol* or epi inositol* or
chiro?inositol* or chiro inositol* or l-chiro?inositol* or l-chiro inositol*).mp.
26 or/12-25
27 search$.tw. or meta-analysis.mp. or meta-analysis.pt. or review.pt.
or di.xs. or associated.tw.
28 clinical trial.mp. or clinical trial.pt. or random.mp. or tu.xs.
29 27 or 28
30 11 and 26 and 29</t>
  </si>
  <si>
    <t>S26 S11 AND S25
S25 S12 OR S13
OR S14 OR S15
OR S16 OR S17
OR S18 OR S19
OR S20 OR S21
OR S22 OR S23
OR S24
S24 (inositol* or
myo?inositol* or
meso?inositol* or
i-inositol* or epi?
inositol* or chiro?
inositol or l-chiro?
inositol*)
S23 (MH
"Inositol+")
S22 (orlistat or
sibutramine)
S21 ((anti?obesity
or weight loss or
weight-loss) and
(agent* or drug*))
S20 (MH
"Antiobesity
Agents+")
S19 (anti?
androgen* or anti
androgen or
androgen
antagonist* or
spironolactone or
cyproterone
acetate or
finasteride or
flutamide)
S18 (MH
"Finasteride")
S17 (MH
"Spironolactone+")
S16 (MH "Androgen
Antagonists+")
S15 metformin*
S14 (MH
"Metformin")
S13 ((Oral and
contracept*) or
OCP or COCP)
S12 (MH
"Contraceptives,
Oral+")
S11 S1 OR S2 OR
S3 OR S4 OR S5
OR S6 OR S7 OR
S8 OR S9 OR
S10
S10 ovar* N5
sclerocystic or
ovar* N5 polycystic
or ovar* N5 polycystic
or ovar* N5
degenerat* or
ovar* N5
hyperandrogen* or
ovar* N5 hyperandrogen*
S9 oligoovulat*
S8 oligo-ovulat*
S7 SU anovulation
S6 SU ovarian
Cysts
S5 stein-leventhal
or Leventhal
S4 PCO*
S3 poly-cystic
ovar*
S2 polycystic
ovar*
S1 SU polycystic
ovary syndrome</t>
  </si>
  <si>
    <t>1 exp Polycystic Ovary Syndrome/ 49396
2 poly?cystic ovar*.mp. 50776
3 PCO#.mp. 71172
4 (stein?leventhal or leventhal).mp. [mp=ti, ab, hw, tn, ot, dm,
mf, dv, kf, fx, dq, nm, ox, px, rx, ui, sy] 1525
5 anovulat*.mp. 16658
6 oligo?ovulat*.mp. 179
7 (ovar* adj5 (sclerocystic or polycystic or poly-cystic or
degenerat* or hyperandrogen* or hyper-androgen*)).mp. 60215
8 1 or 2 or 3 or 4 or 5 or 6 or 7 107933
9 exp Anti-Obesity Agents/ 26934
10 Obesity/dt, th [Drug Therapy, Therapy] 62364
11 ((anti?obesity or obesity or weight loss) and (agent* or drug*
or therap*)).mp. 497216
12 orlistat.mp. or exp Orlistat/ 9517
13 sibutramine.mp. 6130
14 exp Appetite Depressants/ 94233
15 exp Appetite Depressants/ 94233
16 appetite suppressant*.mp. 1487
17 exp Glucagon-Like Peptide 1/ or Glucagon-Like Peptide 1
agonist.mp. 32498
18 (GLP-1 adj2 agonist*).mp. [mp=ti, ab, hw, tn, ot, dm, mf, dv,
kf, fx, dq, nm, ox, px, rx, ui, sy] 10048
19 semaglutide.mp. 3397
20 tirzepatide.mp. 310
21 liraglutide.mp. 15050
22 dulaglutide.mp. 2796
23 exenatide.mp. or exp Exenatide/ 15334
24 lixisenatide.mp. 2560
25 albiglutide.mp. 1485
26 Lorcaserin.mp. 1842
27 phentermine.mp. or exp Phentermine/ 5217
28 topiramate.mp. or Topiramate/ 31119
29 naltrexone.mp. or exp Naltrexone/ 28800
30 exp Bupropion/ or buproprion.mp. 23012
31 incretin.mp. 15542
32 9 or 10 or 11 or 12 or 13 or 14 or 15 or 16 or 17 or 18 or 19 or
20 or 21 or 22 or 23 or 24 or 25 or 26 or 27 or 28 or 29 or 30 or 31
688891
33 8 and 32 9353
34 randomized controlled trial.pt. 575128
35 controlled clinical trial.pt. 94983
36 randomi*ed.ab. 1665228
37 placebo.ab. 565580
38 drug therapy.fs. 6697085
39 randomly.ab. 901041
40 trial.ab. 1500989
41 groups.ab. 5706526
42 34 or 35 or 36 or 37 or 38 or 39 or 40 or 4113488139
43 33 and 42 5456
44 exp animals/ not humans.sh. 33866843
45 43 not 44 1276
46 limit 45 to last 10 years 643
47 limit 46 to english language 627
48 remove duplicates from 47 613</t>
  </si>
  <si>
    <t>same search strat used for 4.2,4.3,4.4 and 4.6</t>
  </si>
  <si>
    <t xml:space="preserve">medline and embase via ovid, psychinfo and cinahl via EBSCO (EBSCO results provided PDF but not sure where this was located within technical report) </t>
  </si>
  <si>
    <t xml:space="preserve">1 exp inositol/ 24363
2 inositol*.tw. 39404
3 (mesoinositol or d-chiro-inositol).tw. 339
4 (myoinositol or myo-inositol).tw. 8348
5 1 or 2 or 3 or 4 48154
6 (inositol* or myo?inositol* or myo inositol* or
meso?inositol* or meso inositol* or i-inositol* or
epi?inositol* or epi inositol* or chiro?inositol* or chiro
inositol* or l-chiro?inositol* or l-chiro inositol*).mp.
47314
7 5 or 6 49878
8 exp polycystic ovary syndrome/ 17425
9 polycystic ovar*.mp. 22975
10 poly-cystic ovar*.mp. 52
11 PCO*.mp. 36888
12 (stein-leventhal or leventhal).mp. 947
13 anovulation.mp. [mp=ti, bt, ab, ot, nm, hw, fx,
kf, ox, px, rx, ui, sy, dw] 4548
14 anovulat*.mp. 6924
15 oligo-ovulat*.mp. 110
16 oligoovulat*.mp. 61
17 (ovar* adj5 (sclerocystic or polycystic or polycystic
or degenerat* or hyperandrogen* or hyperandrogen*)).
mp. 23970
18 8 or 9 or 10 or 11 or 12 or 13 or 14 or 15 or 16
or 17 50850
19 7 and 18 347
20 limit 19 to english language 330
</t>
  </si>
  <si>
    <t>1 exp inositol/ 0
2 inositol*.tw. 1631
3 (mesoinositol or d-chiro-inositol).tw. 0
4 (myoinositol or myo-inositol).tw. 722
5 (inositol* or myo?inositol* or myo inositol* or
meso?inositol* or meso inositol* or i-inositol* or
epi?inositol* or epi inositol* or chiro?inositol* or chiro
inositol* or l-chiro?inositol* or l-chiro inositol*).mp.
1920
6 1 or 2 or 3 or 4 or 5 1920
7 exp polycystic ovary syndrome/ 0
8 polycystic ovar*.mp. 527
9 poly-cystic ovar*.mp. 1
10 PCO*.mp. 1138
11 (stein-leventhal or leventhal).mp. 369
12 anovulation.mp. [mp=ti, ab, hw, tc, id, ot, tm,
mf, td] 78
13 anovulat*.mp. 161
14 oligo-ovulat*.mp. 0
15 oligoovulat*.mp. 0
16 (ovar* adj5 (sclerocystic or polycystic or polycystic
or degenerat* or hyperandrogen* or hyperandrogen*)).
mp. 546
17 7 or 8 or 9 or 10 or 11 or 12 or 13 or 14 or 15 or
16 1842
18 6 and 17 2
19 limit 18 to english language 2</t>
  </si>
  <si>
    <t>1 exp inositol/ 500
2 inositol*.tw. 782
3 (mesoinositol or d-chiro-inositol).tw. 103
4 (myoinositol or myo-inositol).tw. 503
5 (inositol* or myo?inositol* or myo inositol* or
meso?inositol* or meso inositol* or i-inositol* or
epi?inositol* or epi inositol* or chiro?inositol* or chiro
inositol* or l-chiro?inositol* or l-chiro inositol*).mp.
1016
6 1 or 2 or 3 or 4 or 5 1113
7 exp polycystic ovary syndrome/ 1712
8 polycystic ovar*.mp. 4675
9 poly-cystic ovar*.mp. 136
10 PCO*.mp. 6256
11 (stein-leventhal or leventhal).mp. 99
12 anovulation.mp. [mp=ti, tx, kw, ab, hw, ct, ot, fx,
sh] 820
13 anovulat*.mp. 1193
14 oligo-ovulat*.mp. 55
15 oligoovulat*.mp. 32
16 (ovar* adj5 (sclerocystic or polycystic or polycystic
or degenerat* or hyperandrogen* or hyperandrogen*)).
mp. 4868
17 7 or 8 or 9 or 10 or 11 or 12 or 13 or 14 or 15 or
16 8226
18 6 and 17 219
19 limit 18 to english language 213</t>
  </si>
  <si>
    <t>#18 #10 AND #16 AND [english]/lim
#17 #10 AND #16
#16 #11 OR #12 OR #13 OR #14 OR #15
#15 'inositol*' OR 'myo?inositol*' OR 'myo inositol' OR 'meso?inositol*' OR 'meso inositol*' OR 'i-inositol*' OR 'epi inositol*' OR 'epi?inositol' OR 'chiro?inositol*' OR 'chiro inositol*' OR 'l-chiro?inositol*' OR 'l-chiro inositol*' 
#14 'myoinositol':ab,ti
#13 'mesoinositol':ab,ti
#12 'inositol':ab,ti
#11 'inositol'/exp
#10 #1 OR #2 OR #3 OR #4 OR #5 OR #6 OR #7 OR #8 OR #9
#9 'ovar*' NEAR/5 ('sclerocystic' OR 'polycystic' OR 'poly-cystic' OR 'degenerat*' OR 'hyperandrogen*' OR 'hyper-androgen*')
#8 'oligoovulat*'
#7 'oligo-ovulat*'
#6 'anovulat*'
#5 'anovulation'
#4 'pco*'
#3 'poly-cystic ovar*'
#2 'polycystic ovar*'
#1 'polycystic ovary syndrome'/exp</t>
  </si>
  <si>
    <t>1. exp Polycystic Ovary Syndrome/</t>
  </si>
  <si>
    <t>2. polycystic ovar$.mp.</t>
  </si>
  <si>
    <t>3. poly-cystic ovar$.mp.</t>
  </si>
  <si>
    <t>4. PCO$.mp.</t>
  </si>
  <si>
    <t>5. (stein-leventhal or leventhal).mp.</t>
  </si>
  <si>
    <t>6. anovulation/</t>
  </si>
  <si>
    <t>7. anovulat$.mp.</t>
  </si>
  <si>
    <t>8. oligo-ovulat$.mp.</t>
  </si>
  <si>
    <t>9. oligoovulat$.mp.</t>
  </si>
  <si>
    <t>3. Remov* adj5 hair.mp.</t>
  </si>
  <si>
    <t>5. photoepilation.ti,ab</t>
  </si>
  <si>
    <t>6. intense pulsed light.ti,ab</t>
  </si>
  <si>
    <t>7. IPL.ti,ab</t>
  </si>
  <si>
    <t>8. hair-follicl*.ti,ab</t>
  </si>
  <si>
    <t>9. Hair follicl*.ti,ab</t>
  </si>
  <si>
    <t>10. hair-removal.ti,ab</t>
  </si>
  <si>
    <t>11. Laser-surgery.ti,ab</t>
  </si>
  <si>
    <t>13. Light adj5 (hair or remov* or laser) .ti,ab</t>
  </si>
  <si>
    <t>14. Electrolysis adj5 hair.ti,ab</t>
  </si>
  <si>
    <t>Combine Search 1, Search 2 and Search 3 with AND</t>
  </si>
  <si>
    <t>10. (ovar$ adj5 (scelerocystic or polycystic or poly-cystic or degenerat$ or hyperandrogen$ or hyper-androgen$)).mp.</t>
  </si>
  <si>
    <t>11.  1 OR 2 OR 3 OR 4 OR 5 OR 6 OR 7 OR 8 OR 9 OR 10 OR 11</t>
  </si>
  <si>
    <t>12. Exp hirsutism/</t>
  </si>
  <si>
    <t>13. hypertrichosis.ti,ab</t>
  </si>
  <si>
    <t>14. 12 OR 13</t>
  </si>
  <si>
    <t>4. (Laser* adj5 (hair or hair-remov* or remov* or alexandrite or diode or ruby or YAG)).mp.</t>
  </si>
  <si>
    <t>12. Light-coagulation.ti,ab (N.B. in cinahl have to do light coagulation, light-coagulation nil search results)</t>
  </si>
  <si>
    <t>28. 15 OR 16 OR 17 OR 18 OR 19 OR 20 OR 21 OR 22 OR 23 OR 24 OR 25 OR 26</t>
  </si>
  <si>
    <t>29. 11 AND 14 AND 27</t>
  </si>
  <si>
    <t>1 polycystic ovary syndrome.tw.
2 pco*.tw.
3 stein-leventhal.tw.
4 anovulat*.tw.
5 oligoovulat*.tw.
6 polycyst*.tw.
7 sclerocyst*.tw.
8 Hyperandrogen*.tw.
9 1 or 2 or 3 or 4 or 5 or 6 or 7 or 8
10 Laparoscop*.tw.
11 Gastroplast*.tw.
12 Gastric Bypass.tw.
13 Bariatric Surgery.tw.
14 surger*.tw.
15 Jejunoileal Bypass.tw.
16 Surgical Stapl*.tw.
17 Gastrect*.tw.
18 Biliary Tract Surgical Procedure*.tw.
19 Gastric Balloon.tw.
20 Biliopancreatic Diversion.tw.
21 Lipectom*.tw.
22 Gastroenterostom*.tw.
23 vagotom*.tw.
24 roux-en-y.tw.
25 lap-band.tw.
26 (gastr* adj3 (band* or imbrication* or plication* or sleeve or stapl* or
resection* or reduction* or stimulation)).tw.
27 10 or 11 or 12 or 13 or 14 or 15 or 16 or 17 or 18 or 19 or 20 or 21 or 22 or
23 or 24 or 25 or 26
28 9 and 27</t>
  </si>
  <si>
    <t xml:space="preserve">1. exp polycystic ovary syndrome/
2. polycystic ovar*.mp.
3. poly-cystic ovar*.mp.
4. PCO*.mp.
5. (stein-leventhal or leventhal).mp.
6. exp anovulation/
7. anovulat*.mp.
8. oligo-ovulat*.mp.
9. oligoovulat*.mp.
10. (ovar* adj5 (sclerocystic or polycystic or poly-cystic or degenerat* or hyperandrogen* or hyper-androgen*)).mp.
11. or/1-10
12. exp pregnancy/
13. (pregnan* or gestation* or matern* or antenatal* or prenatal* or perinatal* or peripartu* or puerper* or
intrapartum*).mp.
14. exp fetus/
15. (fet* or infant* or birth).mp.
16. (pregnan* or gestation* or matern* or antenatal* or prenatal* or perinatal* or peripartu* or puerper* or
intrapartum*).mp.
17. or/12-16
18. exp pregnancy complications/
19. exp pregnancy outcome/
20. exp obstetric labor complications/
21. ((gestation* or pregnan*) adj2 (weight* or BMI* or hypertensi*)).mp.
22. ((birth or fet*) adj2 weight*).mp.
23. exp abortion, spontaneous/
24. (((miscarriage or pregnancy) adj2 loss) or abortion).mp.
25. exp diabetes, gestational/
26. (gestational diabet* or GDM).mp.
27. exp hypertension, pregnancy-induced/
28. (preeclamp* or pre-eclamp* or eclamp*).mp.
29. exp pre-eclampsia/
30. exp eclampsia/
31. exp fetal membranes, premature rupture/
32. exp infant, extremely premature/
33. exp obstetric labor, premature/
34. exp infant, premature/
35. exp premature birth/
36. ((preterm* or pre-term* or prematur* or pre-matur*) adj2 (birth or labor or labour or deliver*)).mp.
37. exp delivery, obstetric/
38. exp parturition/
39. exp labor, induced/
40. exp episiotomy/
41. exp obstetrical forceps/
42. exp vacuum extraction, obstetrical/
43. exp cesarean section/
44. (induc* or episiotomy or forceps or vacuum or C-section or c?esar*).mp.
45. exp fetal weight/
46. exp fetal growth retardation/
47. ('intrauterine growth retardation' or IUGR).mp.
48. exp birth weight/
49. exp fetal macrosomia/
50. macrosomia.mp.
51. ('large for gestational age' or LGA).mp 52. exp infant, small for gestational age/
53. ('small for gestational age' or SGA).mp.
54. exp infant, low birth weight/
55. ('low birth weight' or LBW).mp.
56. exp infant, very low birth weight/
57. exp infant, extremely low birth weight/
58. (depressi* or mood*).mp.
59. exp depression, postpartum/
60. or/18-59
61. 11 and 17 and 60
62. limit 61 to (english language and humans)
63. limit 62 to yr="2017 -Current"
</t>
  </si>
  <si>
    <t>1. metformin/
2. metformin.mp.
3. metformin hydrochloride.mp.
4. metformin HCL.mp.
5. hypoglycemic?.mp.
6. hypoglycaemic?.mp.
7. anti?diabetic?.mp.
8. antihyperglycemic?.mp.
9. antihyperglycaemic?.mp.
10. glucose?lowering.mp.
11. dimethylbiguanidine.mp.
12. dimethylguanylguanidine.mp.
13. glucophage.mp.
14. biguanide?.mp.
15. buformin.mp.
16. phenformin.mp.
17. sitagliptin.mp.
18. glumetza.mp.
19. carbophage.mp.
20. obimet.mp.
21. gluformin.mp.
22. dianben.mp.
23. diabex.mp.
24. diaformin.mp.
25. siofor.mp.
26. metfogamma.mp.
27. glifor.mp.
28. riomet.mp.
29. janumet.mp.
30. fortamet.mp.
31. obimet.mp.
32. pregnancy.mp.
33. pregnan?.mp.
34. reproductive.mp.
35. maternal.mp.
36. neonatal.mp.
37. gestation?.mp.
38. infant.mp.
39. offspring.mp.
40. f?etal.mp.
41. neonat?.mp.
42. ?natal.mp.
43. gestational diabetes.mp.
44. GDM.mp.
45. or/1-44
46. randomi?ed controlled trial.pt.
47. controlled clinical trial.pt.
48. randomi?ed.ti,ab.
49. placebo.ti,ab.
50. clinical trials as topic.sh.
51. randomly.ti,ab.
52. trial.ti.
53. or/46-52
54. exp animals/ not exp humans/
55. 53 not 54
56. Meta-Analysis as Topic/
57. meta analy$.tw.
58. metaanaly$.tw.
59. Meta-Analysis/
60. (systematic adj (review$1 or overview$1)).tw.
61. exp Review Literature as Topic/
62. or/56-61
63. cochrane.ab.
64. embase.ab.
65. (psychlit or psyclit).ab.
66. (psychinfo or psycinfo).ab.
67. (cinahl or cinhal).ab.
68. science citation index.ab.
69. bids.ab.
70. cancerlit.ab.
71. or/63-70
72. reference list$.ab.
73. bibliograph$.ab.
74. hand-search$.ab.
75. relevant journals.ab.
76. manual search$.ab.
77. or/72-76
78. selection criteria.ab.
79. data extraction.ab.
80. 78 or 79
81. Review/
82. 80 and 81
83. Comment/
84. Letter/
85. Editorial/
86. animal/
87. human/
88. 86 not (86 and 87)
89. or/83-85,88
90. 62 or 71 or 77 or 82
91. 90 not 89
92. 53 or 91
93. 45 and 92
94. limit 93 to humans
95. or/1-31
96. or/32-44
97. 95 and 96
98. 92 and 97
99. limit 98 to humans</t>
  </si>
  <si>
    <t>1 exp polycystic ovary syndrome/ 16990
2 polycystic ovar$.mp. 22551
3 "poly cystic ovar$".mp. 52
4 PCO$.mp. 36312
5 (stein?leventhal or leventhal).mp. 916
6 anovulation/ 2267
7 anovulat$.mp. 6776
8 oligoovulat$.mp. 61
9 "oligo ovulat$".mp. 108
10 (ovar$ adj5 (sclerocystic or polycystic or "poly
cystic" or degenerat$ or hyperandrogen$ or "hyper
androgen$")).mp. 23539
11 or/1-10 49911
12 fertility/ 43362
13 fertility agents/ 380
14 fertility agents, female/ 3103
15 fertil$.mp. 244098
16 infertility/ 16251
17 infertility, female/ 30495
18 infert$.mp. 104792
19 pregnancy complications/ 96246
20 pregnancy/ 958687
21 pregnancy outcome/ 56146
22 pregnancy rate/ 12927
23 pregnant women/ 12768
24 or/12-23 1192586
25 exp Reproductive Techniques, Assisted/
77753
26 Ectogenesis/ 419
27 ((in vitro or invitro) adj (fertili?ation or
maturation)).mp. 31110
28 (intracytoplasm* sperm inject* or ICSI).mp.
12691
29 ((controlled or ovar*) adj (hyper or
stimulat*)).mp. 7610
30 (IVF or IVM).mp. 30763
31 (zygote intrafallopian transfer* or zygote intra
fallopian transfer* or ZIFT).mp. 268
32 (embryo transfer* or ET).mp. 565582
33 or/25-32 636452
34 search$.tw. or "meta analysis".mp. or "meta
analysis".pt. or "metaanalysis".tw. or review.pt. or di.xs.
or associated.tw. 10174568
35 clinical trial.mp. or clinical trial.pt. or
random.mp. or tu.xs. 5869302
36 34 or 35 13776027
37 11 and 24 and 36 7890
38 11 and 33 and 36 3421
39 37 or 38 8555
40 11 and 24 11243
41 11 and 33 4731
42 40 or 41 12380
43 42 not 39 3825
44 limit 43 to (english language and humans and
yr="1990 -Current") 1487
45 limit 44 to yr="2000 -Current" 1241</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</si>
  <si>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
mp.
11 or/1-10
12 exp fallopian tube diseases/ or pelvic
inflammatory disease/ or salpingitis/
13 exp Fallopian Tubes/
14 ((tubal or tube or tubes or peritubal) adj3 (patent
or patency or pathology or infertil* or subfertil* or factor* or
disten* or occlusion* or occluded or damage* or adhesion*
or lesion* or blockage* or blocked or block or disease* or
obstruct* or fibrosis or fibrotic)).tw.
15 (fallopian* adj3 (patent or patency or patholog*
or infertil* or subfertil* or factor* or disten* or occlusion* or
occluded or damage* or adhesion* or lesion* or blockage*
or blocked or block or disease* or obstruct* or fibrosis or
fibrotic)).tw.
16 (oviduct* adj3 (patent or patency or patholog* or
infertil* or subfertil* or factor* or disten* or occlusion* or
occluded or damage* or adhesion* or lesion* or blockage*
or blocked or block or disease* or obstruct* or fibrosis or
fibrotic)).tw.
17 ((salpinges or salpinx) adj3 (patent or patency or
patholog* or infertil* or subfertil* or factor* or disten* or
occlusion* or occluded or damage* or adhesion* or lesion*
or blockage* or blocked or block or disease* or obstruct* or
fibrosis or fibrotic)).tw.
18 Salpingitis.tw.
19 (Hydrosalpin* or pyosalpin* or
h?ematosalpin*).tw.
20 Endosalping*.tw.
21 or/12-20
22 exp Laparoscopy/
23 hysterolaparoscop*.tw.
24 (Laparoscop* and (fallopian* or
chromopertubation or diagnos* or sensitivity or specificity
or patency or patent or dye or methylene or LSC)).tw.
25 (laparoscop* adj10 predictive value).tw.
26 (laparoscop* adj10 receiver operating
characteristic).tw. 13
27 (Laparoscop* and likelihood ratio*).tw.
28 (LSC and fallopian*).tw. 4
29 (minilaparoscop$ and (fallopian* or
diagnos*)).tw.
30 (microlaparoscop$ and (fallopian* or
diagnos*)).tw.
31 mini-laparoscop*.tw.
32 micro-laparoscop*.tw.
33 or/22-32
34 Hysterosalpingography/
35 Hysterosalpingo-Contrast Sonography.af.
36 HyCoSy.af.
37 HyFoSy.af.
38 or/34-37
39 (hysterosalpingo* or salpingogra* or
salpingoscop*).tw.
40 (hydrolaparoscop* or fertiloscop*).tw.
41 (sonohysterosalping* or SonoVue*).tw.
42 (HSG or HSSG or MRHSG).tw.
43 (HyCoSy or HyCoUs).tw.
44 hysteroscop*.tw.
45 hystero-laparoscop*.tw.
46 foam sonogra*.tw.
47 HyFoSy.tw.
48 exp Magnetic Resonance Imaging/ or exp
Magnetic Resonance Spectroscopy/
49 or/39-48
50 33 or 38 or 49
51 21 and 50
52 Fallopian Tube Patency Tests/ or Fallopian Tube
Diseases/dg
53 51 or 52
54 11 and 53
55 limit 54 to (english language and humans and
yr="1990 -Current")</t>
  </si>
  <si>
    <t>1 exp polycystic ovary syndrome/ 33702
2 polycystic ovar$.mp. 28943
3 "poly cystic ovar$".mp. 205
4 PCO$.mp. 53850
5 (stein?leventhal or leventhal).mp. 1514
6 anovulation/ 6707
7 anovulat$.mp. 11181
8 oligoovulat$.mp. 123
9 "oligo ovulat$".mp. 155
10 (ovar$ adj5 (sclerocystic or polycystic or "poly cystic" or
degenerat$ or hyperandrogen$ or "hyper androgen$")).mp.
38432
11 or/1-10 78818
12 fertility/ 71217
13 fertility agents/ 1345
14 fertility agents, female/ 1345
15 fertil$.mp. 322047
16 infertility/ 49694
17 infertility, female/ 20644
18 infert$.mp. 161357
19 pregnancy complications/ 17891
20 pregnancy/ 790754
21 pregnancy outcome/ 73742
22 pregnancy rate/ 37069
23 pregnant women/ 94328
24 or/12-23 1227205
25 exp Reproductive Techniques, Assisted/ 132229
26 Ectogenesis/ 196
27 ((in vitro or invitro) adj (fertili?ation or maturation)).mp.
50278
28 (intracytoplasm* sperm inject* or ICSI).mp. 29482
29 ((controlled or ovar*) adj (hyper or stimulat*)).mp. 13541
30 (IVF or IVM).mp. 55106
31 (zygote intrafallopian transfer* or zygote intra fallopian
transfer* or ZIFT).mp. 209
32 (embryo transfer* or ET).mp. 3653271
33 or/25-32 3764507
34 exp methodology/ or search.tw. or review.pt. 9636588
35 random*.tw. or clinical trial.mp. or exp health care quality/
6124312
36 34 or 35 12442966
37 11 and 24 and 36 10390
38 11 and 33 and 36 9027
39 37 or 38 13475
40 11 and 24 19544
41 11 and 33 17972
42 40 or 41 27649
43 42 not 39 14174
44 limit 43 to (english language and humans and yr="1990 -
Current") 7986
45 limit 44 to yr="2000 -Current" 6733</t>
  </si>
  <si>
    <t>S1 (MM "Polycystic Ovary Syndrome")
S2 TX polycystic ovar*
S3 TX poly-cystic ovar*
S4 TX PCO*
S5 TX (stein-leventhal or leventhal)
S6 (MM "Anovulation")
S7 TX anovulat*
S8 TX oligo-ovulat*
S9 TX oligoovulat*
S10 TX (ovar* N5 (sclerocystic or polycystic or poly-cystic
or degenerat* or hyperandrogen* or hyper- androgen*))
S11 S1ORS2ORS3ORS4ORS5OR
S6ORS7ORS8ORS9ORS10
S12 (MH "Fallopian Tube Diseases+/DI/US") OR (MM
"Fallopian Tube Patency Tests")
S13 (MH "Pelvic Inflammatory Disease+")
S14 TX ((tubal or tube or tubes or peritubal) N3 (patent or
patency or pathology or infertil* or subfertil* or
factor* or disten* or occlusion* or occluded or damage* or
adhesion* or lesion* or blockage* or blocked or block or
disease* or obstruct* or fibrosis or fibrotic))
S15 TX (fallopian* N3 (patent or patency or patholog* or
infertil* or subfertil* or factor* or disten* or occlusion* or
occluded or damage* or adhesion* or lesion* or blockage*
or blocked or block or disease* or obstruct* or fibrosis or
fibrotic))
S16 TX (oviduct* N3 (patent or patency or patholog* or
infertil* or subfertil* or factor* or disten* or occlusion* or
occluded or damage* or adhesion* or lesion* or blockage*
or blocked or block or disease* or obstruct* or fibrosis or
fibrotic))
S17 TX ((salpinges or salpinx) N3 (patent or patency or
patholog* or infertil* or subfertil* or factor* or disten* or
occlusion* or occluded or damage* or adhesion* or lesion*
or blockage* or blocked or block or disease* or obstruct* or
fibrosis or fibrotic))
S18 TX Salpingitis
S19 TX Hydrosalpin* or pyosalpin* or h? ematosalpin*
S20 TX Endosalping*
S21 S12ORS13ORS14ORS15OR
S16ORS17ORS18ORS19OR S20
S22 (MH "Surgery, Laparoscopic+") OR (MM
"Laparoscopy")
S23 TX hysterolaparoscop*
S24 TX (Laparoscop* and (fallopian* or chromopertubation
or diagnos* or
sensitivity or specificity or patency or patent or dye or
methylene or LSC))
S25 TX laparoscop* N10 predictive value
S26 TX laparoscop* N10 receiver operating characteristic
S27 TX Laparoscop* and likelihood ratio*
S28 TX LSC and fallopian*
S29 TX (minilaparoscop* and (fallopian* or diagnos*))
S30 TX (microlaparoscop* and (fallopian* or diagnos*))
S31 TX mini-laparoscop* OR TX micro- laparoscop*
S32 S22ORS23ORS24ORS25OR
S26ORS27ORS28ORS29ORS30 OR S31
S33 (MM "Hysterosalpingography")
S34 (MM "Enhancement of Contrast Effect") OR
"Hysterosalpingo Contrast Sonography"
S35 TX hycosy OR TX hyfosy
S36 S33 OR S34 OR S35
S37 TX ( hysterosalpingo* or salpingogra* r
salpingoscop* ) OR TX ( hydrolaparoscop* or fertiloscop* )
OR TX ( sonohysterosalping* or SonoVue* ) OR TX ( HSG
or HSSG or MRHSG ) OR TX ( HyCoSy or HyCoUs ) OR
TX hysteroscop* OR TX hystero-laparoscop* OR TX foam
sonogra* OR TX HyFoSy
S38 (MH "Magnetic Resonance Imaging+")
S39 (MH "Magnetic Resonance Spectroscopy+")
S40 S37 OR S38 OR S39
S41 S32 OR S36 OR S40
S42 S21 AND S41
S43 S11 AND S42
S44 S11 AND S42</t>
  </si>
  <si>
    <t>5.7.1</t>
  </si>
  <si>
    <t>5.7.2</t>
  </si>
  <si>
    <t>5.7.3</t>
  </si>
  <si>
    <t>5.7.4</t>
  </si>
  <si>
    <t>5.7.5</t>
  </si>
  <si>
    <t>5.7.6</t>
  </si>
  <si>
    <t>In women with PCOS undergoing IVF/ICSI treatment, is the GnRH antagonist protocol or GnRH agonist long protocol the most effective for improving fertility outcomes?</t>
  </si>
  <si>
    <t>In women with PCOS undergoing GnRH antagonist IVF/ICSI treatment, is the use of hCG trigger or GnRH agonist trigger the most effective for improving fertility outcomes?</t>
  </si>
  <si>
    <t>In women with PCOS undergoing (controlled) ovarian (hyper) stimulation for IVF/ICSI, does the choice of FSH effect fertility outcomes?</t>
  </si>
  <si>
    <t>In women with PCOS undergoing (controlled) ovarian (hyper) stimulation for IVF/ICSI, is exogenous LH treatment during IVF/ICSI effective for improving fertility outcomes?</t>
  </si>
  <si>
    <t>In women with PCOS undergoing (controlled) ovarian (hyper) stimulation for IVF/ICSI, is adjuvant metformin effective for improving fertility outcomes?</t>
  </si>
  <si>
    <t>In women with PCOS, is In Vitro Maturation (IVM) effective for improving fertility outcomes?</t>
  </si>
  <si>
    <t>In women with PCOS, are anti‐obesity pharmacological agents alone or in combination, effective for management of reproductive outcomes? (fertility outcomes only)</t>
  </si>
  <si>
    <t>In women with PCOS, is inositol alone or in combination with other therapies, effective for management of reproductive outcomes? (fertility outcomes only)</t>
  </si>
  <si>
    <t>related to 4.7</t>
  </si>
  <si>
    <t>related to 4.5</t>
  </si>
  <si>
    <t>same search strat used for 5.3 - 5.7 (including 5.7.1 - 5.7.6)</t>
  </si>
  <si>
    <t xml:space="preserve">1 exp polycystic ovary syndrome/
2 polycystic ovar$.mp.
3 "poly cystic ovar$".mp.
4 PCO$.mp.
5 (stein?leventhal or leventhal).mp.
6 anovulation/
7 anovulat$.mp.
8 oligoovulat$.mp.
9 "oligo ovulat$".mp.
10 (ovar$ adj5 (sclerocystic or polycystic or "poly
cystic" or degenerat$ or hyperandrogen$ or "hyper
androgen$")).mp.
11 1 or 2 or 3 or 4 or 5 or 6 or 7 or 8 or 9 or 10
12 fertility/
13 fertility agents/
14 fertility agents, female/
15 fertil$.mp.
16 infertility/
17 infertility, female/
18 infert$.mp.
19 pregnancy complications/
20 pregnancy/
21 pregnancy outcome/
22 pregnancy rate/
23 pregnant women/
24 or/12-23
25 exp Reproductive Techniques, Assisted/
26 Ectogenesis/
27 ((in vitro or invitro) adj (fertili?ation or
maturation)).mp.
28 (intracytoplasm* sperm inject* or ICSI).mp.
29 ((controlled or ovar*) adj (hyper or stimulat*)).mp.
30 (IVF or IVM).mp.
31 (zygote intrafallopian transfer* or zygote intra
fallopian transfer* or ZIFT).mp.
32 (embryo transfer* or ET).mp.
33 or/25-32
34 clinical trial.mp. or random*.tw. or controlled
trial.tw. or rct.tw. or single blind$.tw. or double blind$.tw.
35 11 and 24 and 34
36 11 and 33 and 34
37 35 or 36
38 limit 37 to (human and english language and
yr="2017 - 2022")
</t>
  </si>
  <si>
    <t>S1 SU polycystic ovary syndrome
S2 polycystic ovar*
S3 poly-cystic ovar*
S4 PCO*
S5 stein-leventhal or Leventhal
S6 SU ovarian cysts
S7 SU anovulation
S8 oligo-ovulat*
S9 oligoovulat*
S10 ovar* N5 sclerocystic or ovar* N5 polycystic
ovar* N5 hyperandrogen*or ovar* N5 poly-cystic or ovar*
N5 degenerat* or ovar* N5 hyperandrogen* or over* N5
hyper-androgen*
S11 S1 OR S2 OR S3 OR S4 OR S5 OR S6 OR S7
OR S8 OR S9 OR S10
S12 (("fertility") or (MH "Fertility") or (MH "Fertility
Agents+")) or fertil*
S13 (("infertility") or (MH "Infertility")) or infert*
S14 (("pregnancy") or (MH "Pregnancy+") or (MH
"Pregnancy Complications+") or (MH "Pregnancy
Outcomes")) or pregnan*
S15 S12 OR S13 OR S14
S16 (MH "Fertilization in Vitro")
S17 (MH "Reproduction Techniques+")
S18 ((in vitro or invitro) and (fertili?ation or
maturation))
S19 (intracytoplasm* sperm inject* or ICSI)
S20 ((controlled or ovar*) and (hyper or stimulat*))
S21 (IVF or IVM)
S22 (zygote intrafallopian transfer* or zygote intra
fallopian transfer* or ZIFT)
S23 (embryo transfer* or ET)
S24 S16 OR S17 OR S18 OR S19 OR S20 OR S21
OR S22 OR S23
S25 S15 OR S24
S26 S11 AND S25
S27 S11 AND S25
S28 MH randomized controlled trials OR MH doubleblind
studies OR MH single‐blind studies OR MH random
assignment OR ( TI (randomised OR randomized) ) OR AB
(random*) OR TI (trial) OR PT (randomized controlled trial)
OR AB (control* W5 group) OR ( MH (crossover design)
OR MH (comparative studies) ) OR AB trial OR ( TI (RCT)
OR AB (RCT) )
S29 S27 AND S28
S30 S27 AND S28 Limiters - Publication Year: 2017-2022; English Language; Human</t>
  </si>
  <si>
    <t>Sathyapalan T, Al-Qaissi A, Kilpatrick ES, Dargham SR, Adaway J, Keevil B, Atkin SL. Salivary testosterone measurement in women with and without polycystic ovary syndrome. Sci Rep. 2017 Jun 15;7(1):3589. doi: 10.1038/s41598-017-03945-w. PMID: 28620242; PMCID: PMC5472559.</t>
  </si>
  <si>
    <t xml:space="preserve">Bansal, P, Sardana, K, Arora, P, Khurana, A, Garga, UC, Sharma, L. A prospective study of anti-mullerian hormone and other ovarian and adrenal hormones in adult female acne. Dermatologic Therapy. 2020; 33:e13974. https://doi.org/10.1111/dth.13974 </t>
  </si>
  <si>
    <t xml:space="preserve">Imran H. J, Dhaher S. A, Mansour M. A. A. Testosterone or Dehydroepiandrosterone Sulfate as A Biomarker for Hirsutism in Women with Polycystic Ovary Syndrome. Biomed Pharmacol J 2020;13(4). DOI: https://dx.doi.org/10.13005/bpj/2056 </t>
  </si>
  <si>
    <t>Khashchenko E, Uvarova E, Vysokikh M, Ivanets T, Krechetova L, Tarasova N, Sukhanova I, Mamedova F, Borovikov P, Balashov I, Sukhikh G. The Relevant Hormonal Levels and Diagnostic Features of Polycystic Ovary Syndrome in Adolescents. J Clin Med. 2020 Jun 11;9(6):1831. doi: 10.3390/jcm9061831. PMID: 32545404; PMCID: PMC7355484.</t>
  </si>
  <si>
    <t xml:space="preserve">Chen, F., Chen, M., Zhang, W. et al. Comparison of the efficacy of different androgens measured by LC-MS/MS in representing hyperandrogenemia and an evaluation of adrenal-origin androgens with a dexamethasone suppression test in patients with PCOS. J Ovarian Res 14, 32 (2021). https://doi.org/10.1186/s13048-021-00781-5 </t>
  </si>
  <si>
    <t xml:space="preserve">Grassi, G.; Polledri, E.; Fustinoni, S.; Chiodini, I.; Ceriotti, F.; D’Agostino, S.; Filippi, F.; Somigliana, E.; Mantovani, G.; Arosio, M.; et al. Hyperandrogenism by Liquid Chromatography Tandem Mass Spectrometry in PCOS: Focus on Testosterone and Androstenedione. J. Clin.Med.2021,10,119. https://doi.org/10.3390/jcm10010119   </t>
  </si>
  <si>
    <t>Beitl K, Dewailly D, Seemann R, Hager M, Bünker J, Mayrhofer D, Holzer I and Ott J (2022) Polycystic Ovary Syndrome Phenotype D Versus Functional Hypothalamic Amenorrhea With Polycystic Ovarian Morphology: A Retrospective Study About a Frequent Differential Diagnosis. Front. Endocrinol. 13:904706. doi:10.3389/fendo.2022.904706</t>
  </si>
  <si>
    <t>Koskinen, P., T. A. Penttila, et al. (1996). "Optimal use of hormone determinations in the biochemical diagnosis of the polycystic ovary syndrome." Fertil Steril. 1996 Mar;65(3):517-22. doi: 10.1016/s0015-0282(16)58146-1</t>
  </si>
  <si>
    <t>Escobar‐Morreale, H. F., M. Asuncion, et al. (2001). "Receiver operating characteristic analysis of the performance of basal serum hormone profiles for the diagnosis of polycystic ovary syndrome in epidemiological studies." Eur J Endocrinol. 2001 Nov;145(5):619-24. doi:10.1530/eje.0.1450619</t>
  </si>
  <si>
    <t>Hahn, S., W. Kuehnel, et al. (2007). "Diagnostic value of calculated testosterone indices in the assessment of polycystic ovary syndrome." Clinical Chemistry &amp; Laboratory Medicine 45(2): 202‐7. Clin Chem Lab Med. 2007;45(2):202-7. doi: 10.1515/CCLM.2007.031.</t>
  </si>
  <si>
    <t>Stener‐Victorin, E., G. Holm, et al. (2010). "Are there any sensitive and specific sex steroid markers for polycystic ovary syndrome?" J Clin Endocrinol Metab. 2010 Feb;95(2):810-9. doi: 10.1210/jc.2009-1908.</t>
  </si>
  <si>
    <t xml:space="preserve">Bili, E., et al. (2014). "The combination of ovarian volume and outline has better diagnostic accuracy than prostate‐specific antigen (PSA) concentrations in women with polycystic ovarian syndrome (PCOs)." Eur J Obstet Gynecol Reprod Biol. 2014 Aug;179:32-5. doi: 10.1016/j.ejogrb.2014.05.006 </t>
  </si>
  <si>
    <t xml:space="preserve">Wael A. Salameh, Mildred M. Redor-Goldman, Nigel J. Clarke, Ruchi Mathur, Ricardo Azziz, Richard E. Reitz. Specificity and predictive value of circulating testosterone assessed by tandem mass spectrometry for the diagnosis of polycystic ovary syndrome by the National Institutes of Health 1990 criteria. Fertility and Sterility® Vol. 101, No. 4, April 2014 0015-0282. http://dx.doi.org/10.1016/j.fertnstert.2013.12.056 </t>
  </si>
  <si>
    <t xml:space="preserve">Villarroel, C., et al. (2015). "Hirsutism and oligomenorrhea are appropriate screening criteria for polycystic ovary syndrome in adolescents." Gynecological Endocrinology 31(8): 625‐629. Gynecol Endocrinol. 2015;31(8):625-9. doi: 10.3109/09513590.2015.1025380. </t>
  </si>
  <si>
    <t>Rudnicka, E., et al. (2016). "Prostate specific antigen (PSA) in diagnosis of polycystic ovarian syndrome ‐ a new insight." Gynecol Endocrinol. 2016 Nov;32(11):931-935. doi: 10.1080/09513590.2016.1200552.</t>
  </si>
  <si>
    <t>Amiri M, Ramezani Tehrani F, Nahidi F, Bidhendi Yarandi R, Behboudi-Gandevani S, Azizi F. Association between biochemical hyperandrogenism parameters and Ferriman-Gallwey score in patients with polycystic ovary syndrome: A systematic review and meta-regression analysis. Clin Endocrinol (Oxf). 2017 Sep;87(3):217-230. doi: 10.1111/cen.13389. Epub 2017 Jun 30. PMID: 28575537.</t>
  </si>
  <si>
    <t>Amato MC, Galluzzo A, Merlino S, Mattina A, Richiusa P, Criscimanna A, Giordano C. Lower insulin sensitivity differentiates hirsute from non-hirsute Sicilian women with polycystic ovary syndrome. Eur J Endocrinol. 2006 Dec;155(6):859-65. doi: 10.1530/eje.1.02290. PMID: 17132756.</t>
  </si>
  <si>
    <t>Panidis D, Tziomalos K, Papadakis E, Chatzis P, Kandaraki EA, Tsourdi EA, Vosnakis C, Katsikis I. The clinical significance and primary determinants of hirsutism in patients with polycystic ovary syndrome. Eur J Endocrinol. 2013 May 3;168(6):871-7. doi: 10.1530/EJE-13-0039. PMID: 23557988.</t>
  </si>
  <si>
    <t>Quinn M, Shinkai K, Pasch L, Kuzmich L, Cedars M, Huddleston H. Prevalence of androgenic alopecia in patients with polycystic ovary syndrome and characterization of associated clinical and biochemical features. Fertil Steril. 2014 Apr;101(4):1129-34. doi: 10.1016/j.fertnstert.2014.01.003. Epub 2014 Feb 15. PMID: 24534277.</t>
  </si>
  <si>
    <t>Imran H. J, Dhaher S. A, Mansour M. A. A. Testosterone or Dehydroepiandrosterone Sulfate as A Biomarker for Hirsutism in Women with Polycystic Ovary Syndrome. Biomed Pharmacol J 2020;13(4).</t>
  </si>
  <si>
    <t>Kumar, H., Halder, A., Sharma, M., Jain, M., &amp; Kalsi, A. (2022). Dihydrotestosterone- A Potential Biomarker of Hyperandrogenaemia in Polycystic Ovary Syndrome: A Case-control Study from North India. JOURNAL OF CLINICAL AND DIAGNOSTIC RESEARCH. doi: 10.7860/jcdr/2022/51169.15962</t>
  </si>
  <si>
    <t>Leerasiri, P., Wongwananuruk, T., Indhavivadhana, S., Techatraisak, K., Rattanachaiyanont, M., &amp; Angsuwathana, S. (2016). Correlation of clinical and biochemical hyperandrogenism in Thai women with polycystic ovary syndrome. Journal Of Obstetrics And Gynaecology Research, 42(6), 678-683. doi: 10.1111/jog.12945</t>
  </si>
  <si>
    <t>Yang Y, Ouyang N, Ye Y, Hu Q, Du T, Di N, Xu W, Azziz R, Yang D, Zhao X. The predictive value of total testosterone alone for clinical hyperandrogenism in polycystic ovary syndrome. Reprod Biomed Online. 2020 Oct;41(4):734-742. doi: 10.1016/j.rbmo.2020.07.013. Epub 2020 Jul 21. PMID: 32912651.</t>
  </si>
  <si>
    <t>notes</t>
  </si>
  <si>
    <t>Ahmad AK, Quinn M, Kao CN, Greenwood E, Cedars MI, Huddleston HG. Improved diagnostic performance for the diagnosis of polycystic ovary syndrome using age-stratified criteria. Fertil Steril 2019;111:787–793. DOI: 10.1016/j.fertnstert.2018.11.044</t>
  </si>
  <si>
    <t>Allemand MC, Tummon IS, Phy JL, Foong SC, Dumesic DA, Session DR. Diagnosis of polycystic ovaries by three-dimensional transvaginal ultrasound. Fertil Steril 2006;85:214–219. DOI: 10.1016/j.fertnstert.2005.07.1279</t>
  </si>
  <si>
    <t>Alsamarai S, Adams JM, Murphy MK, Post MD, Hayden DL, Hall JE, Welt CK. Criteria for polycystic ovarian morphology in polycystic ovary syndrome as a function of age. J Clin Endocrinol Metab 2009;94:4961–4970. DOI: 10.1210/jc.2009-0839</t>
  </si>
  <si>
    <t>Bili AE, Dampala K, Iakovou I, Tsolakidis D, Giannakou A, Tarlatzis BC. The combination of ovarian volume and outline has better diagnostic accuracy than prostate-specific antigen (PSA) concentrations in women with polycystic ovarian syndrome (PCOs). Eur J Obstet Gynecol Reprod Biol 2014;179:32–35. DOI: 10.1016/j.ejogrb.2014.05.006</t>
  </si>
  <si>
    <t>Carmina E, Campagna AM, Fruzzetti F, Lobo RA. AMH measurement versus ovarian ultrasound in the diagnosis of polycystic ovary syndrome in different phenotypes. Endocr Pract 2016;22:287–293. DOI: 10.4158/EP15903.OR</t>
  </si>
  <si>
    <t>Chen Y, Li L, Chen X, Zhang Q, Wang W, Li Y, Yang D. Ovarian volume and follicle number in the diagnosis of polycystic ovary syndrome in Chinese women. Ultrasound Obstet Gynecol 2008;32:700–703. DOI: 10.1002/uog.5393</t>
  </si>
  <si>
    <t xml:space="preserve">Chen Y, Yang D, Li L, Chen X. The role of ovarian volume as a diagnostic criterion for Chinese adolescents with polycystic ovary syndrome. J Pediatr Adolesc Gynecol 2008; 21:347-350. DOI: https://doi.org/10.1016/j.jpag.2008.01.081 </t>
  </si>
  <si>
    <t>Christ JP, Willis AD, Brooks ED, Brink H Vanden, Jarrett BY, Pierson RA, Chizen DR, Lujan ME. Follicle number, not assessments of the ovarian stroma, represents the best ultrasonographic marker of polycystic ovary syndrome. Fertil Steril 2014;101:280–287. DOI: 10.1016/j.fertnstert.2013.10.001</t>
  </si>
  <si>
    <t>Çiraci S, Tan S, Özcan AŞ, Aslan A, Keskin HL, Ateş ÖF, Akçay Y, Arslan H. Contribution of real-time elastography in diagnosis of polycystic ovary syndrome. Diagnostic Interv Radiol 2015;21:118–122. DOI: 10.5152/dir.2014.14094</t>
  </si>
  <si>
    <t>Dewailly D, Alebić M, Duhamel A, Stojanović N. Using cluster analysis to identify a homogeneous subpopulation of women with polycystic ovarian morphology in a population of non-hyperandrogenic women with regular menstrual cycles. Hum Reprod 2014;29:2536–2543. DOI: 10.1093/humrep/deu242</t>
  </si>
  <si>
    <t>Dewailly D, Gronier H, Poncelet E, Robin G, Leroy M, Pigny P, Duhamel A, Catteau-Jonard S. Diagnosis of polycystic ovary syndrome (PCOS): revisiting the threshold values of follicle count on ultrasound and of the serum AMH level for the definition of polycystic ovaries. Hum Reprod 2011;26:3123–3129. DOI: 10.1093/humrep/der297</t>
  </si>
  <si>
    <t xml:space="preserve">Diamanti-Kandarakis E, Livadas S, Katsikis I, Piperi C, Mantziou A, Papavassiliou AG, Panidis D. Serum concentrations of carboxylated osteocalcin are increased and associated with several components of the polycystic ovarian syndrome. J Bone Miner Metab 2011;29:201–206. DOI: https://dx.doi.org/10.1007/s00774-010-0211-2 </t>
  </si>
  <si>
    <t xml:space="preserve">Ersen E, Özgür DT, Özüm T. Is shear wave elastography relevant in the diagnosis of polycystic ovarian syndrome? Med Ultrason 2019;21:158-162. DOI: 10.11152/mu-1849 </t>
  </si>
  <si>
    <t>Fulghesu AM, Ciampelli M, Belosi C, Apa R, Pavone V, Lanzone A. A new ultrasound criterion for the diagnosis of polycystic ovary syndrome: ovarian stroma/total area ratio. Fertil Steril 2001;76:326–331. DOI: 10.1016/s0015-0282(01)01919-7</t>
  </si>
  <si>
    <t>Jarrett BY, Brink H Vanden, Brooks ED, Hoeger KM, Spandorfer SD, Pierson RA, Chizen DR, Lujan ME. Impact of right–left differences in ovarian morphology on the ultrasound diagnosis of polycystic ovary syndrome. Fertil Steril 2019;112:939–946. DOI: 10.1016/j.fertnstert.2019.06.016</t>
  </si>
  <si>
    <t>Jonard S, Robert Y, Dewailly D. Revisiting the ovarian volume as a diagnostic criterion for polycystic ovaries. Hum Reprod 2005;20:2893–2898. DOI: 10.1093/humrep/dei159</t>
  </si>
  <si>
    <t xml:space="preserve">Kar S, Swoyam S. 2D and 3D trans-vaginal sonography to determine cut-offs for ovarian volume and follicle number per ovary for diagnosis of polycystic ovary syndrome in Indian women. J Reprod Infertil 2018;19:146–151. </t>
  </si>
  <si>
    <t>Khashchenko E, Uvarova E, Vysokikh M, Ivanets T, Krechetova L, Tarasova N, Sukhanova I, Mamedova F, Borovikov P, Balashov I, Sukhikh, G. The Relevant Hormonal Levels and Diagnostic Features of Polycystic Ovary Syndrome in Adolescents. J of Clin Med 2020;9. DOI: 10.3390/jcm9061831</t>
  </si>
  <si>
    <t>Kim HJ, Adams JM, Gudmundsson JA, Arason G, Pau CT, Welt CK. Polycystic ovary morphology: age-based ultrasound criteria. Fertil Steril 2017;108:548–553. DOI: 10.1016/j.fertnstert.2017.07.005</t>
  </si>
  <si>
    <t>Köninger A, Koch L, Edimiris P, Enekwe A, Nagarajah J, Kasimir-Bauer S, Kimmig R, Strowitzki T, Schmidt B. Anti-Mullerian Hormone: an indicator for the severity of polycystic ovarian syndrome. Arch Gynecol Obstet 2014;290:1023–1030. DOI: 10.1007/s00404-014-3317-2</t>
  </si>
  <si>
    <t>Kösüs N, Kösüs A, Turhan NÖ. Relationship of ovarian volume with mean platelet volume and lipid profile in patients with polycystic ovary syndrome. Exp Ther Med 2011;2:1141–1144. DOI: 10.3892/etm.2011.327</t>
  </si>
  <si>
    <t>Kösüs N, Kösüs A, Turhan NÖ, Kamalak Z. Do threshold values of ovarian volume and follicle number for diagnosing polycystic ovarian syndrome in Turkish women differ from western countries? Eur J Obstet Gynecol Reprod Biol 2011;154:177–181. DOI: 10.1016/j.ejogrb.2010.10.007</t>
  </si>
  <si>
    <t>Le NSV, Le MT, Nguyen ND, Tran NQT, Nguyen QHV, Cao TN. A cross-sectional study on potential ovarian volume and related factors in women with polycystic ovary syndrome from infertile couples. Int J Womens Health 2021;13:793–801. DOI: 10.2147/IJWH.S329082</t>
  </si>
  <si>
    <t>Lie Fong S, Laven JSE, Duhamel A, Dewailly D. Polycystic ovarian morphology and the diagnosis of polycystic ovary syndrome: redefining threshold levels for follicle count and serum anti-Müllerian hormone using cluster analysis. Hum Reprod 2017;32:1723–1731. DOI: 10.1093/humrep/dex226</t>
  </si>
  <si>
    <t>Lujan ME, Jarrett BY, Brooks ED, Reines JK, Peppin AK, Muhn N, Haider E, Pierson RA, Chizen DR. Updated ultrasound criteria for polycystic ovary syndrome: Reliable thresholds for elevated follicle population and ovarian volume. Hum Reprod 2013;28:1361–1368. DOI: 10.1093/humrep/det062</t>
  </si>
  <si>
    <t>Özay, OE, Özay AC, Gün, I. Comparison of stromal thickness and doppler findings in polycystic ovary syndrome and healthy women with ultrasonographic evidence of polycystic ovaries? A cross-sectional study. J Obstet Gynaecol 2022;42: 2367-2372. DOI: 10.1080/01443615.2022.2054684</t>
  </si>
  <si>
    <t>Villa P, Rossodivita A, Sagnella F, Moruzzi MC, Mariano N, Lassandro AP, Pontecorvi A, Scambia G, Lanzone A. Ovarian volume and gluco-insulinaemic markers in the diagnosis of PCOS during adolescence. Clin Endocrinol 2013;78:285-290. DOI: 10.1111/j.1365-2265.2012.04475.x</t>
  </si>
  <si>
    <t>Villaroel C, López P, Merino PM, Iñiguez G, Sir-Petermann T, Codner E. Hirsutism and oligomenorrhea are appropriate screening criteria for polycystic ovary syndrome in adolescents. Gynecol Endocinol 2015;31:625-629. DOI: 10.3109/09513590.2015.1025380</t>
  </si>
  <si>
    <t>Wongwananuruk T, Panichyawat N, Indhavivadhana S, Rattanachaiyanont M, Angsuwathana S, Techatraisak K, Pratumvinit B, Sa-nga-areekul N. Accuracy of anti-Müllerian hormone and total follicles count to diagnose polycystic ovary syndrome in reproductive women. Taiwan J Obstet Gynecol 2018;57:499–506. DOI: 10.1016/j.tjog.2018.06.004</t>
  </si>
  <si>
    <t>Agrawal, N.; Sharma, R. Correlation of anti-müllerian hormone with clinical, hormonal and ultrasonographic parameters in pcos and normo-ovulatory women: An experience of single tertiary care center. Ital J Gynaecol Obstet 2018;30(4):37-43.</t>
  </si>
  <si>
    <t>Ahmed N, Batarfi AA, Bajouh OS, Bakhashab S. Serum Anti-Müllerian Hormone in the Diagnosis of Polycystic Ovary Syndrome in Association with Clinical Symptoms. Diagnostics (Basel). 2019 Oct 1;9(4):136. doi: 10.3390/diagnostics9040136. PMID: 31581541; PMCID: PMC6963945.</t>
  </si>
  <si>
    <t>Al-Jefout M, Alnawaiseh C, Saleh M, Warwar K. Anti-Müllerianhormone (AMH) new cutoff as a possible tool for thediagnosis of polycystic ovary syndrome (PCOS). J Biomed Sci Res. 2021;3(2):139. Doi: 10.36266/JBSR/139.</t>
  </si>
  <si>
    <t>Aydoğmuş H, Kelekçi S, Elmalı F, Aydoğmuş S. Can we use serum Anti-Mullerian hormone to differentiate the diagnosis between polycystic ovary syndrome patients and healthy women with polycystic ovarian morphology and regular menstrual cycles. Saudi Med J. 2018 Oct;39(10):1011-1016. doi: 10.15537/smj.2018.10.23413. PMID: 30284584; PMCID: PMC6201027.</t>
  </si>
  <si>
    <t>Bakeer E, Radwan R, El Mandoury A, El Rahman AA, Gad M, El Maksoud SA. Anti-Müllerian Hormone as a Diagnostic Marker in Egyptian Infertile Polycystic Ovary Syndrome Females: Correlations with Vitamin D, Total Testosterone, Dyslipidemia and Anthropometric Parameters. J Med Biochem. 2018 Dec 1;37(4):448-455. doi: 10.1515/jomb-2017-0068. PMID: 30584404; PMCID: PMC6298483.</t>
  </si>
  <si>
    <t>Bansal P, Sardana K, Arora P, Khurana A, Garga UC, Sharma L. A prospective study of anti-mullerian hormone and other ovarian and adrenal hormones in adult female acne. Dermatol Ther. 2020 Nov;33(6):e13974. doi: 10.1111/dth.13974. Epub 2020 Jul 27. PMID: 33185003.</t>
  </si>
  <si>
    <t>Bell RJ, Islam RM, Skiba MA, Herbert D, Martinez Garcia A, Davis SR. Substituting serum anti-Müllerian hormone for polycystic ovary morphology increases the number of women diagnosed with polycystic ovary syndrome: a community-based cross-sectional study. Hum Reprod. 2021 Dec 27;37(1):109-118. doi: 10.1093/humrep/deab232. PMID: 34741176.</t>
  </si>
  <si>
    <t>Bozdag G, Mumusoglu S, Coskun ZY, Yarali H, Yildiz BO. Anti-Müllerian hormone as a diagnostic tool for PCOS under different diagnostic criteria in an unselected population. Reprod Biomed Online. 2019 Sep;39(3):522-529. doi: 10.1016/j.rbmo.2019.04.002. Epub 2019 Apr 10. PMID: 31182353.</t>
  </si>
  <si>
    <t>Calzada M, López N, Noguera JA, Mendiola J, Hernández AI, Corbalán S, Sanchez M, Torres AM. AMH in combination with SHBG for the diagnosis of polycystic ovary syndrome. J Obstet Gynaecol. 2019 Nov;39(8):1130-1136. doi: 10.1080/01443615.2019.1587604. Epub 2019 Jun 17. PMID: 31208261.</t>
  </si>
  <si>
    <t>Casadei L, Fanisio F, Sorge RP, Collamarini M, Piccolo E, Piccione E. The diagnosis of PCOS in young infertile women according to different diagnostic criteria: the role of serum anti-Müllerian hormone. Arch Gynecol Obstet. 2018 Jul;298(1):207-215. doi: 10.1007/s00404-018-4803-8. Epub 2018 May 25. PMID: 29802450.</t>
  </si>
  <si>
    <t>Cengiz H, Ekin M, Dagdeviren H, Yildiz Ş, Kaya C, Kanawati A. Comparison of serum anti-Müllerian hormone levels in normal weight and overweight-obese adolescent patients with polycystic ovary syndrome. Eur J Obstet Gynecol Reprod Biol. 2014 Sep;180:46-50. doi: 10.1016/j.ejogrb.2014.06.018. Epub 2014 Jun 28. PMID: 25036408.</t>
  </si>
  <si>
    <t>Deveer M, Deveer R, Basaran O, Turkcu UO, Akbaba E, Cullu N, Turhan N, Kucuk M, Kasap B. Serum Copeptin, Pentraxin 3, Anti-Mullerian Hormone Levels With Echocardiography and Carotid Artery Intima-Media Thickness in Adolescents With Polycystic Ovary Syndrome. J Clin Med Res. 2015 Dec;7(12):989-94. doi: 10.14740/jocmr2375w. Epub 2015 Oct 23. PMID: 26566413; PMCID: PMC4625820.</t>
  </si>
  <si>
    <t>Dietz de Loos A, Hund M, Buck K, Meun C, Sillman J, Laven JSE. Antimüllerian hormone to determine polycystic ovarian morphology. Fertil Steril. 2021 Oct;116(4):1149-1157. doi: 10.1016/j.fertnstert.2021.05.094. PMID: 34579824.</t>
  </si>
  <si>
    <t>Evliyaoglu O, Imöhl M, Weiskirchen R, van Helden J. Age-specific reference values improve the diagnostic performance of AMH in polycystic ovary syndrome. Clin Chem Lab Med. 2020 Jul 28;58(8):1291-1301. doi: 10.1515/cclm-2019-1059. PMID: 32069226.</t>
  </si>
  <si>
    <t>Farooq S, Baloch S, Awan S, Fakharunissa. Relationship of Anti-Mullerian Hormone in Polycystic Ovary Syndrome Patients with Different Subgroups. Pak J Med Health Sci 2022;16(5):612-615. No doi</t>
  </si>
  <si>
    <t>Fu H, Lin Y, Deng X, Wu L. Correlation between anti-Mullerian hormone levels and antral follicle counts in polycystic ovary and metabolic syndromes. Syst Biol Reprod Med. 2021 Apr;67(2):112-120. doi: 10.1080/19396368.2020.1860155. Epub 2021 Jan 7. PMID: 33406916.</t>
  </si>
  <si>
    <t xml:space="preserve">Gabr H, Marei ES, The Relation between Anti-Mullerian Hormone with Antral Follicle Count and Ovarian Volume in Polycystic Ovary Syndrome. Arab Journal of Nuclear Sciences and Applications 2019;52(2):84-93. </t>
  </si>
  <si>
    <t>Indran IR, Huang Z, Khin LW, Chan JKY, Viardot-Foucault V, Yong EL. Simplified 4-item criteria for polycystic ovary syndrome: A bridge too far? Clin Endocrinol (Oxf). 2018 Aug;89(2):202-211. doi: 10.1111/cen.13755. Epub 2018 Jun 19. PMID: 29851127.</t>
  </si>
  <si>
    <t>Jacob SL, Field HP, Calder N, Picton HM, Balen AH, Barth JH. Anti-Müllerian hormone reflects the severity of polycystic ovary syndrome. Clin Endocrinol (Oxf). 2017 Mar;86(3):395-400. doi: 10.1111/cen.13269. Epub 2016 Dec 1. PMID: 27805276.</t>
  </si>
  <si>
    <t>Jamil AS, Alalaf SK, Al-Tawil NG, Al-Shawaf T. Comparison of clinical and hormonal characteristics among four phenotypes of polycystic ovary syndrome based on the Rotterdam criteria. Arch Gynecol Obstet. 2016 Feb;293(2):447-56. doi: 10.1007/s00404-015-3889-5. Epub 2015 Sep 25. PMID: 26408006.</t>
  </si>
  <si>
    <t>Kakkad V, Reddy NS, Nihlani H, Gundewar T. Age-related diagnostic threshold of anti-Müllerian hormone for polycystic ovarian syndrome. Int J Gynecol Obstet. 2021;153:443–448. https://doi.org/10.1002/ijgo.13515</t>
  </si>
  <si>
    <t>Kim JY, Tfayli H, Michaliszyn SF, Lee S, Nasr A, Arslanian S. Anti-Müllerian Hormone in Obese Adolescent Girls With Polycystic Ovary Syndrome. J Adolesc Health. 2017 Mar;60(3):333-339. doi: 10.1016/j.jadohealth.2016.10.015. Epub 2016 Dec 18. PMID: 27998701; PMCID: PMC5326592.</t>
  </si>
  <si>
    <t>Kumari A, Tiwari HC, Srivastav R. Comparative Evaluation of Diagnostic Efficacy of Serum Anti-Müllerian Hormone and Ultrasound in Polycystic Ovarian Syndrome. J South Asian Feder Obs Gynae 2018; 10 (2):98-103</t>
  </si>
  <si>
    <t>Le MT, Le VNS, Le DD, Nguyen VQH, Chen C, Cao NT. Exploration of the role of anti-Mullerian hormone and LH/FSH ratio in diagnosis of polycystic ovary syndrome. Clin Endocrinol (Oxf). 2019 Apr;90(4):579-585. doi: 10.1111/cen.13934. Epub 2019 Feb 10. PMID: 30636332.</t>
  </si>
  <si>
    <t>Li H, He YL, Li R, Wong C, Sy B, Lam CW, Lam K, Peng HM, Mu S, Schooling M, Yeung W, Ho PC, Ng E. Age-specific reference ranges of serum anti-müllerian hormone in healthy women and its application in diagnosis of polycystic ovary syndrome: a population study. BJOG. 2020 May;127(6):720-728. doi: 10.1111/1471-0528.16147. Epub 2020 Feb 25. PMID: 32009280.</t>
  </si>
  <si>
    <t>Lie Fong S, Laven JSE, Duhamel A, Dewailly D. Polycystic ovarian morphology and the diagnosis of polycystic ovary syndrome: redefining threshold levels for follicle count and serum anti-Müllerian hormone using cluster analysis. Hum Reprod. 2017 Aug 1;32(8):1723-1731. doi: 10.1093/humrep/dex226. PMID: 28854584.</t>
  </si>
  <si>
    <t>Lin YH, Chiu WC, Wu CH, Tzeng CR, Hsu CS, Hsu MI. Antimüllerian hormone and polycystic ovary syndrome. Fertil Steril. 2011 Jul;96(1):230-5. doi: 10.1016/j.fertnstert.2011.04.003. Epub 2011 May 5. PMID: 21549367.</t>
  </si>
  <si>
    <t>Mahajan N, Kaur J. Establishing an Anti-Müllerian Hormone Cutoff for Diagnosis of Polycystic Ovarian Syndrome in Women of Reproductive Age-Bearing Indian Ethnicity Using the Automated Anti-Müllerian Hormone Assay. J Hum Reprod Sci. 2019 Apr-Jun;12(2):104-113. doi: 10.4103/jhrs.JHRS_149_18. PMID: 31293324; PMCID: PMC6594116.</t>
  </si>
  <si>
    <t>Matsuzaki T, Munkhzaya M, Iwasa T, Tungalagsuvd A, Yano K, Mayila Y, Yanagihara R, Tokui T, Kato T, Kuwahara A, Matsui S, Irahara M. Relationship between serum anti-Mullerian hormone and clinical parameters in polycystic ovary syndrome. Endocr J. 2017 May 30;64(5):531-541. doi: 10.1507/endocrj.EJ16-0501. Epub 2017 Apr 1. PMID: 28381699.</t>
  </si>
  <si>
    <t>Okcu NT, Nazik H, Akduman AT, Uncu G. The relation between the serum anti-Mullerian hormone levels and follicle count in polycystic ovary syndrome. The European Research Journal. P -2149-3189;4;N1 doi: 10.18621/eurj.332118</t>
  </si>
  <si>
    <t>Oueslati I, Hammami MB, Boukriba S, Ben Hadj Hassen H, Yazidi M, Chaker F, Mizouni H, Feki M, Chihaoui M. Anti Mullerian hormone as a diagnostic tool for polycystic ovary syndrome in women of reproductive age with morbid obesity. Horm Mol Biol Clin Investig. 2022 May 5. doi: 10.1515/hmbci-2021-0078. Epub ahead of print. PMID: 35506902.</t>
  </si>
  <si>
    <t>Pankhurst MW, Shorakae S, Rodgers RJ, Teede HJ, Moran LJ. Efficacy of predictive models for polycystic ovary syndrome using serum levels of two antimüllerian hormone isoforms (proAMH and AMHN,C). Fertil Steril. 2017 Nov;108(5):851-857.e2. doi: 10.1016/j.fertnstert.2017.08.012. PMID: 29079276.</t>
  </si>
  <si>
    <t>Prieto-Sánchez MT, Hernández-Peñalver AI, Sánchez-Ferrer ML, Mendiola J, Torres-Cantero AM. Anogenital distance and anti-Müllerian hormone combined improves the diagnosis of polycystic ovary syndrome. Hum Fertil (Camb). 2022 Apr;25(2):274-282. doi: 10.1080/14647273.2020.1795574. Epub 2020 Jul 27. PMID: 32713212.</t>
  </si>
  <si>
    <t>Quinn MM, Kao CN, Ahmad AK, Haisenleder DJ, Santoro N, Eisenberg E, Legro RS, Cedars MI, Huddleston HG; NIH/NICHD Reproductive Medicine Network. Age-stratified thresholds of anti-Müllerian hormone improve prediction of polycystic ovary syndrome over a population-based threshold. Clin Endocrinol (Oxf). 2017 Dec;87(6):733-740. doi: 10.1111/cen.13415. Epub 2017 Aug 4. PMID: 28681949.</t>
  </si>
  <si>
    <t>Ramezani Tehrani F, Rahmati M, Mahboobifard F, Firouzi F, Hashemi N, Azizi F. Age-specific cut-off levels of anti-Müllerian hormone can be used as diagnostic markers for polycystic ovary syndrome. Reprod Biol Endocrinol. 2021 May 22;19(1):76. doi: 10.1186/s12958-021-00755-8. PMID: 34022904; PMCID: PMC8140506.</t>
  </si>
  <si>
    <t>Sathyapalan T, Al-Qaissi A, Kilpatrick ES, Dargham SR, Atkin SL. Anti-Müllerian hormone measurement for the diagnosis of polycystic ovary syndrome. Clin Endocrinol (Oxf). 2018 Feb;88(2):258-262. doi: 10.1111/cen.13517. Epub 2017 Dec 7. PMID: 29144548.</t>
  </si>
  <si>
    <t>Savas-Erdeve S, Keskin M, Sagsak E, Cenesiz F, Cetinkaya S, Aycan Z. Do the Anti-Müllerian Hormone Levels of Adolescents with Polycystic Ovary Syndrome, Those Who Are at Risk for Developing Polycystic Ovary Syndrome, and Those Who Exhibit Isolated Oligomenorrhea Differ from Those of Adolescents with Normal Menstrual Cycles? Horm Res Paediatr. 2016;85(6):406-11. doi: 10.1159/000446111. Epub 2016 May 13. PMID: 27173790.</t>
  </si>
  <si>
    <t>Saxena, U., Ramani, M. &amp; Singh, P. Role of AMH as Diagnostic Tool for Polycystic Ovarian Syndrome. J Obstet Gynecol India 68, 117–122 (2018). https://doi.org/10.1007/s13224-017-1066-4</t>
  </si>
  <si>
    <t>Sharma P, Chawla R, Ahuja R, et al. Anti-Müllerian Hormone as a Surrogate Marker for Hormonal Dysfunction and Sonographic Pattern in Polycystic Ovarian Syndrome. J South Asian Feder Obst Gynae 2019;11(3):175–180. doi: 10.5005/jp-journals-10006-1674</t>
  </si>
  <si>
    <t>Shi X, Peng D, Liu Y, Miao X, Ye H, Zhang J. Advantages of Serum Anti-Müllerian Hormone as a Marker for Polycystic Ovarian Syndrome. Lab Med. 2019 Jul 16;50(3):236-242. doi: 10.1093/labmed/lmy068. PMID: 30535164.</t>
  </si>
  <si>
    <t>Singh S, Firdaus A, Choudhary R, Dhama V. Role of antimullerian hormone as a diagnostic tool for polycystic ovary syndrome. Int J Reprod Contracept Obstet Gynecol. 2020;9(9):3730. DOI: 10.18203/2320-1770.ijrcog20203847.</t>
  </si>
  <si>
    <t>Song DK, Oh JY, Lee H, Sung YA. Differentiation between polycystic ovary syndrome and polycystic ovarian morphology by means of an anti-Müllerian hormone cutoff value. Korean J Intern Med. 2017 Jul;32(4):690-698. doi: 10.3904/kjim.2016.038. Epub 2016 Nov 30.</t>
  </si>
  <si>
    <t>Song J, Park Y, Cho HW, Lee SG, Kim S, Lim JB. Age-group-specific reference intervals for anti-Müllerian hormone and its diagnostic performance for polycystic ovary syndrome in a Korean population. J Clin Lab Anal. 2021 Jul;35(7):e23861. doi: 10.1002/jcla.23861. Epub 2021 Jun 7. PMID: 34097316; PMCID: PMC8274997.</t>
  </si>
  <si>
    <t>Sova H, Unkila-Kallio L, Tiitinen A, Hippeläinen M, Perheentupa A, Tinkanen H, Puukka K, Bloigu R, Piltonen T, Tapanainen JS, Morin-Papunen L. Hormone profiling, including anti-Müllerian hormone (AMH), for the diagnosis of polycystic ovary syndrome (PCOS) and characterization of PCOS phenotypes. Gynecol Endocrinol. 2019 Jul;35(7):595-600. doi: 10.1080/09513590.2018.1559807. Epub 2019 Jan 22. PMID: 30668196.</t>
  </si>
  <si>
    <t>Tola H, Abbas M, Alhassan EA, Shrif NE, Rida M. Assessment of the Role of the Anti-Mullerian Hormone, Luteinizing Hormone/Follicle Stimulating Hormone Ratio in the Diagnosis of Polycystic Ovary Syndrome in Sudanese Women. Open Access Maced J Med Sci. 2018;6(7):1244-1247. Published 2018 Jul 17.</t>
  </si>
  <si>
    <t>Tunҫ S, and Ozkan B. Analysis of New Biomarkers for the Diagnosis of Polycystic Ovary Syndrome in Adolescents Ergenlerde Polikistik Over Sendromu Tanisi icin Yeni Biyobelirteclerin Analizi. The Journal of Current Pediatrics, vol. 19, no. 3, Dec. 2021, pp. 311+. Gale OneFile: Health and Medicine.</t>
  </si>
  <si>
    <t>Vagios S, James KE, Sacha CR, Hsu JY, Dimitriadis I, Bormann CL, Souter I. A patient-specific model combining antimüllerian hormone and body mass index as a predictor of polycystic ovary syndrome and other oligo-anovulation disorders. Fertil Steril. 2021 Jan;115(1):229-237. doi: 10.1016/j.fertnstert.2020.07.023.</t>
  </si>
  <si>
    <t>Villarroel C, López P, Merino PM, Iñiguez G, Sir-Petermann T, Codner E. Hirsutism and oligomenorrhea are appropriate screening criteria for polycystic ovary syndrome in adolescents. Gynecol Endocrinol. 2015;31(8):625-9. doi: 10.3109/09513590.2015.1025380. Epub 2015 Jul 20. PMID: 26190534.</t>
  </si>
  <si>
    <t>Wissing ML, Mikkelsen AL, Kumar A, Kalra B, Pors SE, Flachs EM, Andersen CY. Associations of different molecular forms of antimüllerian hormone and biomarkers of polycystic ovary syndrome and normal women. Fertil Steril. 2019 Jul;112(1):149-155.e1.</t>
  </si>
  <si>
    <t>Wongwananuruk T, Panichyawat N, Indhavivadhana S, Rattanachaiyanont M, Angsuwathana S, Techatraisak K, Pratumvinit B, Sa-Nga-Areekul N. Accuracy of anti-Müllerian hormone and total follicles count to diagnose polycystic ovary syndrome in reproductive women. Taiwan J Obstet Gynecol. 2018 Aug;57(4):499-506.</t>
  </si>
  <si>
    <t>Yue CY, Lu LK, Li M, Zhang QL, Ying CM. Threshold value of anti-Mullerian hormone for the diagnosis of polycystic ovary syndrome in Chinese women. PLoS One. 2018 Aug 28;13(8):e0203129.</t>
  </si>
  <si>
    <t>Asfari MM, Sarmini MT, Baidoun F, et al. Association of non-alcoholic fatty liver disease and polycystic ovarian syndrome. BMJ Open Gastroenterology. 2020;7(1):08. doi: 10.1136/bmjgast-2019-000352</t>
  </si>
  <si>
    <t>Azziz R, Woods KS, Reyna R, Key TJ, Knochenhauer ES, Yildiz BO. The prevalence and features of the polycystic ovary syndrome in an unselected population. Journal of Clinical Endocrinology &amp; Metabolism. 2004;89(6):2745-2749. doi: 10.1210/jc.2003-032046</t>
  </si>
  <si>
    <t>Christensen SB, Black MH, Smith N, et al. Prevalence of polycystic ovary syndrome in adolescents. Fertility &amp; Sterility. 2013;100(2):470-477. doi: 10.1016/j.fertnstert.2013.04.001</t>
  </si>
  <si>
    <t>Gabrielli L, Aquino EM. Polycystic ovary syndrome in Salvador, Brazil: a prevalence study in primary healthcare. Reproductive Biology &amp; Endocrinology. 2012;10:96. doi:10.1186/1477-7827-10-96</t>
  </si>
  <si>
    <t>Greenwood EA, Yaffe K, Wellons MF, Cedars MI, Huddleston HG. Depression Over the Lifespan in a Population-Based Cohort of Women With Polycystic Ovary Syndrome: Longitudinal Analysis. Journal of Clinical Endocrinology &amp; Metabolism. 2019;104(7):2809-2819. doi: 10.1210/jc.2019-00234</t>
  </si>
  <si>
    <t>Guo L, Gordon NP, Chandra M, Dayo O, Lo JC. The Risks of Polycystic Ovary Syndrome and Diabetes Vary by Ethnic Subgroup Among Young Asian Women. Diabetes Care. 2021;44(6):e129-e130. doi: 10.2337/dc21-0373</t>
  </si>
  <si>
    <t>He Y, Tian J, Blizzard L, et al. Associations of childhood adiposity with menstrual irregularity and polycystic ovary syndrome in adulthood: the Childhood Determinants of Adult Health Study and the Bogalusa Heart Study. Human Reproduction. 2020;35(5):1185-1198.  doi:10.1093/humrep/deaa069</t>
  </si>
  <si>
    <t>Knochenhauer ES, Key TJ, Kahsar-Miller M, Waggoner W, Boots LR, Azziz R. Prevalence of the polycystic ovary syndrome in unselected black and white women of the southeastern United States: a prospective study. Journal of Clinical Endocrinology &amp; Metabolism. 1998;83(9):3078-3082. doi: 10.1210/jcem.83.9.5090</t>
  </si>
  <si>
    <t>Meyer ML, Sotres-Alvarez D, Steiner A, et al. Associations of self-reported polycystic ovary syndrome (PCOS), irregular menstrual cycles, and the metabolic syndrome in premenopausal hispanic/latina women in the hispanic community health study/study of latinos (HCHS/SOL). Journal of Women's Health. 2018;27(11):1425. doi: 10.1210/clinem/dgaa012 </t>
  </si>
  <si>
    <t>Moran C, Tena G, Moran S, Ruiz P, Reyna R, Duque X. Prevalence of polycystic ovary syndrome and related disorders in mexican women. Gynecologic &amp; Obstetric Investigation. 2010;69(4):274-280. doi: 10.1159/000277640 </t>
  </si>
  <si>
    <t>Morrison JA, Glueck CJ, Daniels S, Wang P, Stroop D. Adolescent oligomenorrhea in a biracial schoolgirl cohort: a simple clinical parameter predicting impaired fasting glucose plus type 2 diabetes mellitus, insulin, glucose, insulin resistance, and centripetal obesity from age 19 to 25 years. Metabolism: Clinical &amp; Experimental. 2011;60(9):1285-1293. doi: 10.1016/j.metabol.2011.01.012</t>
  </si>
  <si>
    <t>Wang ET, Calderon-Margalit R, Cedars MI, et al. Polycystic ovary syndrome and risk for long-term diabetes and dyslipidemia. Obstetrics &amp; Gynecology. 2011;117(1):6-13. doi:10.1097/AOG.0b013e31820209bb</t>
  </si>
  <si>
    <t>Deswal R, Dang AS, Nanda S. Prevalence of Poly Cystic Ovary Syndrome (PCOS) in North Indian women. Indian Journal of Health and Wellbeing. 2014;5(6):742-744.</t>
  </si>
  <si>
    <t>Kaewnin J, Vallibhakara O, Arj-Ong Vallibhakara S, et al. Prevalence of polycystic ovary syndrome in Thai University adolescents. Gynecological Endocrinology. 2018;34(6):476-480. doi: 10.1080/09513590.2017.1409716</t>
  </si>
  <si>
    <t>Kumarapeli V, Seneviratne RDA, Wijeyaratne CN, Yapa RMSC, Dodampahala SH. A simple screening approach for assessing community prevalence and phenotype of polycystic ovary syndrome in a semiurban population in Sri Lanka. American Journal of Epidemiology. 2008;168(3):321-328. doi: 10.1093/aje/kwn137</t>
  </si>
  <si>
    <t>Nidhi R, Padmalatha V, Nagarathna R, Amritanshu R. Prevalence of polycystic ovarian syndrome in Indian adolescents. Journal of Pediatric &amp; Adolescent Gynecology. 2011;24(4):223-227. doi:10.1016/j.jpag.2011.03.002</t>
  </si>
  <si>
    <t>Vidya Bharathi R, Swetha S, Neerajaa J, et al. An epidemiological survey: Effect of predisposing factors for PCOS in Indian urban and rural population. Middle East Fertility Society Journal. 2017;22(4):313-316. doi: 10.1016/j.mefs.2017.05.007</t>
  </si>
  <si>
    <t>Assens M, Dyre L, Henriksen LS, et al. Menstrual Pattern, Reproductive Hormones, and Transabdominal 3D Ultrasound in 317 Adolescent Girls. Journal of Clinical Endocrinology and Metabolism. 2020;105(9):E3257-E3266. doi:10.1210/clinem/dgaa355</t>
  </si>
  <si>
    <t>Asuncion M, Calvo RM, San Millan JL, Sancho J, Avila S, Escobar-Morreale HF. A prospective study of the prevalence of the polycystic ovary syndrome in unselected Caucasian women from Spain. Journal of Clinical Endocrinology &amp; Metabolism. 2000;85(7):2434-2438. doi: 10.1210/jcem.85.7.6682</t>
  </si>
  <si>
    <t>Diamanti-Kandarakis E, Kouli CR, Bergiele AT, et al. A survey of the polycystic ovary syndrome in the Greek island of Lesbos: hormonal and metabolic profile. Journal of Clinical Endocrinology &amp; Metabolism. 1999;84(11):4006-4011. doi: 10.1210/jcem.84.11.6148</t>
  </si>
  <si>
    <t>Gambineri A, Fanelli F, Prontera O, et al. Prevalence of hyperandrogenic states in late adolescent and young women: epidemiological survey on italian high-school students. J Clin Endocrinol Metab. 2013;98(4):1641-1650. doi: 10.1210/jc.2012-3537</t>
  </si>
  <si>
    <t>Mumm H, Kamper-Jorgensen M, Nybo Andersen AM, Glintborg D, Andersen M. Birth weight and polycystic ovary syndrome in adult life: a register-based study on 523,757 Danish women born 1973-1991. Fertility &amp; Sterility. 2013;99(3):777-782. doi: 10.1016/j.fertnstert.2012.11.004</t>
  </si>
  <si>
    <t>Valgeirsdottir H, Vanky E, Sundstrom-Poromaa I, et al. Prenatal exposures and birth indices, and subsequent risk of polycystic ovary syndrome: a national registry-based cohort study. BJOG: An International Journal of Obstetrics &amp; Gynaecology. 2019;126(2):244-251. doi: 10.1111/1471-0528.15236</t>
  </si>
  <si>
    <t>Yildiz BO, Bozdag G, Yapici Z, Esinler I, Yarali H. Prevalence, phenotype and cardiometabolic risk of polycystic ovary syndrome under different diagnostic criteria. Human Reproduction. 2012;27(10):3067-3073. doi:10.1093/humrep/des232</t>
  </si>
  <si>
    <t>Dargham SR, Ahmed L, Kilpatrick ES, Atkin SL. The prevalence and metabolic characteristics of polycystic ovary syndrome in the Qatari population. PLoS ONE [Electronic Resource]. 2017;12(7):e0181467. doi: 10.1371/journal.pone.0181467</t>
  </si>
  <si>
    <t>Dargham SR, Shewehy AE, Dakroury Y, Kilpatrick ES, Atkin SL. Prediabetes and diabetes in a cohort of Qatari women screened for polycystic ovary syndrome. Scientific Reports. 2018;8(1):3619. doi: 10.1038/s41598-018-21987-6</t>
  </si>
  <si>
    <t>Esmaeilzadeh S, Delavar MA, Amiri M, Khafri S, Pasha NG. Polycystic ovary syndrome in Iranian adolescents. International Journal of Adolescent Medicine &amp; Health. 2014;26(4):559-565. doi:  10.1515/ijamh-2013-03</t>
  </si>
  <si>
    <t>Farhadi-Azar M, Behboudi-Gandevani S, Rahmati M, et al. The Prevalence of Polycystic Ovary Syndrome, Its Phenotypes and Cardio-Metabolic Features in a Community Sample of Iranian Population: Tehran Lipid and Glucose Study. Frontiers in Endocrinology. 2022;13:825528. doi: 10.3389/fendo.2022.825528</t>
  </si>
  <si>
    <t>Mehrabian F, Khani B, Kelishadi R, Ghanbari E. The prevalence of polycystic ovary syndrome in Iranian women based on different diagnostic criteria. Endokrynologia Polska. 2011;62(3):238-242. </t>
  </si>
  <si>
    <t>Musmar S, Afaneh A, Mo'alla H. Epidemiology of polycystic ovary syndrome: a cross sectional study of university students at An-Najah national university-Palestine. Reproductive Biology &amp; Endocrinology. 2013;11:47. doi: 10.1186/1477-7827-11-47</t>
  </si>
  <si>
    <t>Pramodh S. Exploration of lifestyle choices, reproductive health knowledge, and polycystic ovary syndrome (Pcos) awareness among female emirati university students. International Journal of Women's Health. 2020;12:927-938. doi: 10.2147/IJWH.S272867</t>
  </si>
  <si>
    <t>Salehpour S, Shirvani HE, Entezari A. Evaluation of the prevalence of polycystic ovarian syndrome among adolescent (15-18 years old) girls in Tehran during 2005-2006. International Journal of Fertility and Sterility. 2010;4(3):122-127.</t>
  </si>
  <si>
    <t>Sharif E, Rahman S, Zia Y, Rizk NM. The frequency of polycystic ovary syndrome in young reproductive females in Qatar. Int J Womens Health. 2017;9:1-10. doi: 10.2147/IJWH.S120027</t>
  </si>
  <si>
    <t>Tehrani FR, Simbar M, Tohidi M, Hosseinpanah F, Azizi F. The prevalence of polycystic ovary syndrome in a community sample of Iranian population: Iranian PCOS prevalence study. Reproductive Biology &amp; Endocrinology. 2011;9:39. doi: 10.1186/1477-7827-9-144</t>
  </si>
  <si>
    <t>Boyle JA, Cunningham J, O'Dea K, Dunbar T, Norman RJ. Prevalence of polycystic ovary syndrome in a sample of Indigenous women in Darwin, Australia. Medical Journal of Australia. 2012;196(1):62-66. doi: 10.5694/mja11.10553</t>
  </si>
  <si>
    <t>Chen X, Yang D, Mo Y, Li L, Chen Y, Huang Y. Prevalence of polycystic ovary syndrome in unselected women from southern China. European Journal of Obstetrics, Gynecology, &amp; Reproductive Biology. 2008;139(1):59-64. doi: 10.1016/j.ejogrb.2007.12.018</t>
  </si>
  <si>
    <t>Dashti S, Latiffah Abdul L, Habibah Abdul H, et al. Prevalence of Polycystic Ovary Syndrome among Malaysian Female University Staff. Journal of Midwifery &amp; Reproductive Health. 2019;7(1):1560-1568. doi: 10.22038/jmrh.2018.30370.1329</t>
  </si>
  <si>
    <t>Davis SR, Knight S, White V, Claridge C, Davis BJ, Bell R. Preliminary indication of a high prevalence of polycystic ovary syndrome in indigenous Australian women. Gynecological Endocrinology. 2002;16(6):443-446. doi: 10.1080/gye.16.6.443.446</t>
  </si>
  <si>
    <t>Li R, Zhang Q, Yang D, et al. Prevalence of polycystic ovary syndrome in women in China: a large community-based study. Human Reproduction. 2013;28(9):2562-2569. doi:10.1093/humrep/det262</t>
  </si>
  <si>
    <t>Jiao J, Fang Y, Wang T, Wang Z, Zhou M, Wang X. Epidemiologic investigation of polycystic ovarian syndrome (PCOS) in Han ethnic women of reproductive age in Liaoning Province, China. Clinical &amp; Experimental Obstetrics &amp; Gynecology. 2014;41(3):304-309. doi: 10.12891/ceog16282014</t>
  </si>
  <si>
    <t>Kim JH, Jung MH, Hong SH, Moon N, Kang DR. Age-Adjusted Prevalence and Characteristics of Women with Polycystic Ovarian Syndrome in Korea: A Nationwide Population-Based Study (2010-2019). Yonsei Medical Journal. 2022;63(8):794-798. doi: 10.3349/ymj.2022.63.8.794</t>
  </si>
  <si>
    <t>Maredia H, Hawley NL, Lambert-Messerlian G, et al. Reproductive health, obesity, and cardiometabolic risk factors among Samoan women. American Journal of Human Biology. 2018;30(3):e23106. doi:10.1002/ajhb.23106</t>
  </si>
  <si>
    <t>Min D, Jang IS, Park S. Preventive Behavior Intentions for Polycystic Ovary Syndrome in Young Students. Metabolic Syndrome &amp; Related Disorders. 2022;20(5):273-279. doi: 10.1089/met.2021.0123</t>
  </si>
  <si>
    <t>Park YJ, Shin H, Jeon S, Cho I, Kim YJ. Menstrual Cycle Patterns and the Prevalence of Premenstrual Syndrome and Polycystic Ovary Syndrome in Korean Young Adult Women. Healthcare (Basel). 2021 Jan 7;9(1):56. doi: 10.3390/healthcare9010056. PMID: 33430265; PMCID: PMC7825721.</t>
  </si>
  <si>
    <t>Yang R, Li Q, Zhou Z, et al. Changes in the prevalence of polycystic ovary syndrome in China over the past decade. Lancet Reg Health West Pac. 2022;25:100494. doi: 10.1016/j.lanwpc.2022.100494</t>
  </si>
  <si>
    <t>Zhuang J, Liu Y, Xu L, et al. Prevalence of the polycystic ovary syndrome in female residents of Chengdu, China. Gynecologic &amp; Obstetric Investigation. 2014;77(4):217-223. doi: 10.1159/000358485</t>
  </si>
  <si>
    <t>Berni TR, Morgan CL, Rees DA. Women With Polycystic Ovary Syndrome Have an Increased Risk of Major Cardiovascular Events: a Population Study. J Clin Endocrinol Metab. 2021 Aug 18;106(9):e3369-e3380. doi: 10.1210/clinem/dgab392. PMID: 34061968; PMCID: PMC8372630</t>
  </si>
  <si>
    <t>Calderon-Margalit R, Siscovick D, Merkin SS, Wang E, Daviglus ML, Schreiner PJ, Sternfeld B, Williams OD, Lewis CE, Azziz R, Schwartz SM, Wellons MF. Prospective association of polycystic ovary syndrome with coronary artery calcification and carotid-intima-media thickness: the Coronary Artery Risk Development in Young Adults Women's study. Arterioscler Thromb Vasc Biol. 2014 Dec;34(12):2688-94. doi: 10.1161/ATVBAHA.114.304136. Epub 2014 Oct 30. PMID: 25359859.</t>
  </si>
  <si>
    <t>Cibula D, Cífková R, Fanta M, Poledne R, Zivny J, Skibová J. Increased risk of non-insulin dependent diabetes mellitus, arterial hypertension and coronary artery disease in perimenopausal women with a history of the polycystic ovary syndrome. Hum Reprod. 2000 Apr;15(4):785-9. doi: 10.1093/humrep/15.4.785. PMID: 10739820.</t>
  </si>
  <si>
    <t>Ding DC, Tsai IJ, Wang JH, Lin SZ, Sung FC. Coronary artery disease risk in young women with polycystic ovary syndrome. Oncotarget. 2018 Jan 4;9(9):8756-8764. doi: 10.18632/oncotarget.23985. PMID: 29492235; PMCID: PMC5823557.</t>
  </si>
  <si>
    <t>Forslund M, Schmidt J, Brännström M, Landin-Wilhelmsen K, Dahlgren E. Morbidity and mortality in PCOS: A prospective follow-up up to a mean age above 80 years. Eur J Obstet Gynecol Reprod Biol. 2022 Apr;271:195-203. doi: 10.1016/j.ejogrb.2022.02.020. Epub 2022 Feb 23. PMID: 35220175.</t>
  </si>
  <si>
    <t>Glintborg D, Rubin KH, Nybo M, Abrahamsen B, Andersen M. Cardiovascular disease in a nationwide population of Danish women with polycystic ovary syndrome. Cardiovasc Diabetol. 2018 Mar 8;17(1):37. doi: 10.1186/s12933-018-0680-5. PMID: 29519249; PMCID: PMC5844097.</t>
  </si>
  <si>
    <t>Iftikhar S, Collazo-Clavell ML, Roger VL, St Sauver J, Brown RD Jr, Cha S, Rhodes DJ. Risk of cardiovascular events in patients with polycystic ovary syndrome. Neth J Med. 2012 Mar;70(2):74-80. PMID: 22418753; PMCID: PMC3582228.</t>
  </si>
  <si>
    <t>Lunde O, Tanbo T. Polycystic ovary syndrome: a follow-up study on diabetes mellitus, cardiovascular disease and malignancy 15-25 years after ovarian wedge resection. Gynecol Endocrinol. 2007 Dec;23(12):704-9. doi: 10.1080/09513590701705189. PMID: 18075845.</t>
  </si>
  <si>
    <t>Mahboobifard F, Rahmati M, Niknam A, Rojhani E, Momenan AA, Azizi F, Ramezani Tehrani F. Impact of Polycystic Ovary Syndrome on Silent Coronary Artery Disease and Cardiovascular Events; A Long-term Population-based Cohort Study. Arch Med Res. 2022 Apr;53(3):312-322. doi: 10.1016/j.arcmed.2021.11.001. Epub 2021 Nov 22. PMID: 34823887.</t>
  </si>
  <si>
    <t>Mani H, Levy MJ, Davies MJ, Morris DH, Gray LJ, Bankart J, Blackledge H, Khunti K, Howlett TA. Diabetes and cardiovascular events in women with polycystic ovary syndrome: a 20-year retrospective cohort study. Clin Endocrinol (Oxf). 2013 Jun;78(6):926-34. doi: 10.1111/cen.12068. Epub 2013 Apr 6. PMID: 23046078.</t>
  </si>
  <si>
    <t>Meun C, Franco OH, Dhana K, Jaspers L, Muka T, Louwers Y, Ikram MA, Fauser BCJM, Kavousi M, Laven JSE. High Androgens in Postmenopausal Women and the Risk for Atherosclerosis and Cardiovascular Disease: The Rotterdam Study. J Clin Endocrinol Metab. 2018 Apr 1;103(4):1622-1630. doi: 10.1210/jc.2017-02421. PMID: 29408955.</t>
  </si>
  <si>
    <t>Morgan CL, Jenkins-Jones S, Currie CJ, Rees DA. Evaluation of adverse outcome in young women with polycystic ovary syndrome versus matched, reference controls: a retrospective, observational study. J Clin Endocrinol Metab. 2012 Sep;97(9):3251-60. doi: 10.1210/jc.2012-1690. Epub 2012 Jul 5. PMID: 22767635.</t>
  </si>
  <si>
    <t>Ollila ME, Kaikkonen K, Järvelin MR, Huikuri HV, Tapanainen JS, Franks S, Piltonen TT, Morin-Papunen L. Self-Reported Polycystic Ovary Syndrome Is Associated With Hypertension: A Northern Finland Birth Cohort 1966 Study. J Clin Endocrinol Metab. 2019 Apr 1;104(4):1221-1231. doi: 10.1210/jc.2018-00570. PMID: 30445634; PMCID: PMC7296204.</t>
  </si>
  <si>
    <t>Schmidt J, Landin-Wilhelmsen K, Brännström M, Dahlgren E. Cardiovascular disease and risk factors in PCOS women of postmenopausal age: a 21-year controlled follow-up study. J Clin Endocrinol Metab. 2011 Dec;96(12):3794-803. doi: 10.1210/jc.2011-1677. Epub 2011 Sep 28. PMID: 21956415.</t>
  </si>
  <si>
    <t>Wild S, Pierpoint T, McKeigue P, Jacobs H. Cardiovascular disease in women with polycystic ovary syndrome at long-term follow-up: a retrospective cohort study. Clin Endocrinol (Oxf). 2000 May;52(5):595-600. doi: 10.1046/j.1365-2265.2000.01000.x. PMID: 10792339.</t>
  </si>
  <si>
    <t>Bolijn R, Onland-Moret NC, Asselbergs FW, van der Schouw YT. Reproductive factors in relation to heart failure in women: A systematic review. Maturitas. 2017 Dec;106:57-72. doi: 10.1016/j.maturitas.2017.09.004. Epub 2017 Sep 9. PMID: 29150167.</t>
  </si>
  <si>
    <t>Helvaci N, Yildiz BO. Cardiovascular health and menopause in aging women with polycystic ovary syndrome. Expert Rev Endocrinol Metab. 2020 Jan;15(1):29-39. doi: 10.1080/17446651.2020.1719067. Epub 2020 Jan 28. PMID: 31990594.</t>
  </si>
  <si>
    <t>Ramezani Tehrani F, Amiri M, Behboudi-Gandevani S, Bidhendi-Yarandi R, Carmina E. Cardiovascular events among reproductive and menopausal age women with polycystic ovary syndrome: a systematic review and meta-analysis. Gynecol Endocrinol. 2020 Jan;36(1):12-23. doi: 10.1080/09513590.2019.1650337. Epub 2019 Aug 6. PMID: 31385729.</t>
  </si>
  <si>
    <t>Wekker V, van Dammen L, Koning A, Heida KY, Painter RC, Limpens J, Laven JSE, Roeters van Lennep JE, Roseboom TJ, Hoek A. Long-term cardiometabolic disease risk in women with PCOS: a systematic review and meta-analysis. Hum Reprod Update. 2020 Nov 1;26(6):942-960. doi: 10.1093/humupd/dmaa029. PMID: 32995872; PMCID: PMC7600286.</t>
  </si>
  <si>
    <t>Glintborg D, Hass Rubin K, Nybo M, Abrahamsen B, Andersen M. Morbidity and medicine prescriptions in a nationwide Danish population of patients diagnosed with polycystic ovary syndrome. Eur J Endocrinol. 2015 May;172(5):627-38. doi: 10.1530/EJE-14-1108. Epub 2015 Feb 5. PMID: 25656495.</t>
  </si>
  <si>
    <t>Haakova L, Cibula D, Rezabek K, Hill M, Fanta M, Zivny J. Pregnancy outcome in women with PCOS and in controls matched by age and weight. Hum Reprod. 2003 Jul;18(7):1438-41. doi: 10.1093/humrep/deg289. PMID: 12832369.</t>
  </si>
  <si>
    <t>Hart R, Doherty DA. The potential implications of a PCOS diagnosis on a woman's long-term health using data linkage. J Clin Endocrinol Metab. 2015 Mar;100(3):911-9. doi: 10.1210/jc.2014-3886. Epub 2014 Dec 22. Erratum in: J Clin Endocrinol Metab. 2015 Jun;100(6):2502. PMID: 25532045.</t>
  </si>
  <si>
    <t>Lo JC, Feigenbaum SL, Yang J, Pressman AR, Selby JV, Go AS. Epidemiology and adverse cardiovascular risk profile of diagnosed polycystic ovary syndrome. J Clin Endocrinol Metab. 2006 Apr;91(4):1357-63. doi: 10.1210/jc.2005-2430. Epub 2006 Jan 24. PMID: 16434451.</t>
  </si>
  <si>
    <t>Merz CN, Shaw LJ, Azziz R, Stanczyk FZ, Sopko G, Braunstein GD, Kelsey SF, Kip KE, Cooper-DeHoff RM, Johnson BD, Vaccarino V, Reis SE, Bittner V, Hodgson TK, Rogers W, Pepine CJ. Cardiovascular Disease and 10-Year Mortality in Postmenopausal Women with Clinical Features of Polycystic Ovary Syndrome. J Womens Health (Larchmt). 2016 Sep;25(9):875-81. doi: 10.1089/jwh.2015.5441. Epub 2016 Jun 6. PMID: 27267867; PMCID: PMC5311460.</t>
  </si>
  <si>
    <t>Okoroh EM, Boulet SL, George MG, Craig Hooper W. Assessing the intersection of cardiovascular disease, venous thromboembolism, and polycystic ovary syndrome. Thromb Res. 2015 Dec;136(6):1165-8. doi: 10.1016/j.thromres.2015.10.022. Epub 2015 Oct 17. PMID: 26489726; PMCID: PMC4861991.</t>
  </si>
  <si>
    <t>Pierpoint T, McKeigue PM, Isaacs AJ, Wild SH, Jacobs HS. Mortality of women with polycystic ovary syndrome at long-term follow-up. J Clin Epidemiol. 1998 Jul;51(7):581-6. doi: 10.1016/s0895-4356(98)00035-3. PMID: 9674665.</t>
  </si>
  <si>
    <t>Polotsky AJ, Allshouse AA, Crawford SL, Harlow SD, Khalil N, Kazlauskaite R, Santoro N, Legro RS. Hyperandrogenic oligomenorrhea and metabolic risks across menopausal transition. The Journal of Clinical Endocrinology &amp; Metabolism. 2014 Jun 1;99(6):2120-7.</t>
  </si>
  <si>
    <t>Sirmans SM, Parish RC, Blake S, Wang X. Epidemiology and comorbidities of polycystic ovary syndrome in an indigent population. J Investig Med. 2014 Aug;62(6):868-74. doi: 10.1097/01.JIM.0000446834.90599.5d. PMID: 24844662.</t>
  </si>
  <si>
    <t>Anagnostis, P. et al. Risk of type 2 diabetes mellitus in polycystic ovary syndrome is associated with obesity: a meta-analysis of observational studies. Endocrine 74, 245-253, doi:https://dx.doi.org/10.1007/s12020-021-02801-2 (2021).</t>
  </si>
  <si>
    <t>Begum, N., Arayousuf, N., Farooq, M. S., Chowdhury, M. A. K. &amp; Ferdous, M. Association of Impaired Glucose Tolerance and Insulin Resistance in Women with Polycystic Ovary Syndrome. Bangladesh Journal of Obstetrics and Gynecology 34(2), 93-98, doi:https://dx.doi.org/10.3329/BJOG.V34I2.58273 (2019).</t>
  </si>
  <si>
    <t>Carmina, E., Nasrallah, M. P., Guastella, E. &amp; Lobo, R. A. Characterization of metabolic changes in the phenotypes of women with polycystic ovary syndrome in a large Mediterranean population from Sicily. Clin Endocrinol (Oxf) 91, 553-560, doi:https://dx.doi.org/10.1111/cen.14063 (2019).</t>
  </si>
  <si>
    <t>Dargham, S. R., Shewehy, A. E., Dakroury, Y., Kilpatrick, E. S. &amp; Atkin, S. L. Prediabetes and diabetes in a cohort of Qatari women screened for polycystic ovary syndrome. Sci 8, 3619, doi:https://dx.doi.org/10.1038/s41598-018-21987-6 (2018).</t>
  </si>
  <si>
    <t>Forslund, M. et al. Type 2 diabetes mellitus in women with polycystic ovary syndrome during a 24-year period: Importance of obesity and abdominal fat distribution. Human Reproduction Open 2020(1) (no pagination), doi:https://dx.doi.org/10.1093/hropen/hoz042 (2020).</t>
  </si>
  <si>
    <t>Fuad, Z. F. &amp; Alobaidy, E. J. Association of hba1c levels with body mass index in a patient diagnosed with polycystic ovary syndrome. Indian Journal of Public Health Research and Development 9(7), 298-303, doi:https://dx.doi.org/10.5958/0976-5506.2018.00659.9 (2018).</t>
  </si>
  <si>
    <t>Kakoly, N. S. et al. Ethnicity, obesity and the prevalence of impaired glucose tolerance and type 2 diabetes in PCOS: a systematic review and meta-regression. Human Reproduction Update 24, 455-467, doi:10.1093/humupd/dmy007 (2018).</t>
  </si>
  <si>
    <t>Kazemi Jaliseh, H. et al. Polycystic ovary syndrome is a risk factor for diabetes and prediabetes in middle-aged but not elderly women: a long-term population-based follow-up study. Fertility &amp; Sterility 108, 1078-1084, doi:10.1016/j.fertnstert.2017.09.004 (2017).</t>
  </si>
  <si>
    <t>Kazemi, M. et al. Comprehensive Evaluation of Type 2 Diabetes and Cardiovascular Disease Risk Profiles in Reproductive-Age Women with Polycystic Ovary Syndrome: A Large Canadian Cohort. J Obstet Gynaecol Can 41, 1453-1460, doi:10.1016/j.jogc.2018.11.026 (2019).</t>
  </si>
  <si>
    <t>Kiconco, S. et al. Natural history of polycystic ovary syndrome: A systematic review of cardiometabolic outcomes from longitudinal cohort studies. Clin Endocrinol (Oxf) 96, 475-498, doi:10.1111/cen.14647 (2022).</t>
  </si>
  <si>
    <t>Liao, W. T., Huang, J. Y., Lee, M. T., Yang, Y. C. &amp; Wu, C. C. Higher risk of type 2 diabetes in young women with polycystic ovary syndrome: A 10-year retrospective cohort study. World J Diabetes 13, 240-250, doi:10.4239/wjd.v13.i3.240 (2022).</t>
  </si>
  <si>
    <t>Meun, C. et al. The cardiovascular risk profile of middle-aged women with polycystic ovary syndrome. Clin Endocrinol (Oxf) 92, 150-158, doi:10.1111/cen.14117 (2020).</t>
  </si>
  <si>
    <t>Ng, N. Y. H. et al. Progression of glucose intolerance and cardiometabolic risk factors over a decade in Chinese women with polycystic ovary syndrome: A case-control study. PLoS Med 16, e1002953, doi:10.1371/journal.pmed.1002953 (2019).</t>
  </si>
  <si>
    <t>Rubin, K. H., Glintborg, D., Nybo, M., Abrahamsen, B. &amp; Andersen, M. Development and Risk Factors of Type 2 Diabetes in a Nationwide Population of Women With Polycystic Ovary Syndrome. J Clin Endocrinol Metab 102, 3848-3857, doi:10.1210/jc.2017-01354 (2017).</t>
  </si>
  <si>
    <t>Ryu, K. J. et al. Risk of type 2 diabetes is increased in nonobese women with polycystic ovary syndrome: the National Health Insurance Service-National Sample Cohort Study. Fertil Steril 115, 1569-1575, doi:10.1016/j.fertnstert.2020.12.018 (2021).</t>
  </si>
  <si>
    <t>Vuguin, P. et al. Alterations in Glucose Effectiveness and Insulin Dynamics: Polycystic Ovary Syndrome or Body Mass Index. Horm Res Paediatr 87, 359-367, doi:10.1159/000471804 (2017).</t>
  </si>
  <si>
    <t>Wekker, V. et al. Long-term cardiometabolic disease risk in women with PCOS: a systematic review and meta-analysis. Hum Reprod Update 26, 942-960, doi:10.1093/humupd/dmaa029 (2020).</t>
  </si>
  <si>
    <t>Zhu, S. et al. Metabolic disturbances in non-obese women with polycystic ovary syndrome: a systematic review and meta-analysis. Fertil Steril 111, 168-177, doi:10.1016/j.fertnstert.2018.09.013 (2019).</t>
  </si>
  <si>
    <t>Alvarez-Blasco F, Botella-Carretero JI, San Millan JL, Escobar-Morreale HF. Prevalence and characteristics of the polycystic ovary syndrome in overweight and obese women. Arch Intern Med 2006;166:2081–2086.</t>
  </si>
  <si>
    <t>Attaoua R, Ait El Mkadem S, Radian S, Fica S, Hanzu F, Albu A, Gheorghiu M, Coculescu M, Grigorescu F. FTO gene associates to metabolic syndrome in women with polycystic ovary syndrome. Biochem Biophys Res Commun 2008; 373:230–234.</t>
  </si>
  <si>
    <t>Boudreaux MY, Talbott EO, Kip KE, Brooks MM, Witchel SF. Risk of T2DM and impaired fasting glucose among PCOS subjects: results of an 8-year follow-up. Curr Diabetes Rev 2006;6:77–83.</t>
  </si>
  <si>
    <t>Boyle JA, Cunningham J, Norman RJ, Dunbar T, O’Dea K. Polycystic ovary syndrome and metabolic syndrome in Indigenous Australian women. Intern Med J 2015;45:1247–1254.</t>
  </si>
  <si>
    <t>Celik C, Tasdemir N, Abali R, Bastu E, Yilmaz M. Progression to impaired glucose tolerance or type 2 diabetes mellitus in polycystic ovary syndrome: a controlled follow-up study. Fertility &amp; Sterility 2014;101:1123–1128.e1121.</t>
  </si>
  <si>
    <t>Ciampelli M, Fulghesu AM, Murgia F, Guido M, Cucinelli F, Apa R, Caruso A, Lanzone A. Acute insulin response to intravenous glucagon in polycystic ovary syndrome. Hum Reprod 1998;13:847–851.</t>
  </si>
  <si>
    <t>Cibula D, Cifkova R, Fanta M, Poledne R, Zivny J, Skibova J. Increased risk of noninsulin dependent diabetes mellitus, arterial hypertension, and coronary artery disease in perimenopausal women with a history of the polycystic ovary syndrome. Hum Reprod 2000;15:785–789.</t>
  </si>
  <si>
    <t>Diamanti-Kandarakis E, Piperi C, Kalofoutis A, Creatsas G. Increased levels of serum advanced glycation end-products in women with polycystic ovary syndrome. Clin Endocrinol 2005;62:37–43.</t>
  </si>
  <si>
    <t>Dos Reis RM, Foss MC, de Moura MD, Ferriani RA, Silva de Sá MF. Insulin secretion in obese and non-obese women with polycystic ovary syndrome and its relationship with hyperandrogenism. Gynecol Endocrinol 1995;9:45–50.</t>
  </si>
  <si>
    <t>Dunaif A, Wu X, Lee A, Diamanti-Kandarakis E. Defects in insulin receptor signaling in vivo in the polycystic ovary syndrome (PCOS). Am J Physiol Endocrinol Metab 2001;281:E392–E399.</t>
  </si>
  <si>
    <t>Echiburu B, Perez-Bravo F, Maliqueo M, Sanchez F, Crisosto N, Sir-Petermann T. Polymorphism T–C (−34 base pairs) of gene CYP17 promoter in women with polycystic ovary syndrome is associated with increased body weight and insulin resistance: a preliminary study. Metab Clin Exp 2008;57:1765–1771.</t>
  </si>
  <si>
    <t>Faloia E, Canibus P, Gatti C, Frezza F, Santangelo M, Garrapa GG, Boscaro M. Body composition, fat distribution and metabolic characteristics in lean and obese women with polycystic ovary syndrome. J Endocrinol Invest 2004;27:424–429.</t>
  </si>
  <si>
    <t>Fulghesu A, Magnini R, Portoghese E, Angioni S, Minerba L, Melis GB. Obesityrelated lipid profile and altered insulin incretion in adolescents with polycystic ovary syndrome. J Adolesc Health 2010;46:474–481.</t>
  </si>
  <si>
    <t>Glintborg D, Hass Rubin K, Nybo M, Abrahamsen B, Andersen M. Morbidity and medicine prescriptions in a nationwide Danish population of patients diagnosed with polycystic ovary syndrome. Eur J Endocrinol 2015;172:627–638.</t>
  </si>
  <si>
    <t>Hossain N, Stepanova M, Afendy A, Nader F, Younossi Y, Rafiq N, Goodman Z, Younossi ZM. Non-alcoholic steatohepatitis (NASH) in patients with polycystic ovarian syndrome (PCOS). Scand J Gastroenterol 2011;46:479–484.</t>
  </si>
  <si>
    <t>Huang J, Ni R, Chen X, Huang L, Mo Y, Yang D. Metabolic abnormalities in adolescents with polycystic ovary syndrome in south China. Reprod Biol Endocrinol 2010;8:142.</t>
  </si>
  <si>
    <t>Hudecova M, Holte J, Olovsson M, Larsson A, Berne C, Poromaa IS. Diabetes and impaired glucose tolerance in patients with polycystic ovary syndrome—a long term follow-up. Hum Reprod 2011; 26:1462–1468.</t>
  </si>
  <si>
    <t>Legro RS, Gnatuk CL, Kunselman AR, Dunaif A. Changes in glucose tolerance over time in women with polycystic ovary syndrome: a controlled study. J Clin Endocrinol Metab 2005;90:3236–3242.</t>
  </si>
  <si>
    <t>Leibel NI, Baumann EE, Kocherginsky M, Rosenfield RL. Relationship of adolescent polycystic ovary syndrome to parental metabolic syndrome. Journal of Clinical Endocrinology &amp; Metabolism 2006;91:1275–1283.</t>
  </si>
  <si>
    <t>Lerchbaum E, Gruber HJ, Schwetz V, Giuliani A, Moller R, Pieber TR, ObermayerPietsch B. Fatty liver index in polycystic ovary syndrome. Eur J Endocrinol 2011; 165:935–943.</t>
  </si>
  <si>
    <t>Li L, Chen X, He Z, Zhao X, Huang L, Yang D. Clinical and metabolic features of polycystic ovary syndrome among Chinese adolescents. J Pediatr Adolesc Gynecol 2012;25:390–395.</t>
  </si>
  <si>
    <t>Liang SJ, Liou TH, Lin HW, Hsu CS, Tzeng CR, Hsu MI. Obesity is the predominant predictor of impaired glucose tolerance and metabolic disturbance in polycystic ovary syndrome. Acta Obstetricia et Gynecologica Scandinavica 2012;91:1167–1172.</t>
  </si>
  <si>
    <t>Marquez JL, Pacheco A, Valdes P, Salazar LA. Association between CAPN10 UCSNP-43 gene polymorphism and polycystic ovary syndrome in Chilean women. Clin Chim Acta 2008;398:5–9.</t>
  </si>
  <si>
    <t>Moini A, Eslami B. Familial associations between polycystic ovarian syndrome and common diseases. J Assist Reprod Genet 2009;26:123–127.</t>
  </si>
  <si>
    <t>Nur MM, Newman IM, Siqueira LM. Glucose metabolism in overweight Hispanic adolescents with and without polycystic ovary syndrome. Pediatrics 2009;124: e496–e502.</t>
  </si>
  <si>
    <t>Okoroh EM, Hooper WC, Atrash HK, Yusuf HR, Boulet SL. Prevalence of polycystic ovary syndrome among the privately insured, United States, 2003-2008. American Journal of Obstetrics &amp; Gynecology 2012;207:299.e291–299.e297.</t>
  </si>
  <si>
    <t>Ozegowska K, Pawelczyk L. Cardiometabolic risk in patients with polycystic ovary syndrome. Gineko Pol 2015;86:840–848.</t>
  </si>
  <si>
    <t>Phy JL, Conover CA, Abbott DH, Zschunke MA, Walker DL, Session DR, Tummon IS, Thornhill AR, Lesnick TG, Dumesic DA. Insulin and messenger ribonucleic acid expression of insulin receptor isoforms in ovarian follicles from nonhirsute ovulatory women and polycystic ovary syndrome patients. J Clin Endocrinol Metab 2004; 89:3561–3566.</t>
  </si>
  <si>
    <t>Rajkhowa M, Talbot JA, Jones PW, Clayton RN. Polymorphism of glycogen synthetase gene in polycystic ovary syndrome. Clin Endocrinol 1996;44:85–90.</t>
  </si>
  <si>
    <t>Sawathiparnich P, Weerakulwattana L, Santiprabhob J, Likitmaskul S. Obese adolescent girls with polycystic ovary syndrome (PCOS) have more severe insulin resistance measured by HOMA-IR score than obese girls without PCOS. Journal of the Medical Association of Thailand 2005;88 Suppl 8:S33–S37.</t>
  </si>
  <si>
    <t>Sir-Petermann T, Angel B, Maliqueo M, Santos JL, Riesco MV, Toloza H, PerezBravo F. Insulin secretion in women who have polycystic ovary syndrome and carry the Gly972Arg variant of insulin receptor substrate-1 in response to a high-glycemic or low-glycemic carbohydrate load. Nutrition 2004;20:905–910.</t>
  </si>
  <si>
    <t>Valderhaug TG, Hertel JK, Nordstrand N, Dale PO, Hofso D, Hjelmesaeth J. The association between hyperandrogenemia and the metabolic syndrome in morbidly obese women. Diabetol Metab Syndr 2015;7:46.</t>
  </si>
  <si>
    <t>Yarali H, Yildirir A, Aybar F, Kabakci G, Bukulmez O, Akgul E, Oto A. Diastolic dysfunction, and increased serum homocysteine concentrations may contribute to increased cardiovascular risk in patients with polycystic ovary syndrome. Fertil Steril 2001;76:511–516.</t>
  </si>
  <si>
    <t>Zhao X, Zhong J, Mo Y, Chen X, Chen Y, Yang D. Association of biochemical hyperandrogenism with type 2 diabetes and obesity in Chinese women with polycystic ovary syndrome. Int J Gynaecol Obstet 2010; 108:148–151.</t>
  </si>
  <si>
    <t>Apridonidze T, Essah PA, Iuorno MJ, Nestler JE. Prevalence and characteristics of the metabolic syndrome in women with polycystic ovary syndrome. J Clin Endocrinol Metab 2005;90:1929–1935.</t>
  </si>
  <si>
    <t>Altemimi MT, Musa AK, Mansour AA. The Performance of Glycated Hemoglobin vs. Oral Glucose Tolerance Test in the Diagnosis of Glycemic Disorders among Women with Polycystic Ovary Syndrome in Southern Iraq. The Indonesian Biomedical Journal. 2021 Jun 14;13(2):178-85.</t>
  </si>
  <si>
    <t>Ortiz-Flores AE, Luque-Ramírez M, Fernández-Durán E, Alvarez-Blasco F, Escobar-Morreale HF. Diagnosis of disorders of glucose tolerance in women with polycystic ovary syndrome (PCOS) at a tertiary care center: fasting plasma glucose or oral glucose tolerance test? Metabolism. 2019 Apr;93:86-92. doi: 10.1016/j.metabol.2019.01.015. Epub 2019 Jan 30. PMID: 30710572.</t>
  </si>
  <si>
    <t>Lerchbaum E, Schwetz V, Giuliani A, Obermayer-Pietsch B. Assessment of glucose metabolism in polycystic ovary syndrome: HbA1c or fasting glucose compared with the oral glucose tolerance test as a screening method. Human Reproduction. 2013 Sep 1;28(9):2537-44.</t>
  </si>
  <si>
    <t>Li HW, Lam KS, Tam S, Lee VC, Yeung TW, Cheung PT, Yeung WS, Ho PC, Ng EH Screening for dysglycaemia by oral glucose tolerance test should be recommended in all women with polycystic ovary syndrome. Human Reproduction. 2015 Sep 1;30(9):2178-83.</t>
  </si>
  <si>
    <t>Magnussen LV, Mumm H, Andersen M, Glintborg D. Hemoglobin A1c as a tool for the diagnosis of type 2 diabetes in 208 premenopausal women with polycystic ovary syndrome. Fertility and sterility. 2011 Nov 1;96(5):1275-80.</t>
  </si>
  <si>
    <t>Zhen Y, Yang P, Dong R, Wu Y, Sang Y, Du X, Wang Y, Song Q, Yu L, Rao X. Effect of HbA1C detection on the diagnostic screening for glucose metabolic disorders in polycystic ovary syndrome. Clinical and Experimental Obstetrics &amp; Gynecology. 2014 Feb 10;41(1):58-61.</t>
  </si>
  <si>
    <t>de Sousa G, Schlüter B, Menke T, Trowitzsch E, Andler W, Reinehr T. Relationships between polysomnographic variables, parameters of glucose metabolism, and serum androgens in obese adolescents with polycystic ovarian syndrome. J Sleep Res. 2011 Sep;20(3):472-8. doi: 10.1111/j.1365-2869.2010.00902.x. Epub 2010 Dec 29. PMID: 21199038.</t>
  </si>
  <si>
    <t>Fogel RB, Malhotra A, Pillar G, Pittman SD, Dunaif A, White DP. Increased prevalence of obstructive sleep apnea syndrome in obese women with polycystic ovary syndrome. J Clin Endocrinol Metab. 2001 Mar;86(3):1175-80. doi: 10.1210/jcem.86.3.7316. PMID: 11238505.</t>
  </si>
  <si>
    <t>Hachul H, Polesel DN, Tock L, Carneiro G, Pereira AZ, Zanella MT, Tufik S, Togeiro SM. Sleep disorders in polycystic ovary syndrome: influence of obesity and hyperandrogenism. Rev Assoc Med Bras (1992). 2019 Mar;65(3):375-383. doi: 10.1590/1806-9282.65.3.375. Epub 2019 Apr 11. PMID: 30994836.</t>
  </si>
  <si>
    <t>Helvaci N, Karabulut E, Demir AU, Yildiz BO. Polycystic ovary syndrome and the risk of obstructive sleep apnea: a meta-analysis and review of the literature. Endocr Connect. 2017 Oct;6(7):437-445. doi: 10.1530/EC-17-0129. Epub 2017 Jul 24. PMID: 28739562; PMCID: PMC5574283.</t>
  </si>
  <si>
    <t>Nandalike K, Agarwal C, Strauss T, Coupey SM, Isasi CR, Sin S, Arens R. Sleep and cardiometabolic function in obese adolescent girls with polycystic ovary syndrome. Sleep Med. 2012 Dec;13(10):1307-12. doi: 10.1016/j.sleep.2012.07.002. Epub 2012 Aug 23. PMID: 22921588; PMCID: PMC3509263..</t>
  </si>
  <si>
    <t>Suri J, Suri JC, Chatterjee B, Mittal P, Adhikari T. Obesity may be the common pathway for sleep-disordered breathing in women with polycystic ovary syndrome. Sleep Med. 2016 Aug;24:32-39. doi: 10.1016/j.sleep.2016.02.014. Epub 2016 Aug 16. PMID: 27810183.</t>
  </si>
  <si>
    <t>Tasali E, Van Cauter E, Hoffman L, Ehrmann DA. Impact of obstructive sleep apnea on insulin resistance and glucose tolerance in women with polycystic ovary syndrome. J Clin Endocrinol Metab. 2008 Oct;93(10):3878-84. doi: 10.1210/jc.2008-0925. Epub 2008 Jul 22. PMID: 18647805; PMCID: PMC2579653.</t>
  </si>
  <si>
    <t>Vgontzas AN, Legro RS, Bixler EO, Grayev A, Kales A, Chrousos GP. Polycystic ovary syndrome is associated with obstructive sleep apnea and daytime sleepiness: role of insulin resistance. J Clin Endocrinol Metab. 2001 Feb;86(2):517-20. doi: 10.1210/jcem.86.2.7185. PMID: 11158002.</t>
  </si>
  <si>
    <t>Yang HP, Kang JH, Su HY, Tzeng CR, Liu WM, Huang SY. Apnea-hypopnea index in nonobese women with polycystic ovary syndrome. Int J Gynaecol Obstet. 2009 Jun;105(3):226-9. doi: 10.1016/j.ijgo.2009.02.004. Epub 2009 Apr 5. PMID: 19345941.</t>
  </si>
  <si>
    <t>Kahal H, Kyrou I, Uthman OA, Brown A, Johnson S, Wall PDH, Metcalfe A, Parr DG, Tahrani AA, Randeva HS. The prevalence of obstructive sleep apnoea in women with polycystic ovary syndrome: a systematic review and meta-analysis. Sleep Breath. 2020 Mar;24(1):339-350. doi: 10.1007/s11325-019-01835-1. Epub 2019 May 20. PMID: 31111411; PMCID: PMC7127997.</t>
  </si>
  <si>
    <t>Aldarazi K, Omran H, Jassim NM. Endometrial hyperplasia in asymptomatic subfertile population. J Gynecol Obstet Hum Reprod. 2022 Apr;51(4):102337. doi: 10.1016/j.jogoh.2022.102337. Epub 2022 Feb 10. PMID: 35151930.</t>
  </si>
  <si>
    <t>Beavis AL, Najjar O, Cheskin LJ, Mangal R, Rositch AF, Langham G, Fader AN. Prevalence of endometrial cancer symptoms among overweight and obese women presenting to a multidisciplinary weight management center. Gynecol Oncol Rep. 2020 Sep 11;34:100643. doi: 10.1016/j.gore.2020.100643. PMID: 32995455; PMCID: PMC7502818.</t>
  </si>
  <si>
    <t xml:space="preserve">Ding DC, Chen W, Wang JH, Lin SZ. Association between polycystic ovarian syndrome and endometrial, ovarian, and breast cancer: A population-based cohort study in Taiwan. Medicine (Baltimore). 2018 Sep;97(39):e12608. doi: 10.1097/MD.0000000000012608. </t>
  </si>
  <si>
    <t>Elfayomy AK, Soliman BS. Risk Factors Associated with the Malignant Changes of Symptomatic and Asymptomatic Endometrial Polyps in Premenopausal Women. J Obstet Gynaecol India. 2015 May;65(3):186-92. doi: 10.1007/s13224-014-0576-6. Epub 2014 Jun 1. PMID: 26085741; PMCID: PMC4464569.</t>
  </si>
  <si>
    <t>Escobedo LG, Lee NC, Peterson HB, Wingo PA. Infertility-associated endometrial cancer risk may be limited to specific subgroups of infertile women. Obstet Gynecol. 1991 Jan;77(1):124-8. PMID: 1984211.</t>
  </si>
  <si>
    <t>Fearnley EJ, Marquart L, Spurdle AB, Weinstein P, Webb PM; Australian Ovarian Cancer Study Group and Australian National Endometrial Cancer Study Group. Polycystic ovary syndrome increases the risk of endometrial cancer in women aged less than 50 years: an Australian case-control study. Cancer Causes Control. 2010 Dec;21(12):2303-8. doi: 10.1007/s10552-010-9658-7. Epub 2010 Oct 17. PMID: 20953904.</t>
  </si>
  <si>
    <t>Gottschau M, Kjaer SK, Jensen A, Munk C, Mellemkjaer L. Risk of cancer among women with polycystic ovary syndrome: a Danish cohort study. Gynecol Oncol. 2015 Jan;136(1):99-103. doi: 10.1016/j.ygyno.2014.11.012. Epub 2014 Nov 20. PMID: 25451694.</t>
  </si>
  <si>
    <t>Hachisuga T, Fukuda K, Iwasaka T, Hirakawa T, Kawarabayashi T, Tsuneyoshi M. Endometrioid adenocarcinomas of the uterine corpus in women younger than 50 years of age can be divided into two distinct clinical and pathologic entities based on anatomic location. Cancer. 2001 Nov 15;92(10):2578-84. doi: 10.1002/1097-0142(20011115)92:10&lt;2578::aid-cncr1610&gt;3.0.co;2-v. PMID: 11745192.</t>
  </si>
  <si>
    <t>Ho SP, Tan KT, Pang MW, Ho TH. Endometrial hyperplasia and the risk of endometrial carcinoma. Singapore Med J. 1997 Jan;38(1):11-5. PMID: 9269346.</t>
  </si>
  <si>
    <t>Iatrakis G, Zervoudis S, Saviolakis A, et al. Women younger than 50 years with endometrial cancer. Eur J Gynaecol Oncol 2006; 27: 399–400.  </t>
  </si>
  <si>
    <t>Kilicdag EB, Haydardedeoglu B, Cok T, Parlakgumus AH, Simsek E, Bolat FA. Polycystic ovary syndrome and increased polyp numbers as risk factors for malignant transformation of endometrial polyps in premenopausal women. Int J Gynaecol Obstet. 2011 Mar;112(3):200-3. doi: 10.1016/j.ijgo.2010.10.014. Epub 2011 Jan 17. PMID: 21247566.</t>
  </si>
  <si>
    <t>Okamura Y, Saito F, Takaishi K, Motohara T, Honda R, Ohba T, Katabuchi H. Polycystic ovary syndrome: early diagnosis and intervention are necessary for fertility preservation in young women with endometrial cancer under 35 years of age. Reprod Med Biol. 2016 Dec 5;16(1):67-71. doi: 10.1002/rmb2.12012. PMID: 29259453; PMCID: PMC5715875.</t>
  </si>
  <si>
    <t xml:space="preserve">Pillay OC, Te Fong LF, Crow JC, Benjamin E, Mould T, Atiomo W, Menon PA, Leonard AJ, Hardiman P. The association between polycystic ovaries and endometrial cancer. Hum Reprod. 2006 Apr;21(4):924-9. doi: 10.1093/humrep/dei420. Epub 2005 Dec 16. </t>
  </si>
  <si>
    <t xml:space="preserve">Rosen, Monica W., Tasset, Julia, Kobernik, Emily K., Smith, Yolanda R., Johnston, Carolyn, &amp; Quint, Elisabeth H. (2019). Risk Factors for Endometrial Cancer or Hyperplasia in Adolescents and Women 25 Years Old or Younger. Journal of Pediatric &amp; Adolescent Gynecology, 32(5), 546- 549. </t>
  </si>
  <si>
    <t>Shu XO, Brinton LA, Zheng W, Gao YT, Fan J, Fraumeni JF Jr. A population-based case-control study of endometrial cancer in Shanghai, China. Int J Cancer. 1991 Aug 19;49(1):38-43. doi: 10.1002/ijc.2910490108. PMID: 1874568.</t>
  </si>
  <si>
    <t>Uehara, T., Mitsuhashi, A., &amp; Shozu, M. (2020). The impact of pre-existing polycystic ovary syndrome on endometrial cancer recurrence. European Journal Of Gynaecological Oncology, 41(5), 668. doi: 10.31083/j.ejgo.2020.05.5038</t>
  </si>
  <si>
    <t>Zucchetto A, Serraino D, Polesel J, Negri E, De Paoli A, Dal Maso L, Montella M, La Vecchia C, Franceschi S, Talamini R. Hormone-related factors and gynecological conditions in relation to endometrial cancer risk. Eur J Cancer Prev. 2009 Aug;18(4):316-21. doi: 10.1097/cej.0b013e328329d830. PMID: 19554665.</t>
  </si>
  <si>
    <t xml:space="preserve">Barry JA, Azizia MM, Hardiman PJ. Risk of endometrial, ovarian and breast cancer in women with polycystic ovary syndrome: a systematic review and meta-analysis. Hum Reprod Update. 2014 Sep-Oct;20(5):748-58. doi: 10.1093/humupd/dmu012. Epub 2014 Mar 30. </t>
  </si>
  <si>
    <t>Chittenden BG, Fullerton G, Maheshwari A, Bhattacharya S. Polycystic ovary syndrome and the risk of gynaecological cancer: a systematic review. Reprod Biomed Online. 2009 Sep;19(3):398-405. doi: 10.1016/s1472-6483(10)60175-7. PMID: 19778486.</t>
  </si>
  <si>
    <t>Haoula Z, Salman M, Atiomo W. Evaluating the association between endometrial cancer and polycystic ovary syndrome. Hum Reprod. 2012 May;27(5):1327-31. doi: 10.1093/humrep/des042. Epub 2012 Feb 24. PMID: 22367984.</t>
  </si>
  <si>
    <t xml:space="preserve">Li Z, Wang YH, Wang LL, Hu DT, Teng Y, Zhang TY, Yan ZY, Wang F, Zou YF. Polycystic ovary syndrome and the risk of endometrial, ovarian and breast cancer: An updated meta-analysis. Scott Med J. 2022 Aug;67(3):109-120. doi: 10.1177/00369330221107099.  </t>
  </si>
  <si>
    <t>Niwa K, Imai A, Hashimoto M, Yokoyama Y, Mori H, Matsuda Y, Tamaya T. A case-control study of uterine endometrial cancer of pre- and post-menopausal women. Oncol Rep. 2000 Jan-Feb;7(1):89-93. PMID: 10601598.</t>
  </si>
  <si>
    <t>Wild S, Pierpoint T, Jacobs H, et al. Long-term consequences of polycystic ovary syndrome: results of a 31 year follow-up study. Hum Fertil (Camb) 2000; 3: 101–105. </t>
  </si>
  <si>
    <t>Baillargeon JP, Carpentier AC. Brothers of women with polycystic ovary syndrome are characterised by impaired glucose tolerance, reduced insulin sensitivity and related metabolic defects. Diabetologia. 2007 Dec;50(12):2424-32. doi: 10.1007/s00125-007-0831-9. Epub 2007 Sep 27. PMID: 17898989; PMCID: PMC3846531.</t>
  </si>
  <si>
    <t>Coviello AD, Sam S, Legro RS, Dunaif A. High prevalence of metabolic syndrome in first-degree male relatives of women with polycystic ovary syndrome is related to high rates of obesity. J Clin Endocrinol Metab. 2009 Nov;94(11):4361-6. doi: 10.1210/jc.2009-1333. Epub 2009 Oct 16. PMID: 19837913; PMCID: PMC2775643.</t>
  </si>
  <si>
    <t>Crisosto N, Ladrón de Guevara A, Echiburú B, Maliqueo M, Cavada G, Codner E, Paez F, Sir-Petermann T. Higher luteinizing hormone levels associated with antimüllerian hormone in postmenarchal daughters of women with polycystic ovary syndrome. Fertil Steril. 2019 Feb;111(2):381-388. doi: 10.1016/j.fertnstert.2018.10.011. Epub 2018 Dec 7. PMID: 30527840.</t>
  </si>
  <si>
    <t>deWilde MA, Eising JB, Gunning MN, Koster MPH, Evelein AMV, Dalmeijer GW, Uiterwaal CSPM, Eijkemans MJC, Ent CKV, Meijboom FJ, Fauser BCJM. Cardiovascular and Metabolic Health of 74 Children From Women Previously Diagnosed With Polycystic Ovary Syndrome in Comparison With a Population-Based Reference Cohort. Reprod Sci. 2018 Oct;25(10):1492-1500. doi: 10.1177/1933719117749761. Epub 2018 Jan 10. PMID: 29320957.</t>
  </si>
  <si>
    <t>Diamanti-Kandarakis E, Alexandraki K, Bergiele A, Kandarakis H, Mastorakos G, Aessopos A. Presence of metabolic risk factors in non-obese PCOS sisters: evidence of heritability of insulin resistance. J Endocrinol Invest. 2004 Nov;27(10):931-6. doi: 10.1007/BF03347535. PMID: 15762040.</t>
  </si>
  <si>
    <t>Kent SC, Gnatuk CL, Kunselman AR, Demers LM, Lee PA, Legro RS. Hyperandrogenism and hyperinsulinism in children of women with polycystic ovary syndrome: a controlled study. J Clin Endocrinol Metab. 2008 May;93(5):1662-9. doi: 10.1210/jc.2007-1958. Epub 2008 Feb 12. PMID: 18270257; PMCID: PMC2386683.</t>
  </si>
  <si>
    <t>Krysiak R, Basiak M, Szkróbka W, Okopień B. The Impact of Telmisartan on Cardiometabolic Risk Factors in Hypertensive Male Siblings of Women With Polycystic Ovary Syndrome. J Clin Pharmacol. 2021 Sep;61(9):1165-1173. doi: 10.1002/jcph.1872. Epub 2021 Jun 17. PMID: 33837974.</t>
  </si>
  <si>
    <t>Krysiak R, Szkróbka W, Okopień B. The impact of atorvastatin on cardiometabolic risk factors in brothers of women with polycystic ovary syndrome. Pharmacol Rep. 2021 Feb;73(1):261-268. doi: 10.1007/s43440-020-00135-w. Epub 2020 Jul 21. Erratum in: Pharmacol Rep. 2021 Oct;73(5):1481. PMID: 32696349; PMCID: PMC8149333.</t>
  </si>
  <si>
    <t>Kulshreshtha B, Sharma N, Pant S, Prasad A, Chitkara A, Pahuja B, Pahuja I. Predictors of Metabolic Syndrome among Polycystic Ovary Syndrome Sisters. J Hum Reprod Sci. 2019 Oct-Dec;12(4):334-340. doi: 10.4103/jhrs.JHRS_172_18. Epub 2019 Dec 17. PMID: 32038085; PMCID: PMC6937762.</t>
  </si>
  <si>
    <t>Legro RS, Kunselman AR, Stetter CM, Gnatuk CL, Estes SJ, Brindle E, Vesper HW, Botelho JC, Lee PA, Dodson WC. Normal Pubertal Development in Daughters of Women With PCOS: A Controlled Study. J Clin Endocrinol Metab. 2017 Jan 1;102(1):122-131. doi: 10.1210/jc.2016-2707. PMID: 27778640; PMCID: PMC5413094.</t>
  </si>
  <si>
    <t xml:space="preserve">Lenarcik, A., Bidzinska-Speichert, B. and Tworowska-Bardzinska, U. (2011) ‘Metabolic Abnormalities in Siblings of Women with Polycystic Ovary Syndrome’, ADVANCES IN CLINICAL AND EXPERIMENTAL MEDICINE, 20(2), pp. 165–175. </t>
  </si>
  <si>
    <t>Sir-Petermann T, Cartes A, Maliqueo M, Vantman D, Gutiérrez C, Toloza H, Echiburú B, Recabarren SE. Patterns of hormonal response to the GnRH agonist leuprolide in brothers of women with polycystic ovary syndrome: a pilot study. Hum Reprod. 2004 Dec;19(12):2742-7. doi: 10.1093/humrep/deh512. Epub 2004 Sep 9. PMID: 15358722.</t>
  </si>
  <si>
    <t>Torchen LC, Idkowiak J, Fogel NR, O'Neil DM, Shackleton CH, Arlt W, Dunaif A. Evidence for Increased 5α-Reductase Activity During Early Childhood in Daughters of Women With Polycystic Ovary Syndrome. J Clin Endocrinol Metab. 2016 May;101(5):2069-75. doi: 10.1210/jc.2015-3926. Epub 2016 Mar 18. PMID: 26990942; PMCID: PMC4870855.</t>
  </si>
  <si>
    <t>Unlühizarci K, Ozocak M, Tanriverdi F, Atmaca H, Keleştimur F. Investigation of hypothalamo-pituitary-gonadal axis and glucose intolerance among the first-degree female relatives of women with polycystic ovary syndrome. Fertil Steril. 2007 Jun;87(6):1377-82. doi: 10.1016/j.fertnstert.2006.11.075. Epub 2007 Mar 6. PMID: 17336975.</t>
  </si>
  <si>
    <t>Vipin VP, Dabadghao P, Shukla M, Kapoor A, Raghuvanshi AS, Ramesh V. Cardiovascular disease risk in first-degree relatives of women with polycystic ovary syndrome. Fertil Steril. 2016 May;105(5):1338-1344.e3. doi: 10.1016/j.fertnstert.2016.01.024. Epub 2016 Feb 4. PMID: 26852421.</t>
  </si>
  <si>
    <t>Wang Y, Guo L, Jiang J, Wang F, Hardiman PJ, Qu F. Development of 1-2 years Offspring Born to Mothers with Polycystic Ovary Syndrome. J Coll Physicians Surg Pak. 2021 Oct;31(10):1186-1190. doi: 10.29271/jcpsp.2021.10.1186. PMID: 34601839.</t>
  </si>
  <si>
    <t>Yildiz BO, Yarali H, Oguz H, Bayraktar M. Glucose intolerance, insulin resistance, and hyperandrogenemia in first degree relatives of women with polycystic ovary syndrome. J Clin Endocrinol Metab. 2003 May;88(5):2031-6. doi: 10.1210/jc.2002-021499. PMID: 12727950.</t>
  </si>
  <si>
    <t>Zhang F, Ying L, Zhang Q, Wang F, Qu F. Association between maternal polycystic ovary syndrome and early childhood growth: a continuous observation from 3 months to 6 years of age. J Assist Reprod Genet. 2022 Feb;39(2):461-471. doi: 10.1007/s10815-021-02378-9. Epub 2022 Jan 20. Erratum in: J Assist Reprod Genet. 2022 Jan 31;: PMID: 35048272; PMCID: PMC8956758.</t>
  </si>
  <si>
    <t>Açmaz G, Albayrak E, Acmaz B, Başer M, Soyak M, Zararsız G, IpekMüderris I. Level of anxiety, depression, self-esteem, social anxiety, and quality of life among the women with polycystic ovary syndrome. ScientificWorldJournal. 2013 Jul 9;2013:851815. doi: 10.1155/2013/851815. PMID: 23935436; PMCID: PMC3725786.</t>
  </si>
  <si>
    <t>Adali E, Yildizhan R, Kurdoglu M, Kolusari A, Edirne T, Sahin HG, Yildizhan B, Kamaci M. The relationship between clinico-biochemical characteristics and psychiatric distress in young women with polycystic ovary syndrome. J Int Med Res. 2008 Nov-Dec;36(6):1188-96. doi: 10.1177/147323000803600604. PMID: 19094426.</t>
  </si>
  <si>
    <t>Ahmadi M, Faramarzi M, Basirat Z, Kheirkhah F, Chehrazi M, Ashabi F. Mental and personality disorders in infertile women with polycystic ovary: a case-control study. Afr Health Sci. 2020 Sep;20(3):1241-1249. doi: 10.4314/ahs.v20i3.28. PMID: 33402971; PMCID: PMC7751531.</t>
  </si>
  <si>
    <t>Akdağ Cirik D, Dilbaz B, Aksakal S, Kotan Z, Özelçi R, Akpınar F, Mollamahmutoğlu L. Do anxiety and depression statuses differ in differentpolycystic ovary syndrome phenotypes? Turk J Med Sci. 2016 Dec 20;46(6):1846-1853. doi: 10.3906/sag-1511-112. PMID: 28081337.</t>
  </si>
  <si>
    <t>Erson Aksu, Elmas Beyazyüz, Yakup Albayrak, Nihan Potas, Ferit Durankuş, Gamze Uvaçin &amp; Murat Beyazyüz (2019) Altered cooperativeness in patients with polycystic ovary syndrome, Psychiatry and Clinical Psychopharmacology, 29:4, 880-886, DOI: 10.1080/24750573.2019.1691357</t>
  </si>
  <si>
    <t>Almis H, Orhon FŞ, Bolu S, Almis BH. Self-Concept, Depression, and Anxiety Levels of Adolescents with Polycystic Ovary Syndrome. J Pediatr Adolesc Gynecol. 2021 Jun;34(3):311-316. doi: 10.1016/j.jpag.2020.12.011. Epub 2020 Dec 23. PMID: 33347988.</t>
  </si>
  <si>
    <t>Altinkaya, O., Nergiz, S., Kucuk, M., &amp; Yuksel, H. (2014). Depression and anxiety in relation with hormonal and metabolic profile in women with polycystic ovarian syndrome. Turkiye Klinikleri J Gynecol Obst, 24(3), 159-65.</t>
  </si>
  <si>
    <t>Alur-Gupta S, Chemerinski A, Liu C, Lipson J, Allison K, Sammel MD, Dokras A. Body-image distress is increased in women with polycystic ovary syndrome and mediates depression and anxiety. Fertil Steril. 2019 Nov;112(5):930-938.e1. doi: 10.1016/j.fertnstert.2019.06.018. Epub 2019 Aug 5. PMID: 31395311; PMCID: PMC6858949.</t>
  </si>
  <si>
    <t>Annagür BB, Tazegül A, Akbaba N. Body Image, Self-Esteem and Depressive Symptomatology in Women with Polycystic Ovary Syndrome. Noro Psikiyatr Ars. 2014 Jun;51(2):129-132. doi: 10.4274/npa.y6778. Epub 2014 Jun 1. PMID: 28360612; PMCID: PMC5353087.</t>
  </si>
  <si>
    <t>Asdaq SMB, Yasmin F. Risk of psychological burden in polycystic ovary syndrome: A case control study in Riyadh, Saudi Arabia. J Affect Disord. 2020 Sep 1;274:205-209. doi: 10.1016/j.jad.2020.05.086. Epub 2020 May 22. PMID: 32469805.</t>
  </si>
  <si>
    <t>Asik M, Altinbas K, Eroglu M, Karaahmet E, Erbag G, Ertekin H, Sen H. Evaluation of affective temperament and anxiety-depression levels of patients with polycystic ovary syndrome. J Affect Disord. 2015 Oct 1;185:214-8. doi: 10.1016/j.jad.2015.06.043. Epub 2015 Jul 26. PMID: 26241866.</t>
  </si>
  <si>
    <t>Balikci A, Erdem M, Keskin U, Bozkurt Zincir S, Gülsün M, Özçelik F, Akgül EÖ, Akarsu S, Öztosun M, Ergün A. Depression, Anxiety, and Anger in Patients with Polycystic Ovary Syndrome. Noro Psikiyatr Ars. 2014 Dec;51(4):328-333. doi: 10.5152/npa.2014.6898. Epub 2014 Dec 1. PMID: 28360650; PMCID: PMC5353166.</t>
  </si>
  <si>
    <t xml:space="preserve">Barry, John A., Hardiman, Paul J., Saxby, Brian K., &amp; Kuczmierczyk, Andrew. (2011). Testosterone and mood dysfunction in women with polycystic ovarian syndrome compared to subfertile controls. Journal of Psychosomatic Obstetrics and Gynaecology, 32(2), 104–111. https://doi.org/10.3109/0167482X.2011.568129. </t>
  </si>
  <si>
    <t>Basirat Z, Faramarzi M, Chehrazi M, Amiri M, Ghofrani F, Tajalli Z. Differences between infertile women with and without PCOS in terms of anxiety, coping styles, personality traits, and social adjustment: a case-control study. Arch Gynecol Obstet. 2020 Feb;301(2):619-626. doi: 10.1007/s00404-019-05391-7. Epub 2019 Nov 27. PMID: 31776708.</t>
  </si>
  <si>
    <t>Basirat Z, Faramarzi M, Esmaelzadeh S, Abedi Firoozjai SH, Mahouti T, Geraili Z. Stress, Depression, Sexual Function, and Alexithymia in Infertile Females with and without Polycystic Ovary Syndrome: A Case-Control Study. Int J Fertil Steril. 2019 Oct;13(3):203-208. doi: 10.22074/ijfs.2019.5703. Epub 2019 Jul 14. PMID: 31310074; PMCID: PMC6642420.</t>
  </si>
  <si>
    <t>Battaglia C, Nappi RE, Mancini F, Cianciosi A, Persico N, Busacchi P, Facchinetti F, Sisti G. PCOS, sexuality, and clitoral vascularisation: a pilot study. J Sex Med. 2008 Dec;5(12):2886-94. doi: 10.1111/j.1743-6109.2008.01010.x. PMID: 19090942.</t>
  </si>
  <si>
    <t>Benson S, Arck PC, Tan S, Hahn S, Mann K, Rifaie N, Janssen OE, Schedlowski M, Elsenbruch S. Disturbed stress responses in women with polycystic ovary syndrome. Psychoneuroendocrinology. 2009 Jun;34(5):727-35. doi: 10.1016/j.psyneuen.2008.12.001. Epub 2009 Jan 15. PMID: 19150179.</t>
  </si>
  <si>
    <t>Benson J, Severn C, Hudnut-Beumler J, Simon SL, Abramson N, Shomaker LB, Gulley LD, Taylor A, Kelsey MM, Nadeau KJ, Zeitler PS, Pyle L, Cree-Green M. Depression in Girls With Obesity and Polycystic Ovary Syndrome and/or Type 2 Diabetes. Can J Diabetes. 2020 Aug;44(6):507-513. doi: 10.1016/j.jcjd.2020.05.015. Epub 2020 Jun 6. PMID: 32792104; PMCID: PMC7428465.</t>
  </si>
  <si>
    <t>Benson S, Janssen OE, Hahn S, Tan S, Dietz T, Mann K, Pleger K, Schedlowski M, Arck PC, Elsenbruch S. Obesity, depression, and chronic low-grade inflammation in women with polycystic ovary syndrome. Brain Behav Immun. 2008 Feb;22(2):177-84. doi: 10.1016/j.bbi.2007.07.003. Epub 2007 Aug 22. PMID: 17716857.</t>
  </si>
  <si>
    <t>Besenek M, Gurlek B. Hyperandrogenism in polycystic ovary syndrome affects psychological well-being of adolescents. J Obstet Gynaecol Res. 2021 Jan;47(1):137-146. doi: 10.1111/jog.14444. Epub 2020 Aug 23. PMID: 32830412.</t>
  </si>
  <si>
    <t>Bhattacharya SM, Jha A. Prevalence and risk of depressive disorders in women with polycystic ovary syndrome (PCOS). Fertil Steril. 2010 Jun;94(1):357-9. doi: 10.1016/j.fertnstert.2009.09.025. Epub 2009 Nov 6. PMID: 19896652.</t>
  </si>
  <si>
    <t>Borghi L, Leone D, Vegni E, Galiano V, Lepadatu C, Sulpizio P, Garzia E. Psychological distress, anger and quality of life in polycystic ovary syndrome: associations with biochemical, phenotypical andsocio-demographic factors. J Psychosom Obstet Gynaecol. 2018 Jun;39(2):128-137. doi: 10.1080/0167482X.2017.1311319. Epub 2017 Apr 6. PMID: 28385114.</t>
  </si>
  <si>
    <t>Caltekin, M., Hamamci, M., Onat, T., Kirmizi, D., Baser, E., &amp; Yalvac, E. (2021). Evaluation of Sleep Quality, Restless Legs Syndrome, Anxiety and Depression in Polycystic Ovary Syndrome. Journal Of Turkish Sleep Medicine, 3, 243-249.</t>
  </si>
  <si>
    <t>Cinar N, Kizilarslanoglu MC, Harmanci A, Aksoy DY, Bozdag G, Demir B, Yildiz BO. Depression, anxiety and cardiometabolic risk in polycystic ovary syndrome. Hum Reprod. 2011 Dec;26(12):3339-45. doi: 10.1093/humrep/der338. Epub 2011 Oct 7. PMID: 21984577.</t>
  </si>
  <si>
    <t>Ozcan Dag Z, Alpua M, Isik Y, Buturak SV, Tulmac OB, Turkel Y. The evaluation of temperament and quality of life in patients with polycystic ovary syndrome. Gynecol Endocrinol. 2017 Mar;33(3):250-253. doi: 10.1080/09513590.2016.1254610. Epub 2016 Dec 2. PMID: 27908217.</t>
  </si>
  <si>
    <t>Davari-Tanha F, Hosseini Rashidi B, Ghajarzadeh M, Noorbala AA. Bipolar disorder in women with polycystic ovarian syndrome (PCO). Acta Med Iran. 2014;52(1):46-8. PMID: 24658986.</t>
  </si>
  <si>
    <t>Deeks AA, Gibson-Helm ME, Paul E, Teede HJ. Is having polycystic ovary syndrome a predictor of poor psychological function including anxiety and depression? Hum Reprod. 2011 Jun;26(6):1399-407. doi: 10.1093/humrep/der071. Epub 2011 Mar 23. PMID: 21436137.</t>
  </si>
  <si>
    <t>Donbaloğlu Z, Tuhan H, Çoban ÖG, Kızılay DÖ, İsmailoğlu E, Önder A, Acar S, Bedel A, Çetiner EB, Singin B, Erdem H, Parlak M. Hyperandrogenism correlates with psychological symptoms in adolescents with polycystic ovary syndrome. Clin Pediatr Endocrinol. 2022;31(2):68-76. doi: 10.1297/cpe.2022-0010. Epub 2022 Mar 19. PMID: 35431449; PMCID: PMC8981047.</t>
  </si>
  <si>
    <t>Dybciak P, Humeniuk E, Raczkiewicz D, Krakowiak J, Wdowiak A, Bojar I. Anxiety and Depression in Women with Polycystic Ovary Syndrome. Medicina (Kaunas). 2022 Jul 16;58(7):942. doi: 10.3390/medicina58070942. PMID: 35888661; PMCID: PMC9319705.</t>
  </si>
  <si>
    <t>Elsenbruch S, Hahn S, Kowalsky D, Offner AH, Schedlowski M, Mann K, Janssen OE. Quality of life, psychosocial well-being, and sexual satisfaction in women with polycystic ovary syndrome. J Clin Endocrinol Metab. 2003 Dec;88(12):5801-7. doi: 10.1210/jc.2003-030562. PMID: 14671172.</t>
  </si>
  <si>
    <t>Emeksiz HC, Bideci A, Nalbantoğlu B, Nalbantoğlu A, Çelik C, Yulaf Y, Çamurdan MO, Cinaz P. Anxiety and depression states of adolescents with polycystic ovary syndrome. Turk J Med Sci. 2018 Jun 14;48(3):531-536. doi: 10.3906/sag-1708-131. PMID: 29914248.</t>
  </si>
  <si>
    <t>Enjezab B, Eftekhar M, Ghadiri-Anari A. Association between severity of depression and clinico-biochemical markers of polycystic ovary syndrome. Electron Physician. 2017 Nov 25;9(11):5820-5825. doi: 10.19082/5820. PMID: 29403625; PMCID: PMC5783134.</t>
  </si>
  <si>
    <t>Ercan CM, Coksuer H, Aydogan U, Alanbay I, Keskin U, Karasahin KE, Baser I. Sexual dysfunction assessment and hormonal correlations in patients with polycystic ovary syndrome. Int J Impot Res. 2013 Jul-Aug;25(4):127-32. doi: 10.1038/ijir.2013.2. Epub 2013 Feb 14. PMID: 23407282.</t>
  </si>
  <si>
    <t>Ghazeeri G, Ibrahim N, Khalifeh F, Beyrouthy C, El-Taha L, Bizri M. Character strengths of women with polycystic ovary syndrome in a single center. PLoS One. 2022 Apr 1;17(4):e0266398. doi: 10.1371/journal.pone.0266398. PMID: 35363827; PMCID: PMC8975165.</t>
  </si>
  <si>
    <t>Ghazeeri G, Fakih A, Abbas HA, Harajly S, Awwad J. Anxiety, cognitive, and depressive assessment in adolescents with polycystic ovarian syndrome: a pilot study. J Pediatr Adolesc Gynecol. 2013 Oct;26(5):269-73. doi: 10.1016/j.jpag.2013.04.005. Epub 2013 Jul 10. PMID: 23849090.</t>
  </si>
  <si>
    <t>Glowinska A, Duleba AJ, Zielona-Jenek M, Siakowska M, Pawelczyk L, Banaszewska B. Disparate Relationship of Sexual Satisfaction, Self-Esteem, Anxiety, and Depression with Endocrine Profiles of Women With or Without PCOS. Reprod Sci. 2020 Jan;27(1):432-442. doi: 10.1007/s43032-019-00061-0. Epub 2020 Jan 1. PMID: 32046411.</t>
  </si>
  <si>
    <t>Greenwood EA, Yaffe K, Wellons MF, Cedars MI, Huddleston HG. Depression Over the Lifespan in a Population-Based Cohort of Women With Polycystic Ovary Syndrome: Longitudinal Analysis. J Clin Endocrinol Metab. 2019 Jul 1;104(7):2809-2819. doi: 10.1210/jc.2019-00234. PMID: 30985868; PMCID: PMC6534493.</t>
  </si>
  <si>
    <t>Hahn S, Janssen OE, Tan S, Pleger K, Mann K, Schedlowski M, Kimmig R, Benson S, Balamitsa E, Elsenbruch S. Clinical and psychological correlates of quality-of-life in polycystic ovary syndrome. Eur J Endocrinol. 2005 Dec;153(6):853-60. doi: 10.1530/eje.1.02024. PMID: 16322391.</t>
  </si>
  <si>
    <t>HARMANCI, H., HERGÜNER, S., &amp; TOY, H. (2013). Polikistik Over Sendromu olan Kadınlarda Psikiyatrik Belirtiler / Psychiatric Symptoms in Women with Polycystic Ovary Syndrome. Dusunen Adam: The Journal Of Psychiatry And Neurological Sciences, 26, 157-163. doi: 10.5350/dajpn2013260205</t>
  </si>
  <si>
    <t>Harnod, T., Tsai, I., Wang, J., Lin, S., &amp; Ding, D. (2020). Women with polycystic ovary syndrome associated with increased anxiety risk: A population-based cohort study in Taiwan. Journal Of Affective Disorders, 273, 532-537. doi: 10.1016/j.jad.2020.04.032</t>
  </si>
  <si>
    <t>Himelein MJ, Thatcher SS. Depression and body image among women with polycystic ovary syndrome. J Health Psychol. 2006 Jul;11(4):613-25. doi: 10.1177/1359105306065021. PMID: 16769740.</t>
  </si>
  <si>
    <t>Hollinrake E, Abreu A, Maifeld M, Van Voorhis BJ, Dokras A. Increased risk of depressive disorders in women with polycystic ovary syndrome. Fertil Steril. 2007 Jun;87(6):1369-76. doi: 10.1016/j.fertnstert.2006.11.039. Epub 2007 Mar 29. PMID: 17397839.</t>
  </si>
  <si>
    <t>Hussain A, Chandel RK, Ganie MA, Dar MA, Rather YH, Wani ZA, Shiekh JA, Shah MS. Prevalence of psychiatric disorders in patients with a diagnosis of polycystic ovary syndrome in kashmir. Indian J Psychol Med. 2015 Jan-Mar;37(1):66-70. doi: 10.4103/0253-7176.150822. PMID: 25722515; PMCID: PMC4341314.</t>
  </si>
  <si>
    <t>Jedel E, Waern M, Gustafson D, Landén M, Eriksson E, Holm G, Nilsson L, Lind AK, Janson PO, Stener-Victorin E. Anxiety and depression symptoms in women with polycystic ovary syndrome compared with controls matched for body mass index. Hum Reprod. 2010 Feb;25(2):450-6. doi: 10.1093/humrep/dep384. Epub 2009 Nov 19. PMID: 19933236.</t>
  </si>
  <si>
    <t>Komarowska H, Stangierski A, Warmuz-Stangierska I, Lodyga M, Ochmanska K, Wasko R, Wanic-Kossowska M, Ruchala M. Differences in the psychological and hormonal presentation of lean and obese patients with polycystic ovary syndrome. Neuro Endocrinol Lett. 2013;34(7):669-74. PMID: 24464003.</t>
  </si>
  <si>
    <t>Karjula S, Morin-Papunen L, Auvinen J, Ruokonen A, Puukka K, Franks S, Järvelin MR, Tapanainen JS, Jokelainen J, Miettunen J, Piltonen TT. Psychological Distress Is More Prevalent in Fertile Age and Premenopausal Women With PCOS Symptoms: 15-Year Follow-Up. J Clin Endocrinol Metab. 2017 Jun 1;102(6):1861-1869. doi: 10.1210/jc.2016-3863. PMID: 28323926; PMCID: PMC5470769.</t>
  </si>
  <si>
    <t>Aydogan Kirmizi D, Baser E, Onat T, Demir Caltekin M, Yalvac ES, Kara M, Gocmen AY. Sexual function and depression in polycystic ovary syndrome: Is it associated with inflammation and neuromodulators? Neuropeptides. 2020 Dec;84:102099. doi: 10.1016/j.npep.2020.102099. Epub 2020 Oct 23. PMID: 33120204.</t>
  </si>
  <si>
    <t>Koseoglu SB, Koseoglu S, Deveer R, Derin S, Kececioglu M, Sahan M. Impaired olfactory function in patients with polycystic ovary syndrome. Kaohsiung J Med Sci. 2016 Jun;32(6):313-6. doi: 10.1016/j.kjms.2016.04.015. Epub 2016 Jun 1. PMID: 27377844.</t>
  </si>
  <si>
    <t>Laggari V, Diareme S, Christogiorgos S, Deligeoroglou E, Christopoulos P, Tsiantis J, Creatsas G. Anxiety and depression in adolescents with polycystic ovary syndrome and Mayer-Rokitansky-Küster-Hauser syndrome. J Psychosom Obstet Gynaecol. 2009 Jun;30(2):83-8. doi: 10.1080/01674820802546204. PMID: 19533486.</t>
  </si>
  <si>
    <t>Lee I, Cooney LG, Saini S, Smith ME, Sammel MD, Allison KC, Dokras A. Increased risk of disordered eating in polycystic ovary syndrome. Fertil Steril. 2017 Mar;107(3):796-802. doi: 10.1016/j.fertnstert.2016.12.014. Epub 2017 Jan 16. PMID: 28104244.</t>
  </si>
  <si>
    <t>Li SJ, Zhou DN, Li W, Yang J. Mental health status assessment in polycystic ovarian syndrome infertility patients: A pilot study. J Huazhong Univ Sci Technolog Med Sci. 2017 Oct;37(5):750-754. doi: 10.1007/s11596-017-1799-4. Epub 2017 Oct 20. PMID: 29058290.</t>
  </si>
  <si>
    <t>Månsson M, Norström K, Holte J, Landin-Wilhelmsen K, Dahlgren E, Landén M. Sexuality and psychological wellbeing in women with polycystic ovary syndrome compared with healthy controls. Eur J Obstet Gynecol Reprod Biol. 2011 Apr;155(2):161-5. doi: 10.1016/j.ejogrb.2010.12.012. Epub 2011 Jan 12. PMID: 21232840.</t>
  </si>
  <si>
    <t>Månsson M, Holte J, Landin-Wilhelmsen K, Dahlgren E, Johansson A, Landén M. Women with polycystic ovary syndrome are often depressed or anxious--a case control study. Psychoneuroendocrinology. 2008 Sep;33(8):1132-8. doi: 10.1016/j.psyneuen.2008.06.003. Epub 2008 Jul 30. PMID: 18672334.</t>
  </si>
  <si>
    <t>March WA, Whitrow MJ, Davies MJ, Fernandez RC, Moore VM. Postnatal depression in a community-based study of women with polycystic ovary syndrome. Acta Obstet Gynecol Scand. 2018 Jul;97(7):838-844. doi: 10.1111/aogs.13332. Epub 2018 Mar 13. PMID: 29460299.</t>
  </si>
  <si>
    <t>Maya J, Siegel J, Cheng TQ, Rousseau-Pierre T. Prevalence and risk factors of polycystic ovarian syndrome among an ethnically diverse overweight/obese adolescent population. Int J Adolesc Med Health. 2020 Jan 11;34(1). doi: 10.1515/ijamh-2019-0109. PMID: 31926080.</t>
  </si>
  <si>
    <t>Mehrabadi S, Sadatmahalleh SJ, Kazemnejad A, Moini A. Association of acne, hirsutism, androgen, anxiety, and depression on cognitive performance in polycystic ovary syndrome: A cross-sectional study. Int J Reprod Biomed. 2020 Dec 21;18(12):1049-1058. doi: 10.18502/ijrm.v18i12.8026. PMID: 33426415; PMCID: PMC7778752.</t>
  </si>
  <si>
    <t>Moran L, Gibson-Helm M, Teede H, Deeks A. Polycystic ovary syndrome: a biopsychosocial understanding in young women to improve knowledge and treatment options. J Psychosom Obstet Gynaecol. 2010 Mar;31(1):24-31. doi: 10.3109/01674820903477593. PMID: 20050767.</t>
  </si>
  <si>
    <t>Moran LJ, Deeks AA, Gibson-Helm ME, Teede HJ. Psychological parameters in the reproductive phenotypes of polycystic ovary syndrome. Hum Reprod. 2012 Jul;27(7):2082-8. doi: 10.1093/humrep/des114. Epub 2012 Apr 4. PMID: 22493025.</t>
  </si>
  <si>
    <t>Moran LJ, March WA, Whitrow MJ, Giles LC, Davies MJ, Moore VM. Sleep disturbances in a community-based sample of women with polycystic ovary syndrome. Hum Reprod. 2015 Feb;30(2):466-72. doi: 10.1093/humrep/deu318. Epub 2014 Nov 28. PMID: 25432918.</t>
  </si>
  <si>
    <t>Mukundan, A., &amp; Jayakumari, S. (2019). RISK OF DEVELOPING DEPRESSION AND ITS IMPACT ON QUALITY OF LIFE IN PATIENTS WITH POLYCYSTIC OVARY SYNDROME - A SOUTH INDIAN SCENARIO. International Journal Of Pharmaceutical Sciences And Research, 10(6), 2956-2961.</t>
  </si>
  <si>
    <t>Naumova I, Castelo-Branco C, Casals G. Psychological Issues and Sexual Function in Women with Different Infertility Causes: Focus on Polycystic Ovary Syndrome. Reprod Sci. 2021 Oct;28(10):2830-2838. doi: 10.1007/s43032-021-00546-x. Epub 2021 Mar 24. PMID: 33763818.</t>
  </si>
  <si>
    <t>Özdemir O, Kurdoglu Z, Yıldız S, Özdemir PG, Yilmaz E. The relationship between atypical depression and insülin resistance in patients with polycystic ovary syndrome and major depression. Psychiatry Res. 2017 Dec;258:171-176. doi: 10.1016/j.psychres.2016.11.043. Epub 2016 Dec 3. PMID: 28168992.</t>
  </si>
  <si>
    <t>Ozenli, Y., Haydardedeoglu, B., Micozkadioglu, I., Simsek, E., Bulgan Kilicdag, E., &amp; Bagis, T. (2008). Anxiety, Depression and Ways of Coping Skills by Women with Polycystic Ovary Syndrome: A Controlled Study. J Turkish-German Gynecol Assoc, 9(4), 190-194.</t>
  </si>
  <si>
    <t>Öztürk A, Kucur SK, Seven A, Deveci E, Şencan H, Yilmaz O, Kiliç A. Temperament and character differences of patients with polycystic ovary syndrome. J Gynecol Obstet Hum Reprod. 2019 Apr;48(4):255-259. doi: 10.1016/j.jogoh.2019.01.006. Epub 2019 Jan 31. PMID: 30711689.</t>
  </si>
  <si>
    <t>Pastore LM, Patrie JT, Morris WL, Dalal P, Bray MJ. Depression symptoms and body dissatisfaction association among polycystic ovary syndrome women. J Psychosom Res. 2011 Oct;71(4):270-6. doi: 10.1016/j.jpsychores.2011.02.005. Epub 2011 Mar 23. PMID: 21911106; PMCID: PMC3172572.</t>
  </si>
  <si>
    <t>Sahingöz M, Uguz F, Gezginc K, Korucu DG. Axis I and Axis II diagnoses in women with PCOS. Gen Hosp Psychiatry. 2013 Sep-Oct;35(5):508-11. doi: 10.1016/j.genhosppsych.2013.04.003. Epub 2013 May 30. PMID: 23726743.</t>
  </si>
  <si>
    <t>Sari SA, Celik N, Uzun Cicek A. Body Perception, Self-Esteem, and Comorbid Psychiatric Disorders in Adolescents Diagnosed with Polycystic Ovary Syndrome. J Pediatr Adolesc Gynecol. 2020 Dec;33(6):691-696. doi: 10.1016/j.jpag.2020.08.018. Epub 2020 Sep 9. PMID: 32916303.</t>
  </si>
  <si>
    <t>Sayyah-Melli M, Alizadeh M, Pourafkary N, Ouladsahebmadarek E, Jafari-Shobeiri M, Abbassi J, Kazemi-Shishvan MA, Sedaghat K. Psychosocial Factors Associated with Polycystic Ovary Syndrome: a Case Control Study. J Caring Sci. 2015 Sep 1;4(3):225-31. doi: 10.15171/jcs.2015.023. PMID: 26464839; PMCID: PMC4591610.</t>
  </si>
  <si>
    <t>Shi X, Zhang L, Fu S, Li N. Co-involvement of psychological and neurological abnormalities in infertility with polycystic ovarian syndrome. Arch Gynecol Obstet. 2011 Sep;284(3):773-8. doi: 10.1007/s00404-011-1947-1. Epub 2011 Jun 19. PMID: 21688169.</t>
  </si>
  <si>
    <t>Soyupek F, Guney M, Eris S, Cerci S, Yildiz S, Mungan T. Evaluation of hand functions in women with polycystic ovary syndrome. Gynecol Endocrinol. 2008 Oct;24(10):571-5. doi: 10.1080/09513590802288218. PMID: 19012100.</t>
  </si>
  <si>
    <t>Soyupek, F., Yildiz, S., Akkus, S., Guney, M., Mungan, M., &amp; Eris, S. (2010). The Frequency of Fibromyalgia Syndrome in Patients with Polycystic Ovary Syndrome. Journal Of Musculoskeletal Pain, 18(2), 120-126. doi: 10.3109/10582452.2010.483968</t>
  </si>
  <si>
    <t>Sulaiman MA, Al-Farsi YM, Al-Khaduri MM, Waly MI, Saleh J, Al-Adawi S. Psychological burden among women with polycystic ovarian syndrome in Oman: a case-control study. Int J Womens Health. 2017 Dec 12;9:897-904. doi: 10.2147/IJWH.S145383. PMID: 29276413; PMCID: PMC5731436.</t>
  </si>
  <si>
    <t>Tan J, Wang QY, Feng GM, Li XY, Huang W. Increased Risk of Psychiatric Disorders in Women with Polycystic Ovary Syndrome in Southwest China. Chin Med J (Engl). 2017 Feb 5;130(3):262-266. doi: 10.4103/0366-6999.198916. PMID: 28139507; PMCID: PMC5308006.</t>
  </si>
  <si>
    <t>Tseng PH, Chiu HM, Tu CH, Wu MS, Ho HN, Chen MJ. Obesity Exacerbates Irritable Bowel Syndrome-Related Sleep and Psychiatric Disorders in Women With Polycystic Ovary Syndrome. Front Endocrinol (Lausanne). 2021 Nov 16;12:779456. doi: 10.3389/fendo.2021.779456. PMID: 34867827; PMCID: PMC8635163.</t>
  </si>
  <si>
    <t>Varanasi LC, Subasinghe A, Jayasinghe YL, Callegari ET, Garland SM, Gorelik A, Wark JD. Polycystic ovarian syndrome: Prevalence and impact on the wellbeing of Australian women aged 16-29 years. Aust N Z J Obstet Gynaecol. 2018 Apr;58(2):222-233. doi: 10.1111/ajo.12730. Epub 2017 Oct 19. PMID: 29052216.</t>
  </si>
  <si>
    <t>Weiner CL, Primeau M, Ehrmann DA. Androgens and mood dysfunction in women: comparison of women with polycystic ovarian syndrome to healthy controls. Psychosom Med. 2004 May-Jun;66(3):356-62. doi: 10.1097/01.psy.0000127871.46309.fe. PMID: 15184695.</t>
  </si>
  <si>
    <t>Zachurzok A, Pasztak-Opilka A, Gawlik AM. Depression, anxiety and self-esteem in adolescent girls with polycystic ovary syndrome. Ginekol Pol. 2021 Mar 10. doi: 10.5603/GP.a2021.0042. Epub ahead of print. PMID: 33751507.</t>
  </si>
  <si>
    <t>Deniz A, Kehribar DY. Evaluation of sexual functions in infertile Women with Polycystic Ovary Syndrome. Niger J Clin Pract. 2020 Nov;23(11):1548-1554. doi: 10.4103/njcp.njcp_15_20. PMID: 33221780.</t>
  </si>
  <si>
    <t>Zueff LN, Lara LA, Vieira CS, Martins Wde P, Ferriani RA. Body composition characteristics predict sexual functioning in obese women with or without PCOS. J Sex Marital Ther. 2015;41(3):227-37. doi: 10.1080/0092623X.2013.864369. Epub 2014 Jan 23. PMID: 24274091.</t>
  </si>
  <si>
    <t>Benetti-Pinto, C.L., Ferreira, S.R., Antunes Jr, A. and Yela, D.A., (2014). The influence of body weight on sexual function and quality of life in women with polycystic ovary syndrome. Arch Gynecol Obstet. 2014; doi: 10.1007/s00404-014-3423-1. </t>
  </si>
  <si>
    <t>Caruso, S., Rugolo, S., Agnello, C., Romano, M. and Cianci, A., (2009). Quality of sexual life in hyperandrogenic women treated with an oral contraceptive containing chlormadinone acetate. J Sex Med. 2009; 6, 3376-84.  doi: 10.1111/j.1743-6109.2009.01529.x.</t>
  </si>
  <si>
    <t>Diamond, M.P., Legro, R.S., Coutifaris, C., Alvero, R., Robinson, R.D., Casson, P.A., Christman, G.M., Huang, H., Hansen, K.R., Baker, V., Usadi, R., Seungdamrong, A., Bates, G.W., Rosen, R.M., Schlaff, W., Haisenleder, D., Krawetz, S.A., Barnhart, K., Trussell, J.C., Santoro, N., Eisenberg, E. and Zhang, H., (2017). Sexual function in infertile women with polycystic ovary syndrome and unexplained infertility. Am J Obstet Gynecol.2017. doi: 10.1016/j.ajog.2017.04.034.</t>
  </si>
  <si>
    <t>Drosdzol, A., Skrzypulec, V., Mazur, B. and Pawlinska-Chmara, R., (2007). Quality of life and marital sexual satisfaction in women with polycystic ovary syndrome. Folia Histochem Cytobiol. 2007; 45, 93-97. doi.org/10.2478/4495.</t>
  </si>
  <si>
    <t>Elkhiat, Y., Zedan, A., Mostafa, M. and Elhalwagi, A., (2015). Sexual desire in a sample of married Egyptian women with polycystic ovarian syndrome. Human Andrology. 2015; 5(3):49-57. DOI:10.1097/01.XHA.0000470182.71509.1b</t>
  </si>
  <si>
    <t>Elsenbruch, S., Hahn, S., Kowalsky, D., Offner, A.H., Schedlowski, M., Mann, K. and Janssen, O.E., (2003). Quality of Life, Psychosocial Well-Being, and Sexual Satisfaction in Women with Polycystic Ovary Syndrome. J Clin Endocrinol Metab 88, 5801-5807. 2013. doi: 10.1210/jc.2003-030562.</t>
  </si>
  <si>
    <t>Ercan, C.M., Coksuer, H., Aydogan, U., Alanbay, I., Keskin, U., Karasahin, K.E. and Baser, I., (2013). Sexual dysfunction assessment and hormonal correlations in patients with polycystic ovary syndrome. Int J Impotence Res. 2013; 25, 127-132. doi: 10.1038/ijir.2013.2. </t>
  </si>
  <si>
    <t>Ferraresi, S.R., Lara, L.A.S., Reis, R.M. and de Sa Rosa e Silva, A.C.J.,( 2013). Changes in Sexual Function among Women with Polycystic Ovary Syndrome: A Pilot Study. J Sex Med. 2013; 10, 467-473. DOI: 10.1111/jsm.12011</t>
  </si>
  <si>
    <t>Gateva, A. and Kamenov, Z., (2012). Sexual Function in Patients with PCOS and/or Obesity before and after Metformin Treatment. Advances in Sexual Medicine. 2012.  DOI: 10.4236/asm.2012.22005.</t>
  </si>
  <si>
    <t>Hahn, S., Janssen, O.E., Tan, S., Pleger, K., Mann, K., Schedlowski, M., Kimmig, R., Benson, S., Balamitsa, E. and Elsenbruch, S., (2005). Clinical and psychological correlates of quality-of-life in polycystic ovary syndrome. Eur J Endocrinol. 2005, 153, 853-60. doi: 10.1530/eje.1.02024.</t>
  </si>
  <si>
    <t>Kowalczyk, R., Skrzypulec-Plinta, V., Nowosielski, K. and Lew-Starowicz, Z., (2015). Sexuality in women with polycystic ovary syndrome. Ginekol Pol. 2015; 86, 100-106. doi: 10.17772/gp/1995.</t>
  </si>
  <si>
    <t>Mansson, M., Norstrom, K., Holte, J., Landin-Wilhelmsen, K., Dahlgren, E. and Landen, M., (2011). Sexuality and psychological wellbeing in women with polycystic ovary syndrome compared with healthy controls. Eur J Obstet Gynecol Reprod Biol. 2011; 155, 161-5. doi: 10.1016/j.ejogrb.2010.12.012.</t>
  </si>
  <si>
    <t>Noroozzadeh, M., Tehrani, F.R., Mobarakabadi, S.S., Farahmand, M. and Dovom, M.R., (2016). Sexual function and hormonal profiles in women with and without polycystic ovary syndrome: a population-based study. Int J Impotence Res. 2016.  doi: 10.1038/ijir.2016.35. </t>
  </si>
  <si>
    <t>Shafti, V. and Shahbazi, S., (2016). Comparing sexual function and quality of life in polycystic ovary syndrome and healthy women. J Fam Reprod Health. 2016; 10, 92-98.</t>
  </si>
  <si>
    <t>Stovall, D.W., Scriver, J.L., Clayton, A.H., Williams, C.D. and Pastore, L.M., (2012). Sexual function in women with polycystic ovary syndrome. J Sex Med 2012; 9, 224-230. doi: 10.1111/j.1743-6109.2011.02539.x.</t>
  </si>
  <si>
    <t>Tan, S., Hahn, S., Benson, S., Janssen, O.E., Dietz, T., Kimmig, R., Hesse-Hussain, J., Mann, K., Schedlowski, M., Arck, P.C. and Elsenbruch, S., (2008). Psychological implications of infertility in women with polycystic ovary syndrome. Hum Reprod. 2008; 23, 2064-71. doi: 10.1093/humrep/den227.</t>
  </si>
  <si>
    <t>Zueff, L.N., Lara, L.A., Vieira, C.S., Martins Wde, P. and Ferriani, R.A., (2015). Body composition characteristics predict sexual functioning in obese women with or without PCOS. J Sex Marital Ther. 2015; 41, 227-37. doi: 10.1080/0092623X.2013.864369.</t>
  </si>
  <si>
    <t>Akbari Sene A, Tahmasbi B, Keypour F, Zamanian H, Golbabaei F, Amini-Tehrani M. (2021) Differences in and correlates of sexual function in infertile women with and without polycystic ovary syndrome. Int J Fertil Steril. 2021; 15(1): 65-72. doi: 10.22074/IJFS.2021.6206.</t>
  </si>
  <si>
    <t>Ashrafi, M., Jahangiri, N., Sadatmahalleh, S.J., Mirzaei, N., Hesari, N.G., Rostami, F., Mousavi, S.S., &amp; Zeinaloo, M. (2022). Does prevalence of sexual dysfunction differ among the most common casuse of infertility? A cross-sectional study. BMC Women’s Health, 2022: 22:140. doi.org/10.1186/s12905-022-01708-y</t>
  </si>
  <si>
    <t>Aydogan Kirmizi, D, Base, E, Onat, T, Caltekin, MD, Yalvac, ES, Kara, M &amp; Gocmen, AY. (2020). Sexual function and depression in polycystic ovary syndrome: is it associated with inflammation and neuromdulators?  Neuropeptides. 2020; 84. 10.1016/j.npep.2020.102099</t>
  </si>
  <si>
    <t>Basirat, Z, Faramarzi, M, Esmaelzadeh, S, Firoozjai, SA, Mahouti, T, &amp; Geraili, Z. (2019) Stress, depression, sexual function, and alexithymia in infertile females with and without polycystic ovary syndrome: a case-control study. Int J Fert STerl. 2019;13(3):203-208. doi: 10.22074/ijfs.2019.5703.</t>
  </si>
  <si>
    <t>Deniz, A &amp; Kehribar, DY. (2020). Evalulation of sexual functions in infertile women with polycystic ovary syndrome. Niger J Clin Pract, 2020; 23:1548-54. DOI: 10.4103/njcp.njcp_15_20</t>
  </si>
  <si>
    <t>Glowinska, A, Duleba, AJ, Zielona-Jenek, M, Siakoswka, M, Pawelczyk, L, &amp; Banaszweska, B. (2020). Disparate Relationship of sexual satisfaction, self-esteem, anxiety, and depression with endocrine profiles of women with or without PCOS. Reproductive Sciences, 2020; 27:432-44. doi.org/10.1007/s43032-019-00061-0</t>
  </si>
  <si>
    <t>Karsten, MDA, Wekker, V, Groen, H, Painter, RC, Mol, BWJ, Laan, ETM, Roseboom, TJ, &amp; Hoek, A. (2021). The role of PCOS in mental health and sexual function in women with obesity and a history of infertility. Human Reproduction Open. 2021;1:1-11. doi.org/10.1093/hropen/hoab038</t>
  </si>
  <si>
    <t>Kaluzna, M, Nomejko, A, Slowinska, A, Wachowiak-Ochmanska, K, Pikosz, K, Ziemnicka, K, &amp; Ruchala, M. (2021). Lower sexual satisfaction in women with polycystic ovary syndrome and metabolic syndrome. Endocrine connnections. 2021;10(9):1035-1044. doi.org/10.1530/EC-21-0257</t>
  </si>
  <si>
    <t>Mantzou, D, Stamou, MI, Armeni, AK, Roupas, ND, Assimakopoulos, K, Adonakis, G, Georgopoulos, NA &amp; Markantes, GK. (2021). Impaired sexual function in young women with PCOS: the detrimental effect of anovulation. J Sexual Medicine, 2021;18:1872-1879. doi.org/10.1016/j.jsxm.2021.09.004</t>
  </si>
  <si>
    <t>Naumova, I, Castelo-Branco, C, &amp; Casals, G. (2021). Psychological issues and sexual function in women with different infertility causes: focus on polycystic ovary syndrome. Reproductive Sciences. 2021;28:2830-2838. doi.org/10.1007/s43032-021-00546-x</t>
  </si>
  <si>
    <t>Thagavi, SA, Aramesh, S, Azizi-Kutenaee, M, Allan, H, Safarzadeh, T, Taheri, M, Salari, S, Khashavi &amp; Bazarganipour, F. (2021) The influence of infertility on sexual and marital satisfaction in Iranian women with polycystic ovary syndrome: a case-control study. Middel East Fertilty Society Journal. 2021;26(2). doi.org/10.1186/s43043-020-00047-y</t>
  </si>
  <si>
    <t xml:space="preserve">Alur-Gupta, S., Chemerinski, A., Dokras, A., Liu, C., Lipson, J., Allison, K., &amp; Sammel Mary D. AO - Dokras, A. O. http://orcid. org/0000-0002-1085-3969. (2019). Body-image distress is increased in women with polycystic ovary syndrome and mediates depression and anxiety. Fertility and Sterility, 112(5), 930. </t>
  </si>
  <si>
    <t>Annagür BB, Tazegül A, Akbaba N. Body Image, Self-Esteem and Depressive Symptomatology in Women with Polycystic Ovary Syndrome. Noro Psikiyatr Ars. 2014 Jun;51(2):129-132</t>
  </si>
  <si>
    <t xml:space="preserve">Azizi Kutenaee, M., Amirjani, S., Taghavi, S.-A., Asemi, Z., Allan, H., Kamalnadian, S.-N., Khashavi, Z., &amp; Bazarganipour, F. (2020). The impact of depression, self-esteem, and body image on sleep quality in patients with PCOS: a cross-sectional study. Sleep and Breathing, 24(3), 1027–1034. </t>
  </si>
  <si>
    <t xml:space="preserve">Deeks, A. A., Gibson-Helm, M. E., Paul, E., &amp; Teede, H. J. (2011). Is having polycystic ovary syndrome a predictor of poor psychological function including anxiety and depression? Human Reproduction, 26(6), 1399–1407. </t>
  </si>
  <si>
    <t>Himelein, M. J., &amp; Thatcher, S. S. (2006). Depression and body image among women with polycystic ovary syndrome. Journal of Health Psychology, 11(4), 613–625.</t>
  </si>
  <si>
    <t>Karacan, E., Caglar, G. S., Gursoy, A. Y., &amp; Yilmaz, M. B. (2014). Body satisfaction and eating attitudes among girls and young women with and without polycystic ovary syndrome. Journal of Pediatric and Adolescent Gynecology, 27(2), 72–77.</t>
  </si>
  <si>
    <t xml:space="preserve">Morotti, E., Battaglia, B., Fabbri, R., Meriggiola, M. C., Venturoli, S., Battaglia, C., &amp; Persico, N. (2013). Body imaging and sexual behavior in lean women with polycystic ovary syndrome. Journal of Sexual Medicine, 10(11), 2752–2760. </t>
  </si>
  <si>
    <t>Pastore, L. M., Dalal, P., Bray, M. J., Patrie, J. T., &amp; Morris, W. L. (2011). Depression symptoms and body dissatisfaction association among polycystic ovary syndrome women. Journal of Psychosomatic Research, 71(4), 270–276.</t>
  </si>
  <si>
    <t xml:space="preserve">Scaruffi, E., Franzoi, I. G., Civilotti, C., Guglielmucci, F., la Marca, L., Tomelini, M., Veglia, F., &amp; Granieri, A. (2019). Body image, personality profiles and alexithymia in patients with polycystic ovary syndrome (PCOS). Journal of Psychosomatic Obstetrics and Gynaecology, 40(4), 294–303. </t>
  </si>
  <si>
    <t>Hollinrake, E., Abrea, A., Maifield, M., Van Voorhis, B., Dokras, A. (2007). Increased risk of depressive disorders in women with polycystic ovary syndrome. Fertility and Sterility, 2007.</t>
  </si>
  <si>
    <t>Mansson, M., Holte, J., Landin-Wilhelmsen, K., Dahlgren, E., Johansson, A., Landen, M. (2008). Women with polycystic ovary syndrome are often depressed or anxious—a case control study. Psychoneuroendocrinology, 2008.</t>
  </si>
  <si>
    <t>Batcheller, A., Ressler, I., Sroga, J., Martinez, A., Thomas, M., Di Paola, K. (2013). Binge eating disorder in the infertile polycystic ovary syndrome patient. Fertility and Sterility, 2013.</t>
  </si>
  <si>
    <t>Karacan, E., Caglar, G., Gursoy, A., Yilmaz, M. (2014). Body satisfaction and eating attitudes among girls and young women with and without polycystic ovary syndrome. Journal of Pediatric &amp; Adolescent Gynecology, 2014.</t>
  </si>
  <si>
    <t>Larsson, I., Hulthen, L., Landen, M., Palsson, E., Janson, P., Stener-Victorin, E. (2016). Dietary intake, resting energy expenditure, and eating behavior in women with and without polycystic ovary syndrome. Clinical Nutrition, 2016.</t>
  </si>
  <si>
    <t>Lee, I., Cooney, L., Saini, S., Smith, M., Allison, K. Dokras, A. (2016). Increased risk of eating disorders in women with polycystic ovary syndrome. Fertility and Sterility, 2016.</t>
  </si>
  <si>
    <t>Jeanes, Y., Reeves, S., Gibson, E., Piggot, C., May, V., Hart, K. (2017). Binge eating behaviors and food cravings in women with polycystic ovary syndrome. Appetite, 2017.</t>
  </si>
  <si>
    <t>Prior search</t>
  </si>
  <si>
    <t>Sirmans, S., Parish, R., Blake, S., Wang, X. (2014). Epidemiology and comorbidities of polycystic ovary syndrome in an indigent population. Journal of Investigative medicine, 2014.</t>
  </si>
  <si>
    <t>Cesta, C., Mansson, M., Palm, C., Lichtenstein, P., Iliadou, A., Landen, M. (2016). Polycystic ovary syndrome and psychiatric disorders: co-morbidity and heritability in a nationwide Swedish cohort. Psychoneuroendocrinology, 2016.</t>
  </si>
  <si>
    <t>Maher, M., Sanders, A.(2018). Eating indicators in women with polycystic ovary syndrome and weight-matched controls. FASEB Journal, 2018.</t>
  </si>
  <si>
    <t>Lidaka, L., Lazdane, G., Kivite-Urtane, A., Gailite, L., Dzivite-Krisane, I., Stokenberga, I. (2019). Health-related quality of life and binge eating among adolescent girls with PCOS. Clinical and Experimental Obstetrics and Gynecology, 2019.</t>
  </si>
  <si>
    <t>Pirotta, S., Barillaro, M., Brennan, L., Grassi, A., Jeanes, Y., Joham, A., Kulkarni, J., Monahan Couch, L., Lim, S., Moran, L. (2019). Disordered eating behaviors and eating disorders in women in Australia with and without polycystic ovary syndrome: a cross-sectional study. Journal of Clinical Medicine, 2019.</t>
  </si>
  <si>
    <t>Tay, C., Teede, H., Hill, B., Loxton, D., Joham, A. (2019). Increased prevalence of eating disorders, low self-esteem, and psychological distress in women with polycystic ovary syndrome: a community-based cohort study. Fertility and Sterility, 2019.</t>
  </si>
  <si>
    <t>Asdaq, S., Jomah, S., Hasa, R., Al-Baroundi, D., Alharbi, M., Alsubaie, S., Buhamad, M., Alyahya, B., Al-Yamani, MM. (2020). Impact of polycystic ovary syndrome on eating behavior, depression, and health related quality of life: A cross-sectional study in Riyadh. Saudi J Biol Sci, 2020.</t>
  </si>
  <si>
    <t>Alzamil H, Aloraini K, AlAgeel R, Ghanim A, Alsaaran R, Alsomali N, Albahlal R, Alnuaim L. Disparity among Endocrinologists and Gynaecologists in the Diagnosis of Polycystic Ovarian Syndrome. Sultan Qaboos Univ Med J. 2020 Aug;20(3):e323-e329. doi: 10.18295/squmj.2020.20.03.012. Epub 2020 Oct 5. PMID: 33110648; PMCID: PMC7574802.</t>
  </si>
  <si>
    <t>Arif N, Khawaja S, Iqbal Q. Awareness of Polycystic Ovarian Disease: Knowledge and Presence of Presenting Symptoms. Pakistan Journal of Medical and Health Sciences. 2020;14(2):627-30.</t>
  </si>
  <si>
    <t>Asante A, Omurtag K, Stewart EA, Coddington CC. Screening for Insulin Resistance in Polycystic Ovary Syndrome: Views of Physician Members of the American Society for Reproductive Medicine. The Journal of reproductive medicine. 2015 Sep 1;60(9-10):371-7.</t>
  </si>
  <si>
    <t>Carron R, Simon N, Gilman-Kehrer E, Boyle DK. Improving rural nurse practitioner knowledge about polycystic ovary syndrome through continuing education. The Journal of Continuing Education in Nursing. 2018 Apr 1;49(4):164-70.</t>
  </si>
  <si>
    <t>Chemerinski A, Cooney L, Shah D, Butts S, Gibson-Helm M, Dokras A. Knowledge of PCOS in physiciansin- training: identifying gaps and educational opportunities. Gynecological Endocrinology. 2020 Oct 2;36(10):854-9.</t>
  </si>
  <si>
    <t>Copp T, Muscat DM, Hersch J, McCaffery KJ, Doust J, Mol BW, Dokras A, Jansen J. Cliniciansâ€™ perspectives on diagnosing polycystic ovary syndrome in Australia: a qualitative study. Human Reproduction. 2020 Mar 27;35(3):660-8.</t>
  </si>
  <si>
    <t>Dokras A, Saini S, Gibson-Helm M, Schulkin J, Cooney L, Teede H. Gaps in knowledge among physicians regarding diagnostic criteria and management of polycystic ovary syndrome. Fertility and sterility. 2017 Jun 1;107(6):1380-6.</t>
  </si>
  <si>
    <t>Doll I, Doll R, Buhling KJ. Diagnosis and therapy of polycystic ovarian syndrome: results of a survey among German gynecologists with a review on literature. Archives of gynecology and obstetrics. 2012 Mar;285(3):689-97.</t>
  </si>
  <si>
    <t>Dutta, D., Bhattacharya, S., Khandelwal, D., Aggarwal, S., Singla, R., Surana, V., &amp; Dhingra, A. (2020). Clinical Practice Patterns of Polycystic Ovary Syndrome Among Doctors of Different Specialtiesâ€”An Indian Perspective. US Endocrinology, 16(2), 74-79.</t>
  </si>
  <si>
    <t>Gibson-Helm M, Dokras A, Karro H, Piltonen T, Teede HJ. Knowledge and practices regarding polycystic ovary syndrome among physicians in Europe, North America, and internationally: an online questionnaire-based study. InSeminars in Reproductive Medicine 2018 Jan (Vol. 36, No. 01, pp. 019- 027). Thieme Medical Publishers.</t>
  </si>
  <si>
    <t>Ma R, Zou Y, Wang W, Zheng Q, Feng Y, Dong H, Tan Z, Zeng X, Zhao Y, Deng Y, Wang Y. Obesity management in polycystic ovary syndrome: disparity in knowledge between obstetrician-gynecologists and reproductive endocrinologists in China. BMC endocrine disorders. 2021 Dec;21(1):1-0.</t>
  </si>
  <si>
    <t>Moran LJ, Tan ZQ, Bayer S, Boyle JA, Robinson T, Lim SS. Perspectives of allied health professionals on implementation of the lifestyle polycystic ovary syndrome guidelines: a qualitative study. Journal of the Academy of Nutrition and Dietetics. 2022 Jul 1;122(7):1305-16.</t>
  </si>
  <si>
    <t>Ning N, Balen A, Brezina PR, Leong M, Shoham Z, Wallach EE, Zhao Y. How to recognize PCOS: results of a web-based survey at IVF-worldwide. com. Reproductive biomedicine online. 2013 May 1;26(5):500-5.</t>
  </si>
  <si>
    <t>Piltonen TT, RuokojÃ¤rvi M, Karro H, KujanpÃ¤Ã¤ L, Morin-Papunen L, Tapanainen JS, Stener-Victorin E, SundrstrÃ¶m-Poromaa I, Hirschberg AL, Ravn P, Glintborg D. Awareness of polycystic ovary syndrome among obstetrician-gynecologists and endocrinologists in Northern Europe. PLoS One. 2019 Dec 26;14(12):e0226074.</t>
  </si>
  <si>
    <t>Yan D, Yan-Fang W, Shi-Yang Z, Rui-Lin M, Xue-Song D, Xiao M, Wei X, Aijun S. Is polycystic ovary syndrome appropriately diagnosed by obstetricians and gynaecologists across China: a nationwide survey. Journal of Ovarian Research. 2021 Dec;14(1):1-9.</t>
  </si>
  <si>
    <t>Authier M, Normand C, Jego M, Gaborit B, Boubli L, Courbiere B. Qualitative study of self-reported experiences of infertile women with polycystic ovary syndrome through on-line discussion forums. InAnnales d'Endocrinologie 2020 Oct 1 (Vol. 81, No. 5, pp. 487-492). Elsevier Masson.</t>
  </si>
  <si>
    <t>Avery JC, Braunack-Mayer AJ. The information needs of women diagnosed with Polycystic Ovarian Syndromeâ€“implications for treatment and health outcomes. BMC women's health. 2007 Dec;7(1):1-0.</t>
  </si>
  <si>
    <t>Carron R, Kooienga S, Gilman-Kehrer E, Alvero R. Cultural experiences, patterns, and practices of American Indian women with polycystic ovary syndrome: An ethnonursing study. Journal of Transcultural Nursing. 2020 Mar;31(2):162-70.</t>
  </si>
  <si>
    <t>Ching HL, Burke V, Stuckey BG. Quality of life and psychological morbidity in women with polycystic ovary syndrome: body mass index, age and the provision of patient information are significant modifiers. Clinical endocrinology. 2007 Mar;66(3):373-9.</t>
  </si>
  <si>
    <t>Crete J, Adamshick P. Managing polycystic ovary syndrome: what our patients are telling us. Journal of Holistic Nursing. 2011 Dec;29(4):256-66.</t>
  </si>
  <si>
    <t>Ee C, Smith C, Moran L, MacMillan F, Costello M, Baylock B, Teede H. â€œThe whole package dealâ€: experiences of overweight/obese women living with polycystic ovary syndrome. BMC women's health. 2020 Dec;20(1):1-9.</t>
  </si>
  <si>
    <t>Gibson-Helm ME, Lucas IM, Boyle JA, Teede HJ. Womenâ€™s experiences of polycystic ovary syndrome diagnosis. Family practice. 2014 Oct 1;31(5):545-9.</t>
  </si>
  <si>
    <t>Gibson-Helm M, Teede H, Dunaif A, Dokras A. Delayed diagnosis and a lack of information associated with dissatisfaction in women with polycystic ovary syndrome. The Journal of Clinical Endocrinology &amp; Metabolism. 2017 Feb 1;102(2):604-12.</t>
  </si>
  <si>
    <t>Hadjiconstantinou M, Mani H, Patel N, Levy M, Davies M, Khunti K, Stone M. Understanding and supporting women with polycystic ovary syndrome: a qualitative study in an ethnically diverse UK sample. Endocrine Connections. 2017 Jul 1;6(5):323-30.</t>
  </si>
  <si>
    <t>Hillman SC, Bryce C, Caleyachetty R, Dale J. Womenâ€™s experiences of diagnosis and management of polycystic ovary syndrome: a mixed-methods study in general practice. British Journal of General Practice. 2020 May 1;70(694):e322-9.</t>
  </si>
  <si>
    <t>Holbrey S, Coulson NS. A qualitative investigation of the impact of peer to peer online support for women living with polycystic ovary syndrome. BMC Women's Health. 2013 Dec;13(1):1-9.</t>
  </si>
  <si>
    <t>Hoyos LR, Putra M, Armstrong AA, Cheng CY, Riestenberg CK, Schooler TA, Dumesic DA. Measures of patient dissatisfaction with health care in polycystic ovary syndrome: retrospective analysis. Journal of medical Internet research. 2020 Apr 21;22(4):e16541.</t>
  </si>
  <si>
    <t>Humphreys L, Costarelli V. Implementation of dietary and general lifestyle advice among women with polycystic ovarian syndrome. The journal of the Royal Society for the Promotion of Health. 2008 Jul;128(4):190-5.</t>
  </si>
  <si>
    <t>Ismayilova M, Yaya S. What can be done to improve polycystic ovary syndrome (PCOS) healthcare? Insights from semi-structured interviews with women in Canada. BMC women's health. 2022 Dec;22(1):1-5.</t>
  </si>
  <si>
    <t>Ismayilova M, Yaya S. â€˜I'm usually being my own doctorâ€™: women's experiences of managing polycystic ovary syndrome in Canada. International Health. 2022 May 14.</t>
  </si>
  <si>
    <t>Kaur I, Suri V, Rana SV, Singh A. Treatment pathways traversed by polycystic ovary syndrome (PCOS) patients: A mixed-method study. PloS one. 2021 Aug 9;16(8):e0255830.</t>
  </si>
  <si>
    <t>Khan NN, Vincent A, Boyle JA, Burggraf M, Pillay M, Teede H, Gibson-Helm M. Development of a question prompt list for women with polycystic ovary syndrome. Fertility and sterility. 2018 Aug 1;110(3):514-22.</t>
  </si>
  <si>
    <t>PeÃ±a AS, Teede H, Hewawasam E, Hull ML, Gibson-Helm M. Diagnosis experiences of adolescents with polycystic ovary syndrome: Cross-sectional study. Clinical endocrinology. 2022 Jan;96(1):62-9.</t>
  </si>
  <si>
    <t>Pirotta S, Joham AJ, Moran LJ, Skouteris H, Lim SS. Implementation of evidence-based PCOS lifestyle management guidelines: Perceived barriers and facilitators by consumers using the Theoretical Domains Framework and COM-B Model. Patient education and counseling. 2021 Aug 1;104(8):2080-8.</t>
  </si>
  <si>
    <t>Pirotta S, Joham AE, Moran LJ, Skouteris H, Lim SS. Implementation of the polycystic ovary syndrome guidelines: A mixed method study to inform the design and delivery of a lifestyle management program for women with polycystic ovary syndrome. Nutrition &amp; Dietetics. 2021 Nov;78(5):476-86.</t>
  </si>
  <si>
    <t>Sills ES, Perloe M, Tucker MJ, Kaplan CR, Genton MG, Schattman GL. Diagnostic and treatment characteristics of polycystic ovary syndrome: descriptive measurements of patient perception and awareness from 657 confidential self-reports. BMC women's health. 2001 Dec;1(1):1-5.</t>
  </si>
  <si>
    <t>Tomlinson J, Pinkney J, Adams L, Stenhouse E, Bendall A, Corrigan O, Letherby G. The diagnosis and lived experience of polycystic ovary syndrome: A qualitative study. Journal of advanced nursing. 2017 Oct;73(10):2318-26.</t>
  </si>
  <si>
    <t>Trent ME, Rich M, Austin SB, Gordon CM. Fertility concerns and sexual behavior in adolescent girls with polycystic ovary syndrome: implications for quality of life. Journal of pediatric and adolescent gynecology. 2003 Feb 1;16(1):33-7.</t>
  </si>
  <si>
    <t>Weiss TR, Bulmer SM. Young women's experiences living with polycystic ovary syndrome. Journal of obstetric, gynecologic &amp; neonatal nursing. 2011 Nov 1;40(6):709-18.</t>
  </si>
  <si>
    <t>Williams S, Sheffield D, Knibb RC. â€˜Everythingâ€™s from the inside out with PCOSâ€™: Exploring womenâ€™s experiences of living with polycystic ovary syndrome and co-morbidities through Skypeâ„¢ interviews. Health psychology open. 2015 Aug 28;2(2):2055102915603051.</t>
  </si>
  <si>
    <t>Bekx MT, Connor EC, Allen DB. Characteristics of adolescents presenting to a multidisciplinary clinic for polycystic ovarian syndrome. J Pediatr Adolesc Gynecol. 2010 Feb;23(1):7-10. doi: 10.1016/j.jpag.2009.04.004. Epub 2009 Aug 3. PMID: 19648034.</t>
  </si>
  <si>
    <t>Geier LM, Bekx MT, Connor EL. Factors contributing to initial weight loss among adolescents with polycystic ovary syndrome. J Pediatr Adolesc Gynecol. 2012 Dec;25(6):367-70. doi: 10.1016/j.jpag.2012.06.008. Epub 2012 Oct 22. PMID: 23089571.</t>
  </si>
  <si>
    <t>Torres-Zegarra C, Sundararajan D, Benson J, Seagle H, Witten M, Walders-Abramson N, Simon SL, Huguelet P, Nokoff NJ, Cree-Green M. Care for Adolescents With Polycystic Ovary Syndrome: Development and Prescribing Patterns of a Multidisciplinary Clinic. J Pediatr Adolesc Gynecol. 2021 Oct;34(5):617-625. doi: 10.1016/j.jpag.2021.02.002. Epub 2021 Mar 29. PMID: 33794340; PMCID: PMC8808364.</t>
  </si>
  <si>
    <t>Boyle J, Hollands G, Beck S, Hampel G, Wapau H, Arnot M, Browne L, Teede HJ, Moran LJ. Process evaluation of a pilot evidence-based Polycystic Ovary Syndrome clinic in the Torres Strait. Aust J Rural Health. 2017 Jun;25(3):175-181. doi: 10.1111/ajr.12288. Epub 2016 Apr 18. PMID: 27086940.</t>
  </si>
  <si>
    <t>Tay CT, Pirotta S, Teede HJ, Moran LJ, Robinson T, Skouteris H, Joham AE, Lim SS. Polycystic Ovary Syndrome Models of Care: A Review and Qualitative Evaluation of a Guideline-Recommended Integrated Care. Semin Reprod Med. 2021 Jul;39(3-04):133-142. doi: 10.1055/s-0041-1727191. Epub 2021 Jun 29. PMID: 34187051.</t>
  </si>
  <si>
    <t>Atkinson L, Kite C, McGregor G, James T, Clark CC, Randeva HS, Kyrou I. Uncertainty, anxiety and isolation: Experiencing the COVID-19 pandemic and lockdown as a woman with polycystic ovary syndrome (PCOS). Journal of personalized medicine. 2021 Sep 25;11(10):952.</t>
  </si>
  <si>
    <t>Avery JC, Braunack-Mayer AJ. The information needs of women diagnosed with Polycystic Ovarian Syndrome–implications for treatment and health outcomes. BMC women's health. 2007 Dec;7(1):1-0.</t>
  </si>
  <si>
    <t xml:space="preserve">Bazarganipour F, Taghavi SA, Allan H, Hosseini N. Facilitating and inhibiting factors related to treatment adherence in women with polycystic ovary syndrome: A qualitative study. International journal of reproductive biomedicine. 2017 Sep;15(9):553. </t>
  </si>
  <si>
    <t>Copp T, Muscat DM, Hersch J, McCaffery KJ, Doust J, Dokras A, Mol BW, Jansen J. The challenges with managing polycystic ovary syndrome: a qualitative study of women’s and clinicians’ experiences. Patient education and counseling. 2022 Mar 1;105(3):719-25.</t>
  </si>
  <si>
    <t>Gibson-Helm M, Tassone EC, Teede HJ, Dokras A, Garad R. The needs of women and healthcare providers regarding polycystic ovary syndrome information, resources, and education: a systematic search and narrative review. InSeminars in reproductive medicine 2018 Jan (Vol. 36, No. 01, pp. 035-041). Thieme Medical Publishers.</t>
  </si>
  <si>
    <t>Hajivandi L, Noroozi M, Mostafavi F, Ekramzadeh M. Health system-related needs for healthy nutritional behaviors in adolescent girls with polycystic ovary syndrome (PCOS): a qualitative study in Iran. BMC health services research. 2022 Dec;22(1):1-1.</t>
  </si>
  <si>
    <t>Hillman SC, Bryce C, Caleyachetty R, Dale J. Women’s experiences of diagnosis and management of polycystic ovary syndrome: a mixed-methods study in general practice. British Journal of General Practice. 2020 May 1;70(694):e322-9.</t>
  </si>
  <si>
    <t>Ismayilova M, Yaya S. ‘I'm usually being my own doctor’: women's experiences of managing polycystic ovary syndrome in Canada. International Health. 2022 May 14.</t>
  </si>
  <si>
    <t>Kitzinger C, Willmott J. ‘The thief of womanhood’: women's experience of polycystic ovarian syndrome. Social science &amp; medicine. 2002 Feb 1;54(3):349-61.</t>
  </si>
  <si>
    <t>Lim S, Smith CA, Costello MF, MacMillan F, Moran L, Teede H, Ee C. Health literacy needs in weight management of women with Polycystic Ovary Syndrome. Health Promotion Journal of Australia. 2021 Feb;32:41-8.</t>
  </si>
  <si>
    <t>Lim S, Wright B, Savaglio M, Goodwin D, Pirotta S, Moran L. An analysis on the implementation of the evidence-based PCOS lifestyle guideline: recommendations from women with PCOS. InSeminars in Reproductive Medicine 2021 Jul (Vol. 39, No. 03/04, pp. 153-160). Thieme Medical Publishers, Inc..</t>
  </si>
  <si>
    <t>Lin AW, Bergomi EJ, Dollahite JS, Sobal J, Hoeger KM, Lujan ME. Trust in physicians and medical experience beliefs differ between women with and without polycystic ovary syndrome. Journal of the Endocrine Society. 2018 Sep;2(9):1001-9.</t>
  </si>
  <si>
    <t>Sharma S, Mishra AJ. Tabooed disease in alienated bodies: A study of women suffering from Polycystic Ovary Syndrome (PCOS). Clinical Epidemiology and Global Health. 2018 Sep 1;6(3):130-6.</t>
  </si>
  <si>
    <t>Soucie K, Samardzic T, Schramer K, Ly C, Katzman R. The diagnostic experiences of women with polycystic ovary syndrome (PCOS) in Ontario, Canada. Qualitative Health Research. 2021 Feb;31(3):523-34.</t>
  </si>
  <si>
    <t>Tay CT, Pirotta S, Teede HJ, Moran LJ, Robinson T, Skouteris H, Joham AE, Lim SS. Polycystic ovary syndrome models of care: a review and qualitative evaluation of a guideline-recommended integrated care. InSeminars in Reproductive Medicine 2021 Jul (Vol. 39, No. 03/04, pp. 133-142). Thieme Medical Publishers, Inc..</t>
  </si>
  <si>
    <t>Williams S, Sheffield D, Knibb RC. ‘Everything’s from the inside out with PCOS’: Exploring women’s experiences of living with polycystic ovary syndrome and co-morbidities through Skype™ interviews. Health psychology open. 2015 Aug 28;2(2):2055102915603051.</t>
  </si>
  <si>
    <t>Williams S, Sheffield D, Knibb RC. A snapshot of the lives of women with polycystic ovary syndrome: A photovoice investigation. Journal of Health Psychology. 2016 Jun;21(6):1170-82.</t>
  </si>
  <si>
    <t>Wright PJ, Dawson RM, Corbett CF. Social construction of biopsychosocial and medical experiences of women with polycystic ovary syndrome. Journal of Advanced Nursing. 2020 Jul;76(7):1728-36.</t>
  </si>
  <si>
    <t>Masoudi M, Ansari S, Kashani L, Tavolinejad H, Hossein Rashidi B, Esalatmanesh S, Ghazizadeh-Hashemi M, Noorbala AA, Akhondzadeh S. Effect of sertraline on depression severity and prolactin levels in women with polycystic ovary syndrome: a placebo-controlled randomized trial. Int Clin Psychopharmacol. 2021 Sep 1;36(5):238-243. doi: 10.1097/YIC.0000000000000367. PMID: 34030169.</t>
  </si>
  <si>
    <t>Abu-Fakher B, Al-Quobaili F, Alhalabi M. Follicular fluid antimullerian hormone (AMH) does not predict IVF outcomes in polycystic ovary syndrome patients. Middle East Fertility Society Journal. 2013;18(2):110-4.</t>
  </si>
  <si>
    <t>Akpınar F, Demir B, Dilbaz S, Kaplanoğlu İ, Dilbaz B. Obesity is not associated with the poor pregnancy outcome following intracytoplasmic sperm injection in women with polycystic ovary syndrome. Journal of the Turkish-German Gynecological Association. 2014;15(3):144-8.</t>
  </si>
  <si>
    <t>Al Safi WG, Hassan MF. Pregnancy rate in women with pcos with high lh/fsh ratio undergoing icsi. Latin American Journal of Pharmacy. 2021;40(Special Issue):336-40.</t>
  </si>
  <si>
    <t>Al-Azemi M, Omu FE, Omu AE. The effect of obesity on the outcome of infertility management in women with polycystic ovary syndrome. Archives of Gynecology and Obstetrics. 2004;270(4):205-10.</t>
  </si>
  <si>
    <t>Aleyasin A, Aghahoseini M, Mokhtar S, Fallahi P. Anti-mullerian hormone as a predictive factor in assisted reproductive technique of polycystic ovary syndrome patients. Acta Medica Iranica. 2011;49(11):715-20.</t>
  </si>
  <si>
    <t>Arabzadeh S, Hossein G, Rashidi BH, Hosseini MA, Zeraati H. Comparing serum basal and follicular fluid levels of anti-Mullerian hormone as a predictor of in vitro fertilization outcomes in patients with and without polycystic ovary syndrome. Annals of Saudi Medicine. 2010;30(6):442-7.</t>
  </si>
  <si>
    <t>Bailey AP, Hawkins LK, Missmer SA, Correia KF, Yanushpolsky EH. Effect of body mass index on in vitro fertilization outcomes in women with polycystic ovary syndrome. American Journal of Obstetrics &amp; Gynecology. 2014;211(2):163.e1-6.</t>
  </si>
  <si>
    <t>Bakir VL, Karahan G. Evaluation of obesity and metabolic status in polycystic ovary syndrome in fertile and infertile groups. Zeynep Kamil Tip Bulteni. 2019;50(2):44-8.</t>
  </si>
  <si>
    <t>Berker B, Kaya C, Aytac R, Satiroglu H. Homocysteine concentrations in follicular fluid are associated with poor oocyte and embryo qualities in polycystic ovary syndrome patients undergoing assisted reproduction. Human Reproduction. 2009;24(9):2293-302.</t>
  </si>
  <si>
    <t>Bousmpoula A, Benidis E, Demeridou S, Kapeta-Kourkouli R, Chasiakou A, Chasiakou S, et al. Serum and follicular fluid irisin levels in women with polycystic ovaries undergoing ovarian stimulation: correlation with insulin resistance and lipoprotein lipid profiles. Gynecological Endocrinology. 2019;35(9):803-6.</t>
  </si>
  <si>
    <t>Cakiroglu Y, Vural F, Vural B. The inflammatory markers in polycystic ovary syndrome: association with obesity and IVF outcomes. Journal of Endocrinological Investigation. 2016;39(8):899-907.</t>
  </si>
  <si>
    <t>Catak Z, Yavuzkir S, Kocdemir E, Ugur K, Yardim M, Sahin I, et al. NUCB2/nesfatin-1 in the blood and follicular fluid in patients with polycystic ovary syndrome and poor ovarian response. Journal of Reproduction and Infertility. 2019;20(4):225-30.</t>
  </si>
  <si>
    <t>Chen M, Huang X, Liu Y, Lei S, Wu Y, Chen Z, et al. Systematic oxidative stress is not associated with live birth rate in young non-obese patients with polycystic ovarian syndrome undergoing assisted reproduction cycles: A prospective cohort study. European Journal of Obstetrics &amp; Gynecology &amp; Reproductive Biology. 2020;253:154-61.</t>
  </si>
  <si>
    <t>Chen R, Chen S, Liu M, He H, Xu H, Liu H, et al. Pregnancy outcomes of PCOS overweight/obese patients after controlled ovarian stimulation with the GnRH antagonist protocol and frozen embryo transfer. Reproductive Biology &amp; Endocrinology. 2018;16(1):36.</t>
  </si>
  <si>
    <t>Fedorcsak P, Dale PO, Storeng R, Tanbo T, Abyholm T. The impact of obesity and insulin resistance on the outcome of IVF or ICSI in women with polycystic ovarian syndrome. Human Reproduction. 2001;16(6):1086-91.</t>
  </si>
  <si>
    <t>Feng Y, Qi J, Xue X, Li X, Liao Y, Sun Y, et al. Follicular free fatty acid metabolic signatures and their effects on oocyte competence in non-obese PCOS patients. Reproduction. 2022;164(1):1-8.</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</si>
  <si>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Journal of assisted reproduction and genetics 2009. Journal of assisted reproduction and genetics 2009;26(1): 19–24.</t>
  </si>
  <si>
    <t>Ghanem, M. E., Elboghdady, L. A., Hassan, M., Helal, A. S., Gibreel, A., Houssen, M., . . . Mesbah, Y. (2013). Clomiphene citrate co-treatment with low dose urinary FSH versus urinary FSH for clomiphene resistant PCOS: randomized controlled trial. J Assist Reprod Genet, 30(11), 1477-1485. doi:10.1007/s10815-013-0090-2</t>
  </si>
  <si>
    <t>Guan HJ, Pan LQ, Song H, Tang HY, Tang LS. Predictors of pregnancy after intrauterine insemination in women with polycystic ovary syndrome. Journal of International Medical Research. 2021;49(5):3000605211018600.</t>
  </si>
  <si>
    <t>Guido M, Belosi C, Selvaggi L, Lattanzi F, Apa R, Fulghesu AM, et al. The effect of age on the ovarian response to gonadotropin and on pregnancy rate in polycystic ovary syndrome. Gynecological Endocrinology. 2003;17(3):215-21.</t>
  </si>
  <si>
    <t>Hashimoto DM, Schmid J, Martins FM, Fonseca AM, Andrade LH, Kirchengast S, et al. The impact of the weight status on subjective symptomatology of the Polycystic Ovary Syndrome: a cross-cultural comparison between Brazilian and Austrian women. Anthropologischer Anzeiger. 2003;61(3):297-310.</t>
  </si>
  <si>
    <t>Hassani F, Oryan S, Eftekhari-Yazdi P, Bazrgar M, Moini A, Nasiri N, et al. Association between the number of retrieved mature oocytes and insulin resistance or sensitivity in infertile women with polycystic ovary syndrome. International Journal of Fertility and Sterility. 2019;12(4):310-5.</t>
  </si>
  <si>
    <t>Ho VNA, Pham TD, Le AH, Ho TM, Vuong LN. Live birth rate after human chorionic gonadotropin priming in vitro maturation in women with polycystic ovary syndrome. Journal of ovarian research. 2018;11(1) (no pagination).</t>
  </si>
  <si>
    <t>Huang Q, Niu Y, Xu L, Chen B, Zhang Y, Song LJ, et al. Relationship between a low ratio of serum estradiol to follicle number and fertility treatment outcomes A retrospective cohort study of 516 cases. Medicine (United States). 2018;97(34) (no pagination).</t>
  </si>
  <si>
    <t>Hwang YI, Cha SW, Song IO, Yang KM, Min EG, Kim HO. Fertility of patients with polycystic ovary syndrome undergoing in vitro fertilization by age. International Journal of Gynaecology &amp; Obstetrics. 2016;135(1):91-5.</t>
  </si>
  <si>
    <t>Inal HA, Yilmaz N, Gorkem U, Oruc AS, Timur H. The impact of follicular fluid adiponectin and ghrelin levels based on BMI on IVF outcomes in PCOS. Journal of Endocrinological Investigation. 2016;39(4):431-7.</t>
  </si>
  <si>
    <t>Inal ZO, Inal HA, Erdem S. The effect of serum and follicular fluid secreted frizzle-related protein-5 on in vitro fertilization outcomes in patients with polycystic ovary syndrome. Molecular Biology Reports. 2018;45(6):2037-44.</t>
  </si>
  <si>
    <t>Janati S, Behmanesh MA, Najafzadehvarzi H, Akhundzade Z, Poormoosavi SM. Follicular Fluid Zinc Level and Oocyte Maturity and Embryo Quality in Women with Polycystic Ovary Syndrome. International Journal of Fertility &amp; Sterility. 2021;15(3):197-201.</t>
  </si>
  <si>
    <t>Jaschke N, Lunger F, Wildt L, Seeber B. Beta endorphin in serum and follicular fluid of PCOS- and non-PCOS women. Archives of Gynecology &amp; Obstetrics. 2018;298(1):217-22.</t>
  </si>
  <si>
    <t>Jin Y, Zhang Q, Pan JX, Wang FF, Qu F. The effects of di(2-ethylhexyl) phthalate exposure in women with polycystic ovary syndrome undergoing in vitro fertilization. Journal of International Medical Research. 2019;47(12):6278-93.</t>
  </si>
  <si>
    <t>Johnson NP, Bontekoe S, Stewart AW. Analysis of factors predicting success of metformin and clomiphene treatment for women with infertility owing to PCOS-related ovulation dysfunction in a randomised controlled trial. Australian &amp; New Zealand Journal of Obstetrics &amp; Gynaecology 2011;51:252-6.</t>
  </si>
  <si>
    <t>Johnson, N. P., Stewart, A. W., Falkiner, J., Farquhar, C. M., Milsom, S., Singh, V. P., . . . React-Nz, a. m.-c. f. t. g. (2010). PCOSMIC: a multi-centre randomized trial in women with PolyCystic Ovary Syndrome evaluating Metformin for Infertility with Clomiphene. Hum Reprod, 25(7), 1675-1683. doi:10.1093/humrep/deq100</t>
  </si>
  <si>
    <t>Kalra SK, Ratcliffe SJ, Dokras A. Is the fertile window extended in women with polycystic ovary syndrome? Utilizing the Society for Assisted Reproductive Technology registry to assess the impact of reproductive aging on live-birth rate. Fertility &amp; Sterility. 2013;100(1):208-13</t>
  </si>
  <si>
    <t>Kamardi S, Surya IHW, Mahendra INB, Adnyana IP, Suardika A, Tondohusodo N, et al. Impact of body mass index on intracytoplasmic sperm injection in women with polycystic ovary syndrome. Zygote. 2021;29(3):229-33.</t>
  </si>
  <si>
    <t>Kjotrod, S. B., Carlsen, S. M., Rasmussen, P. E., Holst-Larsen, T., Mellembakken, J., Thurin-Kjellberg, A., . . . von During, V. (2011). Use of metformin before and during assisted reproductive technology in non-obese young infertile women with polycystic ovary syndrome: a prospective, randomized, double-blind, multi-centre study. Hum Reprod, 26(8), 2045-2053. doi:10.1093/humrep/der154</t>
  </si>
  <si>
    <t>Kolibianakis E, Zikopoulos K, Albano C, Camus M, Tournaye H, Van Steirteghem A, et al. Reproductive outcome of polycystic ovarian syndrome patients treated with GnRH antagonists and recombinant FSH for IVF/ICSI. Reproductive Biomedicine Online. 2003;7(3):313-8.</t>
  </si>
  <si>
    <t>Kudesia R, Wu H, Hunter Cohn K, Tan L, Lee JA, Copperman AB, et al. The effect of female body mass index on in vitro fertilization cycle outcomes: a multi-center analysis. Journal of Assisted Reproduction &amp; Genetics. 2018;35(11):2013-23.</t>
  </si>
  <si>
    <t>Lai Q, Xiang W, Li Q, Zhang H, Li Y, Zhu G, et al. Oxidative stress in granulosa cells contributes to poor oocyte quality and IVF-ET outcomes in women with polycystic ovary syndrome. Frontiers of medicine. 2018;12(5):518-24.</t>
  </si>
  <si>
    <t>Legro, R. S., Brzyski, R. G., Diamond, M. P., Coutifaris, C., Schlaff, W. D., Casson, P., . . . Network, N. R. M. (2014). Letrozole versus clomiphene for infertility in the polycystic ovary syndrome. N Engl J Med, 371(2), 119-129. doi:10.1056/NEJMoa1313517</t>
  </si>
  <si>
    <t>Li Y, Lin H, Pan P, Yang D, Zhang Q. Impact of Central Obesity on Women with Polycystic Ovary Syndrome Undergoing in Vitro Fertilization. BioResearch Open Access. 2018;7(1):116-22.</t>
  </si>
  <si>
    <t>Lin J, Huang J, Wang N, Kuang Y, Cai R. Effects of pre-pregnancy body mass index on pregnancy and perinatal outcomes in women with PCOS undergoing frozen embryo transfer. BMC Pregnancy and Childbirth. 2019;19(1) (no pagination).</t>
  </si>
  <si>
    <t>Lujan ME, Kepley AL, Chizen DR, Lehotay DC, Pierson RA, Lujan ME, et al. Development of morphologically dominant follicles is associated with fewer metabolic disturbances in amenorrheic women with polycystic ovary syndrome: a pilot study. Ultrasound in Obstetrics &amp; Gynecology. 2010;36(6):759-66.</t>
  </si>
  <si>
    <t>Luo L, Wang Q, Chen M, Yuan G, Wang Z, Zhou C. IGF-1 and IGFBP-1 in peripheral blood and decidua of early miscarriages with euploid embryos: comparison between women with and without PCOS. Gynecological Endocrinology. 2016;32(7):538-42.</t>
  </si>
  <si>
    <t>Mackens S, Pareyn S, Drakopoulos P, Deckers T, Mostinckx L, Blockeel C, et al. Outcome of in-vitro oocyte maturation in patients with PCOS: does phenotype have an impact? Human Reproduction. 2020;35(10):2272-9.</t>
  </si>
  <si>
    <t>Madani T, Irani S, Ashrafi M, Alsadat Nabavi M. The Effect of Flutamide on Ovulation Induction in PCOS Patients. International Journal of Fertility &amp; Sterility. 2012;6(1):65-9.</t>
  </si>
  <si>
    <t>Mahajan N, Kaur J. Establishing an Anti-Mullerian hormone cutoff for diagnosis of polycystic ovarian syndrome in women of reproductive age-bearing Indian ethnicity using the automated Anti-Mullerian hormone assay. Journal of Human Reproductive Sciences. 2019;12(2):104-13.</t>
  </si>
  <si>
    <t>Mahran A, Abdelmeged A, El-Adawy AR, Eissa MK, Shaw RW, Amer SA. The predictive value of circulating anti-mullerian hormone in women with polycystic ovarian syndrome receiving clomiphene citrate: a prospective observational study. Journal of Clinical Endocrinology &amp; Metabolism. 2013;98(10):4170-5.</t>
  </si>
  <si>
    <t>McCormick B, Thomas M, Maxwell R, Williams D, Aubuchon M. Effects of polycystic ovarian syndrome on in vitro fertilization-embryo transfer outcomes are influenced by body mass index. Fertility &amp; Sterility. 2008;90(6):2304-9.</t>
  </si>
  <si>
    <t>Morin-Papunen L, Rantala AS, Unkila-Kallio L, Tiitinen A, Hippeläinen M, Perheentupa A, et al. Metformin improves pregnancy and live-birth rates in women with polycystic ovary syndrome (PCOS): a multicenter, double-blind, placebo- controlled randomized trial. Journal of Clinical Endocrinology and Metabolism 2012;97:1492-1500.</t>
  </si>
  <si>
    <t>Mostinckx L, Segers I, Belva F, Buyl R, Santos-Ribeiro S, Blockeel C, et al. Obstetric and neonatal outcome of ART in patients with polycystic ovary syndrome: IVM of oocytes versus controlled ovarian stimulation. Human Reproduction. 2019;34(8):1595-607.</t>
  </si>
  <si>
    <t>Muharam R, Prasetyo YD, Prabowo KA, Putri YI, Maidarti M, Hestiantoro A. IVF outcome with a high level of AMH: a focus on PCOS versus non-PCOS. BMC Women's Health. 2022;22(1):172.</t>
  </si>
  <si>
    <t>Namlı Kalem M, Kalem Z, Sarı T, Ateş C, Gürgan T. Effect of body mass index and age on in vitro fertilization in polycystic ovary syndrome. Journal of the Turkish-German Gynecological Association. 2016;17(2):83-90.</t>
  </si>
  <si>
    <t>Niu Z, Ye Y, Xia L, Feng Y, Zhang A. Follicular fluid cytokine composition and oocyte quality of polycystic ovary syndrome patients with metabolic syndrome undergoing in vitro fertilization. Cytokine. 2017;91:180-6.</t>
  </si>
  <si>
    <t>Oberg E, Gidlof S, Jakson I, Mitsell M, Tollet Egnell P, Hirschberg AL. Improved menstrual function in obese women with polycystic ovary syndrome after behavioural modification intervention-A randomized controlled trial. Clinical Endocrinology. 2019;90(3):468-78</t>
  </si>
  <si>
    <t>Palomba S, Falbo A, Russo T, Di Cello A, Morelli M, Orio F, et al. Metformin administration in patients with polycystic ovary syndrome who receive gonadotropins for in vitro fertilization cycles: 10-year experience in a large infertile population. Gynecological Endocrinology. 2012;28(2):81-6.</t>
  </si>
  <si>
    <t>Provost MP, Acharya KS, Acharya CR, Yeh JS, Steward RG, Eaton JL, et al. Pregnancy outcomes decline with increasing body mass index: analysis of 239,127 fresh autologous in vitro fertilization cycles from the 2008-2010 Society for Assisted Reproductive Technology registry. Fertility &amp; Sterility. 2016;105(3):663-9.</t>
  </si>
  <si>
    <t>Shalom-Paz E, Marzal A, Wiser A, Almog B, Reinblatt S, Tulandi T, et al. Effects of different body mass indices on in vitro maturation in women with polycystic ovaries. Fertility &amp; Sterility. 2011;96(2):336-9.</t>
  </si>
  <si>
    <t>Sheng Y, Lu G, Liu J, Liang X, Ma Y, Zhang X, et al. Effect of body mass index on the outcomes of controlled ovarian hyperstimulation in Chinese women with polycystic ovary syndrome: a multicenter, prospective, observational study. Journal of Assisted Reproduction and Genetics. 2017;34(1):61-70.</t>
  </si>
  <si>
    <t>Siebert T, Kruger T, Lombard C. Evaluating the equivalence of clomiphene citrate with and without metformin in ovulation induction in PCOS patients. Journal of Assisted Reproduction and Genetics 2009;26(4):165-71.</t>
  </si>
  <si>
    <t>Wang J, Wei Y, Diao F, Cui Y, Mao Y, Wang W, et al. The association between polycystic ovary syndrome and ectopic pregnancy after in vitro fertilization and embryo transfer. American Journal of Obstetrics &amp; Gynecology. 2013;209(2):139.e1-9.</t>
  </si>
  <si>
    <t>Wang JX, Davies MJ, Norman RJ. Polycystic ovarian syndrome and the risk of spontaneous abortion following assisted reproductive technology treatment. Human Reproduction. 2001;16(12):2606-9.</t>
  </si>
  <si>
    <t>Yang W, Yang R, Lin M, Yang Y, Song X, Zhang J, et al. Body mass index and basal androstenedione are independent risk factors for miscarriage in polycystic ovary syndrome. Reproductive Biology &amp; Endocrinology. 2018;16(1):119.</t>
  </si>
  <si>
    <t>Zhang CM, Zhao Y, Li R, Yu Y, Yan LY, Li L, et al. Metabolic heterogeneity of follicular amino acids in polycystic ovary syndrome is affected by obesity and related to pregnancy outcome. BMC Pregnancy &amp; Childbirth. 2014;14:11.</t>
  </si>
  <si>
    <t>Zhao Y, Ruan X, Mueck AO. Letrozole combined with low dose highly purified HMG for ovulation induction in clomiphene citrate-resistant infertile Chinese women with polycystic ovary syndrome: a prospective study. Gynecological Endocrinology. 2017;33(6):462-6.</t>
  </si>
  <si>
    <t>Zhou H, Zhang D, Luo Z, Yang A, Cui N, Hao G, et al. Association between Body Mass Index and Reproductive Outcome in Women with Polycystic Ovary Syndrome Receiving IVF/ICSI-ET. BioMed Research International. 2020:1-7.</t>
  </si>
  <si>
    <t>Atay, V., Cam, C., Muhcu, M., Cam, M., &amp; Karateke, A. (2006). Comparison of letrozole and clomiphene citrate in women with polycystic ovaries undergoing ovarian stimulation. Journal of international medical research, 34(1), 73-76.</t>
  </si>
  <si>
    <t>Amer SA, Smith J, Mahran A, Fox P, Fakis A. Double-blind randomized controlled trial of letrozole versus clomiphene citrate in subfertile women with polycystic ovarian syndrome. Hum Reprod. 2017 Aug 1;32(8):1631-1638. doi: 10.1093/humrep/dex227. PMID: 28854590; PMCID: PMC5850470.</t>
  </si>
  <si>
    <t>Bansal S, Goyal M, Sharma C, Shekhar S. Letrozole versus clomiphene citrate for ovulation induction in anovulatory women with polycystic ovarian syndrome: A randomized controlled trial. Int J Gynaecol Obstet. 2021 Mar;152(3):345-350. doi: 10.1002/ijgo.13375. Epub 2020 Oct 14. PMID: 32920843.</t>
  </si>
  <si>
    <t>Bayar U, Basaran M, Kiran S, Coskun A, Gezer S. Use of an aromatase inhibitor in patients with polycystic ovary syndrome: a prospective randomized trial. Fertil Steril. 2006 Nov;86(5):1447-51. doi: 10.1016/j.fertnstert.2006.04.026. PMID: 17070196.</t>
  </si>
  <si>
    <t>Begum, M. R., J. Ferdous, et al. (2009). "Comparison of efficacy of aromatase inhibitor and clomiphene citrate in induction of ovulation in polycystic ovarian syndrome." Fertility &amp; Sterility 92(3): 853‐7.</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</si>
  <si>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t>
  </si>
  <si>
    <t>Legro, R. S., R. G. Brzyski, et al. (2014). "Letrozole versus clomiphene for infertility in the polycystic ovary syndrome." New England Journal of Medicine 371(2): 119‐129.</t>
  </si>
  <si>
    <t>Liu, C., G. Feng, W. Huang, Q. Wang, S. Yang, J. Tan, J. Fu and D. Liu (2017). "Comparison of clomiphene citrate and letrozole for ovulation induction in women with polycystic ovary syndrome: a prospective randomized trial." Gynecol Endocrinol 33(11): 872-876.</t>
  </si>
  <si>
    <t>Nazik, H., &amp; Kumtepe, Y. (2012). Comparison of efficacy of letrozole and clomiphene citrate in ovulation induction for women with polycystic ovarian syndrome. HealthMED, 6(3), 879-83.</t>
  </si>
  <si>
    <t>Pourghasem S, Bazarganipour F, Taghavi SA, Kutenaee MA. The effectiveness of inositol and metformin on infertile polycystic ovary syndrome women with resistant to letrozole. Arch Gynecol Obstet. 2019 Apr;299(4):1193-1199. doi: 10.1007/s00404-019-05064-5. Epub 2019 Feb 5. PMID: 30847561.</t>
  </si>
  <si>
    <t>Ray Banerjee P, Ray A, Chakraborti PS. Comparison of efficacy of letrozole and clomiphene citrate in ovulation induction in Indian women with polycystic ovarian syndrome  Archives Gynecology and Obstetrics (2012) 285:873–877</t>
  </si>
  <si>
    <t>Roy KK, Baruah J, Singla S, Sharma JB, Singh N, Jain SK, Goyal M. A prospective randomized trial comparing the efficacy of Letrozole and Clomiphene citrate in induction of ovulation in polycystic ovarian syndrome. J Hum Reprod Sci. 2012 Jan;5(1):20-5. doi: 10.4103/0974-1208.97789. PMID: 22870010; PMCID: PMC3409915.</t>
  </si>
  <si>
    <t xml:space="preserve">Sohrabvand F, Ansari Sh, Bagheri M. Efficacy of combined metformin-letrozole in comparison with metformin-clomiphene citrate in clomiphene-resistant infertile women with polycystic ovarian disease. Hum Reprod. 2006 Jun;21(6):1432-5. doi: 10.1093/humrep/del020. </t>
  </si>
  <si>
    <t>Zeinalzadeh, M., Z. Basirat and M. Esmailpour (2010). "Efficacy of letrozole in ovulation induction compared to that of clomiphene citrate in patients with polycystic ovarian syndrome." J Reprod Med 55(1‐2): 36‐40.</t>
  </si>
  <si>
    <t>Amer SA, Li TC, Metwally M, Emarh M, Ledger WL. Randomized controlled trial comparing laparoscopic ovarian diathermy with clomiphene citrate as a first-line method of ovulation induction in women with polycystic ovary syndrome. Hum Reprod. 2009 Jan;24(1):219-25. doi: 10.1093/humrep/den325. Epub 2008 Sep 14.</t>
  </si>
  <si>
    <t>Amer SA, Smith J, Mahran A, Fox P, Fakis A. Double-blind randomized controlled trial of letrozole versus clomiphene citrate in subfertile women with polycystic ovarian syndrome. Hum Reprod. 2017 Aug 1;32(8):1631-1638. doi: 10.1093/humrep/dex227.</t>
  </si>
  <si>
    <t>Atay, V., Cam, C., Muhcu, M., Cam, M., &amp; Karateke, A. (2006). Comparison of letrozole and clomiphene citrate in women with polycystic ovaries undergoing ovarian stimulation. Journal of international medical research, 34(1), 73-76.</t>
  </si>
  <si>
    <t xml:space="preserve">Bansal S, Goyal M, Sharma C, Shekhar S. Letrozole versus clomiphene citrate for ovulation induction in anovulatory women with polycystic ovarian syndrome: A randomized controlled trial. Int J Gynaecol Obstet. 2021 Mar;152(3):345-350. doi: 10.1002/ijgo.13375. Epub 2020 Oct 14. </t>
  </si>
  <si>
    <t xml:space="preserve">Bayar U, Basaran M, Kiran S, Coskun A, Gezer S. Use of an aromatase inhibitor in patients with polycystic ovary syndrome: a prospective randomized trial. Fertil Steril. 2006 Nov;86(5):1447-51. doi: 10.1016/j.fertnstert.2006.04.026. </t>
  </si>
  <si>
    <t>Begum, M. R., S. Akhter, et al. (2013). "Pretreatment and co‐administration of oral anti‐diabetic agent with clomiphene citrate or rFSH for ovulation induction in clomiphene‐citrate‐resistant polycystic ovary syndrome." Journal of Obstetrics &amp; Gynaecology Research 39(5): 966‐973.</t>
  </si>
  <si>
    <t xml:space="preserve">De Leo V, la Marca A, Ditto A, Morgante G, Cianci A. Effects of metformin on gonadotropin-induced ovulation in women with polycystic ovary syndrome. Fertil Steril. 1999 Aug;72(2):282-5. doi: 10.1016/s0015-0282(99)00208-3. </t>
  </si>
  <si>
    <t xml:space="preserve">Fleming R, Hopkinson ZE, Wallace AM, Greer IA, Sattar N. Ovarian function and metabolic factors in women with oligomenorrhea treated with metformin in a randomized double blind placebo-controlled trial. J Clin Endocrinol Metab. 2002 Feb;87(2):569-74. doi: 10.1210/jcem.87.2.8261. </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</si>
  <si>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 Epub 2009 Jan 7. PMID: 19127427.</t>
  </si>
  <si>
    <t>Ghanem, M. E.; Elboghdady, L. A.; Hassan, M.; Helal, A. S.; Gibreel, A.; Houssen, M.; Shaker, M. E.; Bahlol, I.; Mesbah, Y. Clomiphene citrate cotreatment with low dose urinary FSH versus urinary FSH for clomiphene resistant PCOS: randomized controlled trial. J Assist Reprod Genet 2013, 30, 1477‐85</t>
  </si>
  <si>
    <t xml:space="preserve">George SS, George K, Irwin C, Job V, Selvakumar R, Jeyaseelan V, Seshadri MS. Sequential treatment of metformin and clomiphene citrate in clomiphene-resistant women with polycystic ovary syndrome: a randomized, controlled trial. Hum Reprod. 2003 Feb;18(2):299-304. doi: 10.1093/humrep/deg105. </t>
  </si>
  <si>
    <t xml:space="preserve">Hoeger KM, Kochman L, Wixom N, Craig K, Miller RK, Guzick DS. A randomized, 48-week, placebo-controlled trial of intensive lifestyle modification and/or metformin therapy in overweight women with polycystic ovary syndrome: a pilot study. Fertil Steril. 2004 Aug;82(2):421-9. doi: 10.1016/j.fertnstert.2004.02.104. </t>
  </si>
  <si>
    <t xml:space="preserve">Homburg R, Hendriks ML, König TE, and Anderson RA, et al., Clomifene citrate or low-dose FSH for the first-line treatment of infertile women with anovulation associated with polycystic ovary syndrome: a prospective randomized multinational study. Hum Reprod. 2012 Feb;27(2):468-73. doi: 10.1093/humrep/der401. Epub 2011 Nov 28. </t>
  </si>
  <si>
    <t xml:space="preserve">Johnson NP, Stewart AW, Falkiner J, Farquhar CM, Milsom S, Singh VP, Okonkwo QL, Buckingham KL; REACT-NZ (REproduction And Collaborative Trials in New Zealand), a multi-centre fertility trials group. PCOSMIC: a multi-centre randomized trial in women with PolyCystic Ovary Syndrome evaluating Metformin for Infertility with Clomiphene. Hum Reprod. 2010 Jul;25(7):1675-83. doi: 10.1093/humrep/deq100. Epub 2010 Apr 30. </t>
  </si>
  <si>
    <t>Kar S, Sanchita S. Clomiphene citrate, metformin or a combination of both as the first line ovulation induction drug for Asian Indian women with polycystic ovarian syndrome: A randomized controlled trial. J Hum Reprod Sci. 2015 Oct-Dec;8(4):197-201. doi: 10.4103/0974-1208.170373.</t>
  </si>
  <si>
    <t xml:space="preserve">Kocak M, Caliskan E, Simsir C, Haberal A. Metformin therapy improves ovulatory rates, cervical scores, and pregnancy rates in clomiphene citrate-resistant women with polycystic ovary syndrome. Fertil Steril. 2002 Jan;77(1):101-6. doi: 10.1016/s0015-0282(01)02941-7. </t>
  </si>
  <si>
    <t>Kjotrod, S. B.; Carlsen, S. M.; Rasmussen, P. E.; Holst‐Larsen, T.; Mellembakken, J.; Thurin‐Kjellberg, A.; Haapaniemikouru, K.; Morin‐Papunen, L.; et al. Use of metformin before and during assisted reproductive technology in non‐obese young infertile women with polycystic ovary syndrome: a prospective, randomized, double‐blind, multi‐centre study. Hum Reprod 2011, 26, 2045‐53</t>
  </si>
  <si>
    <t xml:space="preserve">Liu C, Feng G, Huang W, Wang Q, Yang S, Tan J, Fu J, Liu D. Comparison of clomiphene citrate and letrozole for ovulation induction in women with polycystic ovary syndrome: a prospective randomized trial. Gynecol Endocrinol. 2017 Nov;33(11):872-876. doi: 10.1080/09513590.2017.1332174. Epub 2017 May 30. </t>
  </si>
  <si>
    <t>Lopez, E., et al., Ovulation induction in women with polycystic ovary syndrome: randomized trial of clomiphene citrate versus low‐dose recombinant FSH as first line therapy. Reproductive Biomedicine Online, 2004. 9(4): p. 382‐90.</t>
  </si>
  <si>
    <t xml:space="preserve">Legro RS, Barnhart HX, Schlaff WD, Carr BR, Diamond MP, Carson SA, Steinkampf MP, Coutifaris C, McGovern PG, Cataldo NA, Gosman GG, Nestler JE, Giudice LC, Leppert PC, Myers ER; Cooperative Multicenter Reproductive Medicine Network. Clomiphene, metformin, or both for infertility in the polycystic ovary syndrome. N Engl J Med. 2007 Feb 8;356(6):551-66. </t>
  </si>
  <si>
    <t xml:space="preserve">Morin-Papunen L, Rantala AS, Unkila-Kallio L, Tiitinen A, Hippeläinen M, Perheentupa A, Tinkanen H, Bloigu R, Puukka K, Ruokonen A, Tapanainen JS. Metformin improves pregnancy and live-birth rates in women with polycystic ovary syndrome (PCOS): a multicenter, double-blind, placebo-controlled randomized trial. J Clin Endocrinol Metab. 2012 May;97(5):1492-500. doi: 10.1210/jc.2011-3061. Epub 2012 Mar 14. </t>
  </si>
  <si>
    <t>Nazik, H., &amp; Kumtepe, Y. (2012). Comparison of efficacy of letrozole and clomiphene citrate in ovulation induction for women with polycystic ovarian syndrome. HealthMED, 6(3), 879-83.</t>
  </si>
  <si>
    <t>Ng EH, Wat NM, Ho PC. Effects of metformin on ovulation rate, hormonal and metabolic profiles in women with clomiphene-resistant polycystic ovaries: a randomized, double-blinded placebo-controlled trial. Hum Reprod. 2001 Aug;16(8):1625-31. doi: 10.1093/humrep/16.8.1625.</t>
  </si>
  <si>
    <t xml:space="preserve">Qublan HS, Al-Khaderei S, Abu-Salem AN, Al-Zpoon A, Al-Khateeb M, Al-Ibrahim N, Megdadi M, Al-Ahmad N. Metformin in the treatment of clomiphene citrate-resistant women with polycystic ovary syndrome undergoing in vitro fertilisation treatment: a randomised controlled trial. J Obstet Gynaecol. 2009 Oct;29(7):651-5. doi: 10.1080/01443610903147576. </t>
  </si>
  <si>
    <t>Roy KK, Baruah J, Singla S, Sharma JB, Singh N, Jain SK, Goyal M. A prospective randomized trial comparing the efficacy of Letrozole and Clomiphene citrate in induction of ovulation in polycystic ovarian syndrome. J Hum Reprod Sci. 2012 Jan;5(1):20-5. doi: 10.4103/0974-1208.97789. PMID: 22870010.</t>
  </si>
  <si>
    <t>Sahin Y, Yirmibeş U, Keleştimur F, Aygen E. The effects of metformin on insulin resistance, clomiphene-induced ovulation and pregnancy rates in women with polycystic ovary syndrome. Eur J Obstet Gynecol Reprod Biol. 2004 Apr 15;113(2):214-20. doi: 10.1016/j.ejogrb.2003.09.036.</t>
  </si>
  <si>
    <t>Siebert TI, Kruger TF, Lombard C. Evaluating the equivalence of clomiphene citrate with and without metformin in ovulation induction in PCOS patients. J Assist Reprod Genet. 2009 Apr;26(4):165-71. doi: 10.1007/s10815-009-9304-z. Epub 2009 Apr 25.</t>
  </si>
  <si>
    <t>Sohrabvand F, Ansari Sh, Bagheri M. Efficacy of combined metformin-letrozole in comparison with metformin-clomiphene citrate in clomiphene-resistant infertile women with polycystic ovarian disease. Hum Reprod. 2006 Jun;21(6):1432-5. doi: 10.1093/humrep/del020. Epub 2006 Feb 14.</t>
  </si>
  <si>
    <t>Tang T, Glanville J, Hayden CJ, White D, Barth JH, Balen AH. Combined lifestyle modification and metformin in obese patients with polycystic ovary syndrome. A randomized, placebo-controlled, double-blind multicentre study. Hum Reprod. 2006 Jan;21(1):80-9. doi: 10.1093/humrep/dei311. Epub 2005 Sep 30 [Tang 2006b]</t>
  </si>
  <si>
    <t xml:space="preserve">Vandermolen DT, Ratts VS, Evans WS, Stovall DW, Kauma SW, Nestler JE. Metformin increases the ovulatory rate and pregnancy rate from clomiphene citrate in patients with polycystic ovary syndrome who are resistant to clomiphene citrate alone. Fertil Steril. 2001 Feb;75(2):310-5. doi: 10.1016/s0015-0282(00)01675-7. </t>
  </si>
  <si>
    <t>Baryam N, van Wely M, Kaaijk EM, Bossuyt PM, van der Veen F. Using an electrocautery strategy or recombinant follicle stimulating hormone to induce ovulation in polycystic ovary syndrome: randomised controlled trial. BMJ. 2004 Jan 24;328(7433):192. doi: 10.1136/bmj.328.7433.192.</t>
  </si>
  <si>
    <t>De Leo V, la Marca A, Ditto A, Morgante G, Cianci A. Effects of metformin on gonadotropin-induced ovulation in women with polycystic ovary syndrome. Fertil Steril. 1999 Aug;72(2):282-5. doi: 10.1016/s0015-0282(99)00208-3.</t>
  </si>
  <si>
    <t>Farquhar CM, Williamson K, Gudex G, Johnson NP, Garland J, Sadler L. A randomized controlled trial of laparoscopic ovarian diathermy versus gonadotropin therapy for women with clomiphene citrate-resistant polycystic ovary syndrome. Fertil Steril. 2002 Aug;78(2):404-11. doi: 10.1016/s0015-0282(02)03225-9.</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</si>
  <si>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 Epub 2009 Jan 7..</t>
  </si>
  <si>
    <t>Ghanem, M. E.; Elboghdady, L. A.; Hassan, M.; Helal, A. S.; Gibreel, A.; Houssen, M.; Shaker, M. E.; Bahlol, I.; Mesbah, Y. Clomiphene citrate cotreatment with low dose urinary FSH versus urinary FSH for clomiphene resistant PCOS: randomized controlled trial.[Erratum appears in J Assist Reprod Genet. 2014 Apr;31(4):505‐6]. J Assist Reprod Genet 2013, 30, 1477‐85</t>
  </si>
  <si>
    <t>Tasdemir S, Ficicioglu C, Yalti S, Gurbuz B, Basaran T, Yildirim G. The effect of metformin treatment to ovarian response in cases with PCOS. Arch Gynecol Obstet. 2004 Jan;269(2):121-4. doi: 10.1007/s00404-002-0447-8.</t>
  </si>
  <si>
    <t>Yadav P, Singh S, Singh R, Jain M, Awasthi S, Raj P. To study the effect on fertility outcome by gonadotropins vs laparoscopic ovarian drilling in clomiphene-resistant cases of polycystic ovarian syndrome. Journal of SAFOG 2017; 9(4): 336‐340.</t>
  </si>
  <si>
    <t>Yarali H, Yildiz BO, Demirol A, Zeyneloğlu HB, Yiğit N, Bükülmez O, Koray Z. Co-administration of metformin during rFSH treatment in patients with clomiphene citrate-resistant polycystic ovarian syndrome: a prospective randomized trial. Hum Reprod. 2002 Feb;17(2):289-94. doi: 10.1093/humrep/17.2.289. PMID: 11821265.</t>
  </si>
  <si>
    <t>Roy KK, Baruah J, Moda N, Kumar S. Evaluation of unilateral versus bilateral ovarian drilling in clomiphene citrate resistant cases of polycystic ovarian syndrome. Arch Gynecol Obstet. 2009 Oct;280(4):573-8. doi: 10.1007/s00404-009-0961-z. Epub 2009 Feb 13. PMID: 19214545.</t>
  </si>
  <si>
    <t>Sharma, M., Kriplani, A., &amp; Agarwal, N. (2006). Laparoscopic bipolar versus unipolar ovarian drilling in infertile women with resistant polycystic ovarian syndrome: a pilot study. Journal of gynecologic surgery, 22(3), 105-111.</t>
  </si>
  <si>
    <t xml:space="preserve">Ashrafi, Mahnaz &amp; Moini, Ashraf &amp; Mohammadzadeh, Afsaneh &amp; Ezabadi, Zahra &amp; Zafarani, Fatemeh &amp; Baghestani, Ahmad. (2005). A comparative study of GnRH antagonist and GnRH agonist in PCO patients undergoing IVF/ICSI cycles. Iranian Journal of Reproductive Medicine (ISSN: 1680-6433) Vol 3 Num 1. 3. </t>
  </si>
  <si>
    <t>Bahceci, M.; Ulug, U.; Ben‐Shlomo, I.; Erden, H. F.; Akman, M. A. Use of a GnRH antagonist in controlled ovarian hyperstimulation for assisted conception in women with polycystic ovary disease: a randomized, prospective, pilot study. Journal of Reproductive Medicine 2005, 50, 84‐90</t>
  </si>
  <si>
    <t>Engmann L, DiLuigi A, Schmidt D, Nulsen J, Maier D, Benadiva C. The use of gonadotropin-releasing hormone (GnRH) agonist to induce oocyte maturation after cotreatment with GnRH antagonist in high-risk patients undergoing in vitro fertilization prevents the risk of ovarian hyperstimulation syndrome: a prospective randomized controlled study. Fertil Steril. 2008 Jan;89(1):84-91. doi: 10.1016/j.fertnstert.2007.02.002. Epub 2007 Apr 26. PMID: 17462639.</t>
  </si>
  <si>
    <t>Haydardedeoglu, B., Kilicdag, E. B., Parlakgumus, A. H., &amp; Zeyneloglu, H. B. (2012). IVF/ICSI outcomes of the OCP plus GnRH agonist protocol versus the OCP plus GnRH antagonist fixed protocol in women with PCOS: a randomized trial. Archives of Gynecology &amp; Obstetrics, 286(3), 763‐769</t>
  </si>
  <si>
    <t>Kurzawa, R.; Ciepiela, P.; Baczkowski, T.; Safranow, K.; Brelik, P. Comparison of embryological and clinical outcome in GnRH antagonist vs. GnRH agonist protocols for in vitro fertilization in PCOS non‐obese patients. A prospective randomized study. J Assist Reprod Genet 2008, 25, 365‐74</t>
  </si>
  <si>
    <t>Lainas, T. G.; Petsas, G. K.; Zorzovilis, I. Z.; Iliadis, G. S.; Lainas, G. T.; Cazlaris, H. E.; Kolibianakis, E. M. Initiation of GnRH antagonist on Day 1 of stimulation as compared to the long agonist protocol in PCOS patients. A randomized controlled trial: effect on hormonal levels and follicular development. Hum Reprod 2007, 22, 1540‐6</t>
  </si>
  <si>
    <t>Lainas, T. G., Sfontouris, I. A., Zorzovilis, I. Z., Petsas, G. K., Lainas, G. T., Alexopoulou, E., &amp; Kolibianakis, E. M. (2010). Flexible GnRH antagonist protocol versus GnRH agonist long protocol in patients with polycystic ovary syndrome treated for IVF: a prospective randomised controlled trial (RCT). Human Reproduction, 25(3), 683‐689.</t>
  </si>
  <si>
    <t>Doldi, N., Persico, P., Di Sebastiano, F., Marsiglio, E., &amp; Ferrari, A. (2006). Gonadotropin‐releasing hormone antagonist and metformin for treatment of polycystic ovary syndrome patients undergoing in vitro fertilization‐embryo transfer. Gynecological Endocrinology, 22(5), 235‐238.</t>
  </si>
  <si>
    <t>Fedorcsak, P.; Dale, P. O.; Storeng, R.; Abyholm, T.; Tanbo, T. The effect of metformin on ovarian stimulation and in vitro fertilization in insulin‐resistant women with polycystic ovary syndrome: an open‐label randomized crossover trial. Gynecol Endocrinol 2003, 17, 207‐14 DOI: 10.1080/gye.17.3.207.214</t>
  </si>
  <si>
    <t>Jacob SL, Brewer C, Tang T, Picton HM, Barth JH, Balen AH. A short course of metformin does not reduce OHSS in a GnRH antagonist cycle for women with PCOS undergoing IVF: a randomised placebo-controlled trial. Hum Reprod. 2016 Dec;31(12):2756-2764. doi: 10.1093/humrep/dew268. Epub 2016 Nov 5. PMID: 27816925.</t>
  </si>
  <si>
    <t>Onalan G, Pabuçcu R, Goktolga U, Ceyhan T, Bagis T, Cincik M. Metformin treatment in patients with polycystic ovary syndrome undergoing in vitro fertilization: a prospective randomized trial. Fertil Steril. 2005 Sep;84(3):798-801. doi: 10.1016/j.fertnstert.2005.03.043. PMID: 16169430.</t>
  </si>
  <si>
    <t>Kjotrod, S. B.; von During, V.; Carlsen, S. M. Metformin treatment before IVF/ICSI in women with polycystic ovary syndrome; a prospective, randomized, double blind study. Hum Reprod 2004, 19, 1315‐22</t>
  </si>
  <si>
    <t>Kjotrod, S. B., S. M. Carlsen, et al. (2011). "Use of metformin before and during assisted reproductive technology in non‐obese young infertile women with polycystic ovary syndrome: a prospective, randomized, double‐blind, multi‐centre study." Human Reproduction 26(8): 2045‐2053.</t>
  </si>
  <si>
    <t xml:space="preserve">Qublan HS, Al-Khaderei S, Abu-Salem AN, Al-Zpoon A, Al-Khateeb M, Al-Ibrahim N, Megdadi M, Al-Ahmad N. Metformin in the treatment of clomiphene citrate-resistant women with polycystic ovary syndrome undergoing in vitro fertilisation treatment: a randomised controlled trial. J Obstet Gynaecol. 2009 Oct;29(7):651-5. doi: 10.1080/01443610903147576. PMID: 19757275. </t>
  </si>
  <si>
    <t>Tang, T.; Glanville, J.; Orsi, N.; Barth, J. H.; Balen, A. H. The use of metformin for women with PCOS undergoing IVF treatment. Hum Reprod 2006, 21, 1416‐25</t>
  </si>
  <si>
    <t>Zheng X, Guo W, Zeng L, Zheng D, Yang S, Xu Y, Wang L, Wang R, Mol BW, Li R, Qiao J. In vitro maturation without gonadotropins versus in vitro fertilization with hyperstimulation in women with polycystic ovary syndrome: a non-inferiority randomized controlled trial. Hum Reprod. 2022 Jan 28;37(2):242-253. doi: 10.1093/humrep/deab243. PMID: 34849920; PMCID: PMC9115328.</t>
  </si>
  <si>
    <t>Almenning I, Rieber‐Mohn A, Lundgren KM, Shetelig Løvvik T, Garnæs KK, Moholdt T. Effects of high intensity interval training and strength training on metabolic, cardiovascular and hormonal outcomes in women with polycystic ovary syndrome: a pilot study. PloS One 2015;10(9):e0138793.</t>
  </si>
  <si>
    <t>Brown AJ, Setji TL, Sanders LL, Lowry KP, Otvos JD, Kraus WE, et al. Effects of exercise on lipoprotein particles in women with polycystic ovary syndrome. Medicine and Sciences in Sports and Exercise 2009;41(3):497‐504.</t>
  </si>
  <si>
    <t>Costa, E. C., DE Sá, J., Stepto, N. K., Costa, I., Farias-Junior, L. F., Moreira, S., Soares, E., Lemos, T., Browne, R., &amp; Azevedo, G. D. (2018). Aerobic Training Improves Quality of Life in Women with Polycystic Ovary Syndrome. Medicine and science in sports and exercise, 50(7), 1357–1366. https://doi.org/10.1249/MSS.0000000000001579</t>
  </si>
  <si>
    <t>Dietz de Loos, A., Jiskoot, G., Beerthuizen, A., Busschbach, J., &amp; Laven, J. (2021). Metabolic health during a randomized controlled lifestyle intervention in women with PCOS. European journal of endocrinology, 186(1), 53–64. https://doi.org/10.1530/EJE-21-0669</t>
  </si>
  <si>
    <t>Guzick DS, Wing R, Smith D, Berga SL, Winters SJ. Endocrine consequences of weight loss in obese, hyperandrogenic, anovulatory women. Fertility and Sterility 1994;61(4):598‐604.</t>
  </si>
  <si>
    <t>Hoeger KM, Kochman L, Wixom N, Craig K, Miller RK, Guzick DS. A randomized, 48‐week, placebo‐controlled trial of intensive lifestyle modification and/or metformin therapy in overweight women with polycystic ovary syndrome: a pilot study. Fertility and Sterility 2004;82(2):421‐9.</t>
  </si>
  <si>
    <t>Hoeger K, Davidson K, Kochman L, Cherry T, Kopin L, Guzick DS. The impact of metformin, oral contraceptives, and lifestyle modification on polycystic ovary syndrome in obese adolescent women in two randomized, placebo‐controlled clinical trials. Journal of Clinical Endocrinology and Metabolism 2008;93(11):4299‐306.</t>
  </si>
  <si>
    <t>Kiel, I. A., Lionett, S., Parr, E. B., Jones, H., Røset, M., Salvesen, Ø., Hawley, J. A., Vanky, E., &amp; Moholdt, T. (2022). High-Intensity Interval Training in Polycystic Ovary Syndrome: A Two-Center, Three-Armed Randomized Controlled Trial. Medicine and science in sports and exercise, 54(5), 717–727. https://doi.org/10.1249/MSS.0000000000002849</t>
  </si>
  <si>
    <t>Kogure, G. S., Lopes, I. P., Ribeiro, V. B., Mendes, M. C., Kodato, S., Furtado, C., Silva de Sá, M. F., Ferriani, R. A., Lara, L., &amp; Reis, R. (2020). The effects of aerobic physical exercises on body image among women with polycystic ovary syndrome. Journal of affective disorders, 262, 350–358.</t>
  </si>
  <si>
    <t>Moeller, L. V., Lindhardt, C. L., Andersen, M. S., Glintborg, D., &amp; Ravn, P. (2019). Motivational interviewing in obese women with polycystic ovary syndrome - a pilot study. Gynecological endocrinology: the official journal of the International Society of Gynecological Endocrinology, 35(1), 76–80. https://doi.org/10.1080/09513590.2018.1498832</t>
  </si>
  <si>
    <t>Nasrekani ZA, Fathi M. Efficacy of 12 weeks aerobic training on body composition, aerobic power and some women‐hormones in polycystic ovary syndrome infertile women. Iranian Journal of Obstetrics, Gynecology and Infertility 2016;19(5):1‐10.</t>
  </si>
  <si>
    <t>Oberg, E., Gidlöf, S., Jakson, I., Mitsell, M., Tollet Egnell, P., &amp; Hirschberg, A. L. (2019). Improved menstrual function in obese women with polycystic ovary syndrome after behavioural modification intervention-A randomized controlled trial. Clinical endocrinology, 90(3), 468–478. https://doi.org/10.1111/cen.13919</t>
  </si>
  <si>
    <t>Saremi A, Nader, Karmali M, Kazemi M. Serum level of anti‐mullerian hormone after exercise training in women with polycystic ovary syndrome: a randomised controlled trial. Iranian Journal of Obstetrics, Gynecology and Infertility 2013;16(64):10.</t>
  </si>
  <si>
    <t>Stefanaki C, Bacopoulou F, Livadas S, Kandaraki A, Karacalios A, Chrousos G, et al. Impact of a mindfulness stress management program on stress, anxiety, depression and quality of life in women with polycystic ovary syndrome: a randomised controlled trial. Stress (Amsterdam, Netherlands) 2015;18(1):57‐66.</t>
  </si>
  <si>
    <t>Turan V, Mutlu EK, Solmaz U, Ekin A, Tosun O, Tosun G, et al. Benefits of short‐term structured exercise in non‐overweight women with polycystic ovary syndrome: a prospective randomised controlled study. Journal of Physical Therapy Science 2015;27(7):2293‐7.</t>
  </si>
  <si>
    <t>Vigorito C, Giallauria F, Palomba S, Cascella T, Manguso F, Lucci R, et al. Beneficial effects of a three‐month structured exercise training program on cardiopulmonary functional capacity in young women with polycystic ovary syndrome. Journal of Clinical Endocrinology and Metabolism 2007;92(4):1379‐84.</t>
  </si>
  <si>
    <t>Leonhardt H, Hellstrom M, Gull B, Lind AK, Nilsson L, Janson OP, et al. Serum anti‐Mullerian hormone and ovarian morphology assessed by magnetic resonance imaging in response to acupuncture and exercise in women with polycystic ovary syndrome: secondary analyses of a randomized controlled trial. Acta Obstetricia et Gynecologica Scandinavica 2015;94:279‐87.</t>
  </si>
  <si>
    <t>Stener‐Victorin E, Baghaei F, Holm G, Janson PO, Olivecrona G, Lönn M, et al. Effects of acupuncture and exercise on insulin sensitivity, adipose tissue characteristics, and markers of coagulation and fibrinolysis in women with polycystic ovary syndrome: secondary analyses of a randomized controlled trial. Fertility and Sterility 2012;97(2):501‐8.</t>
  </si>
  <si>
    <t>Stener‐Victorin E, Holm G, Janson PO, Gustafson D, Waern M. Acupuncture and physical exercise for affective symptoms and health‐related quality of life in polycystic ovary syndrome: secondary analysis from a randomized controlled trial. BMC Complementary and Alternative Medicine 2013;13:131.</t>
  </si>
  <si>
    <t>Stener‐Victorin E, Jedel E, Janson PO, Sverrisdottir YB. Low‐frequency electroacupuncture and physical exercise decrease high muscle sympathetic nerve activity in polycystic ovary syndrome. American Journal of Physiology ‐ Regulatory, Integrative and Comparative Physiology 2009;297(2):R387‐95.</t>
  </si>
  <si>
    <t>same_study_diff_article</t>
  </si>
  <si>
    <t>prior search</t>
  </si>
  <si>
    <t>Ribeiro, V. B., Pedroso, D., Kogure, G. S., Lopes, I. P., Santana, B. A., Dutra de Souza, H. C., Ferriani, R. A., Calado, R. T., Furtado, C., &amp; Reis, R. (2021). Short-Term Aerobic Exercise Did Not Change Telomere Length While It Reduced Testosterone Levels and Obesity Indexes in PCOS: A Randomized Controlled Clinical Trial Study. International journal of environmental research and public health, 18(21), 11274. https://doi.org/10.3390/ijerph182111274</t>
  </si>
  <si>
    <t>Azadi-Yazdi, M., Karimi-Zarchi, M., Salehi-Abargouei, A., Fallahzadeh, H., &amp; Nadjarzadeh, A. (2017). Effects of Dietary Approach to Stop Hypertension diet on androgens, antioxidant status and body composition in overweight and obese women with polycystic ovary syndrome: a randomised controlled trial. Journal of human nutrition and dietetics: the official journal of the British Dietetic Association, 30(3), 275–283. https://doi.org/10.1111/jhn.12433</t>
  </si>
  <si>
    <t>Foroozanfard, F., Rafiei, H., Samimi, M., Gilasi, H. R., Gorjizadeh, R., Heidar, Z., &amp; Asemi, Z. (2017). The effects of dietary approaches to stop hypertension diet on weight loss, anti-Müllerian hormone and metabolic profiles in women with polycystic ovary syndrome: A randomized clinical trial. Clinical endocrinology, 87(1), 51–58. https://doi.org/10.1111/cen.13333</t>
  </si>
  <si>
    <t>Hosseini Marnani E., Ghadiri-Anari A., Ramezani-Jolfaie N., Mohammadi M., Abdollahi, A., Namayandeh S. M., et al. Effect of fennel supplementation along with high-protein, low-carbohydrate weight-loss diet on insulin resistance and percentage of fat and muscle mass in overweight/obese women with polycystic ovary syndrome. Journal of Functional Foods 2020 Vol. 67 Pages 103848. https://doi.org/10.1016/j.jff.2020.103848</t>
  </si>
  <si>
    <t>Mehrabani, H. H., Salehpour, S., Amiri, Z., Farahani, S. J., Meyer, B. J., &amp; Tahbaz, F. (2012). Beneficial effects of a high-protein, low-glycemic-load hypocaloric diet in overweight and obese women with polycystic ovary syndrome: a randomized controlled intervention study. Journal of the American College of Nutrition, 31(2), 117–125. https://doi.org/10.1080/07315724.2012.10720017</t>
  </si>
  <si>
    <t>Panico A, Lupoli GA, Cioffi I, Zacchia G, Caldara A, Lupoli G, Contaldo F, Pasanisi F. Effects of an isocaloric low-glycemic-load diet in polycystic ovary syndrome. Nutr Ther Metab. 2014;32:85–92.</t>
  </si>
  <si>
    <t>Stamets K, et al., A randomized trial of the effects of two types of short-term hypocaloric diets on weight loss in women with polycystic ovary syndrome. Fertility &amp; Sterility, 2004. 81(3): p. 630-637.</t>
  </si>
  <si>
    <t>Toscani, M. K., Mario, F. M., Radavelli-Bagatini, S., Wiltgen, D., Matos, M. C., &amp; Spritzer, P. M. (2011). Effect of high-protein or normal-protein diet on weight loss, body composition, hormone, and metabolic profile in southern Brazilian women with polycystic ovary syndrome: a randomized study. Gynecological endocrinology: the official journal of the International Society of Gynecological Endocrinology, 27(11), 925–930. https://doi.org/10.3109/09513590.2011.564686</t>
  </si>
  <si>
    <t>Wong, J. M., Gallagher, M., Gooding, H., Feldman, H. A., Gordon, C. M., Ludwig, D. S., &amp; Ebbeling, C. B. (2016). A randomized pilot study of dietary treatments for polycystic ovary syndrome in adolescents. Pediatric obesity, 11(3), 210–220. https://doi.org/10.1111/ijpo.12047</t>
  </si>
  <si>
    <t>Kazemi, M., McBreairty, L. E., Zello, G. A., Pierson, R. A., Gordon, J. J., Serrao, S. B., Chilibeck, P. D., &amp; Chizen, D. R. (2020). A pulse-based diet and the Therapeutic Lifestyle Changes diet in combination with health counseling and exercise improve health-related quality of life in women with polycystic ovary syndrome: secondary analysis of a randomized controlled trial. Journal of psychosomatic obstetrics and gynaecology, 41(2), 144–153. https://doi.org/10.1080/0167482X.2019.1666820</t>
  </si>
  <si>
    <t>Kazemi, M., Pierson, R. A., McBreairty, L. E., Chilibeck, P. D., Zello, G. A., &amp; Chizen, D. R. (2020). A randomized controlled trial of a lifestyle intervention with longitudinal follow-up on ovarian dysmorphology in women with polycystic ovary syndrome. Clinical endocrinology, 92(6), 525–535. https://doi.org/10.1111/cen.14179</t>
  </si>
  <si>
    <t>McBreairty, L. E., Kazemi, M., Chilibeck, P. D., Gordon, J. J., Chizen, D. R., &amp; Zello, G. A. (2020). Effect of a pulse-based diet and aerobic exercise on bone measures and body composition in women with polycystic ovary syndrome: A randomized controlled trial. Bone reports, 12, 100248. https://doi.org/10.1016/j.bonr.2020.100248</t>
  </si>
  <si>
    <t xml:space="preserve">Almenning I, Rieber-Mohn A, Lundgren KM, Shetelig Løvvik T, Garnæs KK, Moholdt T. Effects of High Intensity Interval Training and Strength Training on Metabolic, Cardiovascular and Hormonal Outcomes in Women with Polycystic Ovary Syndrome: A Pilot Study. PLoS One. 2015 Sep 25;10(9):e0138793. doi: 10.1371/journal.pone.0138793. </t>
  </si>
  <si>
    <t>Benham JL, Booth JE, Corenblum B, Doucette S, Friedenreich CM, Rabi DM, Sigal RJ. Exercise training and reproductive outcomes in women with polycystic ovary syndrome: A pilot randomized controlled trial. Clin Endocrinol (Oxf). 2021 Aug;95(2):332-343. doi: 10.1111/cen.14452.</t>
  </si>
  <si>
    <t>Patten RK, McIlvenna LC, Levinger I, Garnham AP, Shorakae S, Parker AG, McAinch AJ, Rodgers RJ, Hiam D, Moreno-Asso A, Stepto NK. High-intensity training elicits greater improvements in cardio-metabolic and reproductive outcomes than moderate-intensity training in women with polycystic ovary syndrome: a randomized clinical trial. Hum Reprod. 2022 May 3;37(5):1018-1029. doi: 10.1093/humrep/deac047.</t>
  </si>
  <si>
    <t>Thomson RL, Buckley JD, Noakes M, Clifton PM, Norman RJ, Brinkworth GD. The effect of a hypocaloric diet with and without exercise training on body composition, cardiometabolic risk profile, and reproductive function in overweight and obese women with polycystic ovary syndrome. J Clin Endocrinol Metab. 2008 Sep;93(9):3373-80. doi: 10.1210/jc.2008-0751.</t>
  </si>
  <si>
    <t>Ribeiro VB, Kogure GS, Lopes IP, Silva RC, Pedroso DCC, de Melo AS, de Souza HCD, Ferriani RA, Miranda Furtado CL, Dos Reis RM. Effects of continuous and intermittent aerobic physical training on hormonal and metabolic profile, and body composition in women with polycystic ovary syndrome: A randomized controlled trial. Clin Endocrinol (Oxf). 2020 Aug;93(2):173-186. doi: 10.1111/cen.14194.</t>
  </si>
  <si>
    <t>Ribeiro VB, Lopes IP, Dos Reis RM, Silva RC, Mendes MC, Melo AS, de Souza HCD, Ferriani RA, Kogure GS, Lara LADS. Continuous versus intermittent aerobic exercise in the improvement of quality of life for women with polycystic ovary syndrome: A randomized controlled trial. J Health Psychol. 2021 Aug;26(9):1307-1317. doi: 10.1177/1359105319869806.</t>
  </si>
  <si>
    <t>Ahmadi A, Akbarzadeh M, Mohammadi F, Akbari M, Jafari B, Tolide-Ie HR. Anthropometric characteristics and dietary pattern of women with polycystic ovary syndrome. Indian J Endocrinol Metab. 2013 Jul;17(4):672-6. doi: 10.4103/2230-8210.113759. PMID: 23961484; PMCID: PMC3743368.</t>
  </si>
  <si>
    <t>Alipouri, B., Roohelhami, E., Shahrdami, F., &amp; Rashidkhani, B. (2019). Dietary glycemic index/glycemic load and their relationship with inflammatory markers in women with polycystic ovary syndrome. PROGRESS IN NUTRITION, 21, 115-121.</t>
  </si>
  <si>
    <t>Altieri P, Cavazza C, Pasqui F, Morselli AM, Gambineri A, Pasquali R. Dietary habits and their relationship with hormones and metabolism in overweight and obese women with polycystic ovary syndrome. Clin Endocrinol (Oxf). 2013 Jan;78(1):52-9. doi: 10.1111/j.1365-2265.2012.04355.x. PMID: 22288821.</t>
  </si>
  <si>
    <t>Alvarez-Blasco, F., Luque-Ramírez, M., &amp; Escobar-Morreale, H. F. (2011). Diet composition and physical activity in overweight and obese premenopausal women with or without polycystic ovary syndrome. Gynecological Endocrinology, 27(12), 978-981.</t>
  </si>
  <si>
    <t>Amirjani S, Asemi Z, Bazarganipour F, Aramesh S, Allan H, Sayadi M, Tabatabaei MS, Mohamadian Z, Zabti F, Iranpak N, Heydarzadeh A, Taghavi SA, Badehnoosh B, Khashavi Z. Dietary intake and lifestyle behaviour in different phenotypes of polycystic ovarian syndrome: a case-control study. J Hum Nutr Diet. 2019 Aug;32(4):413-421. doi: 10.1111/jhn.12646. Epub 2019 Mar 11. PMID: 30859625.</t>
  </si>
  <si>
    <t>Badri-Fariman M, Naeini AA, Mirzaei K, Moeini A, Hosseini M, Bagheri SE, Daneshi-Maskooni M. Association between the food security status and dietary patterns with polycystic ovary syndrome (PCOS) in overweight and obese Iranian women: a case-control study. J Ovarian Res. 2021 Oct 13;14(1):134. doi: 10.1186/s13048-021-00890-1. PMID: 34645502; PMCID: PMC8515721.</t>
  </si>
  <si>
    <t>Banting LK, Gibson-Helm M, Polman R, Teede HJ, Stepto NK. Physical activity and mental health in women with polycystic ovary syndrome. BMC Womens Health. 2014 Mar 27;14(1):51. doi: 10.1186/1472-6874-14-51. PMID: 24674140; PMCID: PMC3986680.</t>
  </si>
  <si>
    <t>Barrea L, Arnone A, Annunziata G, Muscogiuri G, Laudisio D, Salzano C, Pugliese G, Colao A, Savastano S. Adherence to the Mediterranean Diet, Dietary Patterns and Body Composition in Women with Polycystic Ovary Syndrome (PCOS). Nutrients. 2019 Sep 23;11(10):2278. doi: 10.3390/nu11102278. PMID: 31547562; PMCID: PMC6836220.</t>
  </si>
  <si>
    <t>Bykowska-Derda A, Czlapka-Matyasik M, Kaluzna M, Ruchala M, Ziemnicka K. Diet quality scores in relation to fatness and nutritional knowledge in women with polycystic ovary syndrome: case-control study. Public Health Nutr. 2021 Aug;24(11):3389-3398. doi: 10.1017/S1368980020001755. Epub 2020 Jul 21. PMID: 32693854.</t>
  </si>
  <si>
    <t>Cutillas-Tolín A, Arense-Gonzalo JJ, Mendiola J, Adoamnei E, Navarro-Lafuente F, Sánchez-Ferrer ML, Prieto-Sánchez MT, Carmona-Barnosi A, Vioque J, Torres-Cantero AM. Are Dietary Indices Associated with Polycystic Ovary Syndrome and Its Phenotypes? A Preliminary Study. Nutrients. 2021 Jan 22;13(2):313. doi: 10.3390/nu13020313. PMID: 33499268; PMCID: PMC7911683.</t>
  </si>
  <si>
    <t>Cutler DA, Pride SM, Cheung AP. Low intakes of dietary fiber and magnesium are associated with insulin resistance and hyperandrogenism in polycystic ovary syndrome: A cohort study. Food Sci Nutr. 2019 Feb 27;7(4):1426-1437. doi: 10.1002/fsn3.977. PMID: 31024716; PMCID: PMC6475723.</t>
  </si>
  <si>
    <t>Cunha NBD, Ribeiro CT, Silva CM, Rosa-E-Silva ACJS, De-Souza DA. Dietary intake, body composition and metabolic parameters in women with polycystic ovary syndrome. Clin Nutr. 2019 Oct;38(5):2342-2348. doi: 10.1016/j.clnu.2018.10.012. Epub 2018 Nov 3. PMID: 30449604.</t>
  </si>
  <si>
    <t>Dantas WS, Marcondes JA, Shinjo SK, Perandini LA, Zambelli VO, Neves WD, Barcellos CR, Rocha MP, Yance Vdos R, Pereira RT, Murai IH, Pinto AL, Roschel H, Gualano B. GLUT4 translocation is not impaired after acute exercise in skeletal muscle of women with obesity and polycystic ovary syndrome. Obesity (Silver Spring). 2015 Nov;23(11):2207-15. doi: 10.1002/oby.21217. Epub 2015 Sep 16. Erratum in: Obesity (Silver Spring). 2016 Sep;24(9):2012. PMID: 26373822.</t>
  </si>
  <si>
    <t>De Giuseppe R, Braschi V, Bosoni D, Biino G, Stanford FC, Nappi RE, Cena H. Dietary underreporting in women affected by polycystic ovary syndrome: A pilot study. Nutr Diet. 2019 Nov;76(5):560-566. doi: 10.1111/1747-0080.12460. Epub 2018 Aug 5. PMID: 30079594; PMCID: PMC6363911.</t>
  </si>
  <si>
    <t>Douglas CC, Norris LE, Oster RA, Darnell BE, Azziz R, Gower BA. Difference in dietary intake between women with polycystic ovary syndrome and healthy controls. Fertil Steril. 2006 Aug;86(2):411-7. doi: 10.1016/j.fertnstert.2005.12.054. Epub 2006 Jun 8. PMID: 16762348.</t>
  </si>
  <si>
    <t>Eslamian G, Baghestani AR, Eghtesad S, Hekmatdoost A. Dietary carbohydrate composition is associated with polycystic ovary syndrome: a case-control study. J Hum Nutr Diet. 2017 Feb;30(1):90-97. doi: 10.1111/jhn.12388. Epub 2016 Jun 14. PMID: 27296009.</t>
  </si>
  <si>
    <t>Forslund M, Landin-Wilhelmsen K, Trimpou P, Schmidt J, Brännström M, Dahlgren E. Type 2 diabetes mellitus in women with polycystic ovary syndrome during a 24-year period: importance of obesity and abdominal fat distribution. Hum Reprod Open. 2020 Jan 15;2020(1):hoz042. doi: 10.1093/hropen/hoz042. PMID: 31976382; PMCID: PMC6964225.</t>
  </si>
  <si>
    <t>Ganie MA, Sahar T, Rashid A, Wani IA, Nisar S, Sathyapalan T, Vishnubhatla S, Ramakrishnan L, Parvez T, Geer I. Comparative Evaluation of Biomarkers of Inflammation Among Indian Women With Polycystic Ovary Syndrome (PCOS) Consuming Vegetarian vs. Non-vegetarian Diet. Front Endocrinol (Lausanne). 2019 Nov 8;10:699. doi: 10.3389/fendo.2019.00699. PMID: 31781027; PMCID: PMC6857098.</t>
  </si>
  <si>
    <t>Pourghassem Gargari B, Houjeghani S, Farzadi L, Houjeghani S, Safaeiyan A. Relationship between Serum Leptin, Ghrelin and Dietary Macronutrients in Women with Polycystic Ovary Syndrome. Int J Fertil Steril. 2015 Oct-Dec;9(3):313-21. doi: 10.22074/ijfs.2015.4546. Epub 2015 Oct 31. PMID: 26644854; PMCID: PMC4671384.</t>
  </si>
  <si>
    <t>Gopalan U , Ghose S , Karnaboopathy R , Comparison of dietary pattern and BMI in South Indian women with PCOS and controls. Indian J Obstet Gynecol Res 2021;8(1):57-60</t>
  </si>
  <si>
    <t>Graff SK, Mário FM, Alves BC, Spritzer PM. Dietary glycemic index is associated with less favorable anthropometric and metabolic profiles in polycystic ovary syndrome women with different phenotypes. Fertil Steril. 2013 Oct;100(4):1081-8. doi: 10.1016/j.fertnstert.2013.06.005. Epub 2013 Jul 2. PMID: 23830153.</t>
  </si>
  <si>
    <t>Graff SK, Mario FM, Magalhães JA, Moraes RS, Spritzer PM. Saturated Fat Intake Is Related to Heart Rate Variability in Women with Polycystic Ovary Syndrome. Ann Nutr Metab. 2017;71(3-4):224-233. doi: 10.1159/000484325. Epub 2017 Nov 14. PMID: 29136632.</t>
  </si>
  <si>
    <t>Hosseini MS, Dizavi A, Rostami H, Parastouei K, Esfandiari S. Healthy eating index in women with polycystic ovary syndrome: A case-control study. Int J Reprod Biomed. 2017 Sep;15(9):575-582. PMID: 29662966; PMCID: PMC5894473.</t>
  </si>
  <si>
    <t>Huijgen NA, Laven JS, Labee CT, Louwers YV, Willemsen SP, Steegers-Theunissen RP. Are Dieting and Dietary Inadequacy a Second Hit in the Association with Polycystic Ovary Syndrome Severity? PLoS One. 2015 Nov 16;10(11):e0142772. doi: 10.1371/journal.pone.0142772. PMID: 26569630; PMCID: PMC4646482.</t>
  </si>
  <si>
    <t>Kazemi Jaliseh H, Ramezani Tehrani F, Behboudi-Gandevani S, Hosseinpanah F, Khalili D, Cheraghi L, Azizi F. Polycystic ovary syndrome is a risk factor for diabetes and prediabetes in middle-aged but not elderly women: a long-term population-based follow-up study. Fertil Steril. 2017 Dec;108(6):1078-1084. doi: 10.1016/j.fertnstert.2017.09.004. PMID: 29202960.</t>
  </si>
  <si>
    <t>Jurewicz J, Majewska J, Berg A, Owczarek K, Zajdel R, Kaleta D, Wasik A, Rachoń D. Serum bisphenol A analogues in women diagnosed with the polycystic ovary syndrome - is there an association? Environ Pollut. 2021 Mar 1;272:115962. doi: 10.1016/j.envpol.2020.115962. Epub 2020 Nov 6. PMID: 33223334.</t>
  </si>
  <si>
    <t>Khademi A, Alleyassin A, Aghahosseini M, Tabatabaeefar L, Amini M. The Effect of Exercise in PCOS Women Who Exercise Regularly. Asian J Sports Med. 2010 Mar;1(1):35-40. doi: 10.5812/asjsm.34874. PMID: 22375190; PMCID: PMC3289164.</t>
  </si>
  <si>
    <t>Larsson I, Hulthén L, Landén M, Pålsson E, Janson P, Stener-Victorin E. Dietary intake, resting energy expenditure, and eating behavior in women with and without polycystic ovary syndrome. Clin Nutr. 2016 Feb;35(1):213-218. doi: 10.1016/j.clnu.2015.02.006. Epub 2015 Feb 20. PMID: 25743212.</t>
  </si>
  <si>
    <t>Lerchbaum E, Theiler-Schwetz V, Kollmann M, Wölfler M, Pilz S, Obermayer-Pietsch B, Trummer C. Effects of Vitamin D Supplementation on Surrogate Markers of Fertility in PCOS Women: A Randomized Controlled Trial. Nutrients. 2021 Feb 7;13(2):547. doi: 10.3390/nu13020547. PMID: 33562394; PMCID: PMC7914670.</t>
  </si>
  <si>
    <t>Liang Z, Di N, Li L, Yang D. Gut microbiota alterations reveal potential gut-brain axis changes in polycystic ovary syndrome. J Endocrinol Invest. 2021 Aug;44(8):1727-1737. doi: 10.1007/s40618-020-01481-5. Epub 2021 Jan 2. PMID: 33387350.</t>
  </si>
  <si>
    <t>Lin AW, Kazemi M, Jarrett BY, Vanden Brink H, Hoeger KM, Spandorfer SD, Lujan ME. Dietary and Physical Activity Behaviors in Women with Polycystic Ovary Syndrome per the New International Evidence-Based Guideline. Nutrients. 2019 Nov 8;11(11):2711. doi: 10.3390/nu11112711. PMID: 31717369; PMCID: PMC6893689.</t>
  </si>
  <si>
    <t>Lin AW, Siscovick D, Sternfeld B, Schreiner P, Lewis CE, Wang ET, Merkin SS, Wellons M, Steffen L, Calderon-Margalit R, Cassano PA, Lujan ME. Associations of diet, physical activity and polycystic ovary syndrome in the Coronary Artery Risk Development in Young Adults Women's Study. BMC Public Health. 2021 Jan 6;21(1):35. doi: 10.1186/s12889-020-10028-5. PMID: 33407255; PMCID: PMC7789704.</t>
  </si>
  <si>
    <t>Lu L, Li X, Lv L, Xu Y, Wu B, Huang C. Dietary and serum n-3 PUFA and polycystic ovary syndrome: a matched case-control study. Br J Nutr. 2021 Aug 10:1-10. doi: 10.1017/S0007114521003007. Epub ahead of print. PMID: 34372961.</t>
  </si>
  <si>
    <t>Mario FM, do Amarante F, Toscani MK, Spritzer PM. Lean muscle mass in classic or ovulatory PCOS: association with central obesity and insulin resistance. Exp Clin Endocrinol Diabetes. 2012 Oct;120(9):511-6. doi: 10.1055/s-0032-1309006. Epub 2012 May 10. PMID: 22576259.</t>
  </si>
  <si>
    <t>Mario FM, Graff SK, Spritzer PM. Habitual physical activity is associated with improved anthropometric and androgenic profile in PCOS: a cross-sectional study. J Endocrinol Invest. 2017 Apr;40(4):377-384. doi: 10.1007/s40618-016-0570-1. Epub 2016 Oct 22. PMID: 27771865.</t>
  </si>
  <si>
    <t>Melekoglu E, Goksuluk D, Akal Yildiz E. Association between Dietary Glycaemic Index and Glycaemic Load and Adiposity Indices in Polycystic Ovary Syndrome. J Am Coll Nutr. 2020 Aug;39(6):537-546. doi: 10.1080/07315724.2019.1705200. Epub 2019 Dec 30. PMID: 31887072.</t>
  </si>
  <si>
    <t>Misir A, Banjari I, Loncar I. COMPARISON OF DIET IN WOMEN OF REPRODUCTIVE AGE WITH AND WITHOUT DIAGNOSED POLYCYSTIC OVARY SYNDROME - PILOT STUDY. Med Pregl. 2016 Sep;69(9-10):274-280. English, Welsh. doi: 10.2298/mpns1610274m. PMID: 29693849.</t>
  </si>
  <si>
    <t>Navarro-Lafuente F, Arense-Gonzalo JJ, Sánchez-Ferrer ML, Prieto-Sánchez MT, Cutillas-Tolín A, Mendiola J, Adoamnei E, Gazabat-Barbado E, Vioque J, Torres-Cantero AM. Fat intake pattern in women with polycystic ovary syndrome. Reprod Biomed Online. 2022 Jan;44(1):93-103. doi: 10.1016/j.rbmo.2021.08.015. Epub 2021 Aug 24. PMID: 34654614.</t>
  </si>
  <si>
    <t>Neubronner SA, Indran IR, Chan YH, Thu AWP, Yong EL. Effect of body mass index (BMI) on phenotypic features of polycystic ovary syndrome (PCOS) in Singapore women: a prospective cross-sectional study. BMC Womens Health. 2021 Apr 1;21(1):135. doi: 10.1186/s12905-021-01277-6. PMID: 33794861; PMCID: PMC8017849.</t>
  </si>
  <si>
    <t>Noormohammadi M, Eslamian G, Malek S, Shoaibinobarian N, Mirmohammadali SN. The association between fertility diet score and polycystic ovary syndrome: A Case-Control study. Health Care Women Int. 2022 Jan-Mar;43(1-3):70-84. doi: 10.1080/07399332.2021.1886298. Epub 2021 Apr 2. PMID: 33797335.</t>
  </si>
  <si>
    <t>Orio F Jr, Giallauria F, Palomba S, Cascella T, Manguso F, Vuolo L, Russo T, Tolino A, Lombardi G, Colao A, Vigorito C. Cardiopulmonary impairment in young women with polycystic ovary syndrome. J Clin Endocrinol Metab. 2006 Aug;91(8):2967-71. doi: 10.1210/jc.2006-0216. Epub 2006 Jun 6. PMID: 16757529.</t>
  </si>
  <si>
    <t>Panjeshahin A, Salehi-Abargouei A, Anari AG, Mohammadi M, Hosseinzadeh M. Association between empirically derived dietary patterns and polycystic ovary syndrome: A case-control study. Nutrition. 2020 Nov-Dec;79-80:110987. doi: 10.1016/j.nut.2020.110987. Epub 2020 Aug 28. PMID: 32947130.</t>
  </si>
  <si>
    <t>Pokorska-Niewiada K, Brodowska A, Szczuko M. The Content of Minerals in the PCOS Group and the Correlation with the Parameters of Metabolism. Nutrients. 2021 Jun 28;13(7):2214. doi: 10.3390/nu13072214. PMID: 34203167; PMCID: PMC8308369.</t>
  </si>
  <si>
    <t>Sedighi S, Amir Ali Akbari S, Afrakhteh M, Esteki T, Alavi Majd H, Mahmoodi Z. Comparison of lifestyle in women with polycystic ovary syndrome and healthy women. Glob J Health Sci. 2014 Aug 31;7(1):228-34. doi: 10.5539/gjhs.v7n1p228. PMID: 25560358; PMCID: PMC4796416.</t>
  </si>
  <si>
    <t>Shahdadian F, Ghiasvand R, Abbasi B, Feizi A, Saneei P, Shahshahan Z. Association between major dietary patterns and polycystic ovary syndrome: evidence from a case-control study. Appl Physiol Nutr Metab. 2019 Jan;44(1):52-58. doi: 10.1139/apnm-2018-0145. Epub 2018 Jul 3. PMID: 29969571.</t>
  </si>
  <si>
    <t>Shishehgar F, Ramezani Tehrani F, Mirmiran P, Hajian S, Baghestani AR, Moslehi N. Comparison of Dietary Intake between Polycystic Ovary Syndrome Women and Controls. Glob J Health Sci. 2016 Sep 1;8(9):54801. doi: 10.5539/gjhs.v8n9p302. PMID: 27157182; PMCID: PMC5064084.</t>
  </si>
  <si>
    <t>Shishehgar F, Tehrani FR, Mirmiran P, Hajian S, Baghestani AR, Moslehi N. Factors Influencing Physical Activity in Women with Polycystic Ovary Syndrome in Comparison to Eumenorrheic Non Hirsute Women. Glob J Health Sci. 2016 Oct 1;8(10):56382. doi: 10.5539/gjhs.v8n10p127. PMID: 27302456.</t>
  </si>
  <si>
    <t>Shishehgar F, Mirmiran P, Rahmati M, Tohidi M, Ramezani Tehrani F. Does a restricted energy low glycemic index diet have a different effect on overweight women with or without polycystic ovary syndrome? BMC Endocr Disord. 2019 Sep 2;19(1):93. doi: 10.1186/s12902-019-0420-1. PMID: 31477085; PMCID: PMC6720418.</t>
  </si>
  <si>
    <t>Soodi S, Keshavarz SA, Hosseini S, Abbasi B. Dietary diversity score is inversely related to the risk of polycystic ovary syndrome in Tehranian women: a case-control study. Appl Physiol Nutr Metab. 2021 Dec 8:1-6. doi: 10.1139/apnm-2021-0359. Epub ahead of print. PMID: 34878921.</t>
  </si>
  <si>
    <t>Szczuko M, Szydłowska I, Nawrocka-Rutkowska J. A Properly Balanced Reduction Diet and/or Supplementation Solve the Problem with the Deficiency of These Vitamins Soluble in Water in Patients with PCOS. Nutrients. 2021 Feb 26;13(3):746. doi: 10.3390/nu13030746. PMID: 33652684; PMCID: PMC7996738.</t>
  </si>
  <si>
    <t>Thara, C., &amp; Divakar, S. U. M. A. (2017). Assessment of nutritional status of PCOS women in Kerala. International Journal of Applied Home Science, 4(9-10), 717-722.</t>
  </si>
  <si>
    <t>Thomson RL, Buckley JD, Moran LJ, Noakes M, Clifton PM, Norman RJ, Brinkworth GD. Comparison of aerobic exercise capacity and muscle strength in overweight women with and without polycystic ovary syndrome. BJOG. 2009 Aug;116(9):1242-50. doi: 10.1111/j.1471-0528.2009.02177.x. Epub 2009 May 11. PMID: 19438498.</t>
  </si>
  <si>
    <t>Toscani MK, Mario FM, Radavelli-Bagatini S, Wiltgen D, Matos MC, Spritzer PM. Effect of high-protein or normal-protein diet on weight loss, body composition, hormone, and metabolic profile in southern Brazilian women with polycystic ovary syndrome: a randomized study. Gynecol Endocrinol. 2011 Nov;27(11):925-30. doi: 10.3109/09513590.2011.564686. Epub 2011 May 31. PMID: 21627406.</t>
  </si>
  <si>
    <t>Toscani MK, Mario FM, Radavelli-Bagatini S, Spritzer PM. Insulin resistance is not strictly associated with energy intake or dietary macronutrient composition in women with polycystic ovary syndrome. Nutr Res. 2011 Feb;31(2):97-103. doi: 10.1016/j.nutres.2011.01.009. PMID: 21419313.</t>
  </si>
  <si>
    <t>Tsai YH, Wang TW, Wei HJ, Hsu CY, Ho HJ, Chen WH, Young R, Liaw CM, Chao JC. Dietary intake, glucose metabolism and sex hormones in women with polycystic ovary syndrome (PCOS) compared with women with non-PCOS-related infertility. Br J Nutr. 2013 Jun 28;109(12):2190-8. doi: 10.1017/S0007114512004369. Epub 2012 Oct 10. Erratum in: Br J Nutr. 2014 Jun 14;111(11):2045. PMID: 23046530.</t>
  </si>
  <si>
    <t>Wang Z, Groen H, Cantineau AEP, van Elten TM, Karsten MDA, van Oers AM, Mol BWJ, Roseboom TJ, Hoek A. Dietary Intake, Eating Behavior, Physical Activity, and Quality of Life in Infertile Women with PCOS and Obesity Compared with Non-PCOS Obese Controls. Nutrients. 2021 Oct 8;13(10):3526. doi: 10.3390/nu13103526. PMID: 34684528; PMCID: PMC8538395.</t>
  </si>
  <si>
    <t>Wang Z, Groen H, Cantineau AEP, van Elten TM, Karsten MDA, van Oers AM, Mol BWJ, Roseboom TJ, Hoek A. Effectiveness of a 6-Month Lifestyle Intervention on Diet, Physical Activity, Quality of Life, and Markers of Cardiometabolic Health in Women with PCOS and Obesity and Non-PCOS Obese Controls: One Size Fits All? Nutrients. 2021 Sep 28;13(10):3425. doi: 10.3390/nu13103425. PMID: 34684438; PMCID: PMC8538637.</t>
  </si>
  <si>
    <t>Wang Q, Sun Y, Xu Q, Liu W, Wang P, Yao J, Zhao A, Chen Y, Wang W. Higher dietary inflammation potential and certain dietary patterns are associated with polycystic ovary syndrome risk in China: A case-control study. Nutr Res. 2022 Apr;100:1-18. doi: 10.1016/j.nutres.2021.12.006. Epub 2022 Jan 5. PMID: 35108617.</t>
  </si>
  <si>
    <t>Wright CE, Zborowski JV, Talbott EO, McHugh-Pemu K, Youk A. Dietary intake, physical activity, and obesity in women with polycystic ovary syndrome. Int J Obes Relat Metab Disord. 2004 Aug;28(8):1026-32. doi: 10.1038/sj.ijo.0802661. PMID: 15159768.</t>
  </si>
  <si>
    <t>Zhang J, Liu Y, Liu X, Xu L, Zhou L, Tang L, Zhuang J, Guo W, Hu R. High Intake of Energy and Fat in Southwest Chinese Women with PCOS: A Population-Based Case-Control Study. PLoS One. 2015 May 20;10(5):e0127094. doi: 10.1371/journal.pone.0127094. PMID: 25993656; PMCID: PMC4439160.</t>
  </si>
  <si>
    <t>Zhang B, Zhou W, Shi Y, Zhang J, Cui L, Chen ZJ. Lifestyle and environmental contributions to ovulatory dysfunction in women of polycystic ovary syndrome. BMC Endocr Disord. 2020 Jan 30;20(1):19. doi: 10.1186/s12902-020-0497-6. PMID: 32000752; PMCID: PMC6993477.</t>
  </si>
  <si>
    <t>Zhang J, Zhou K, Luo L, Liu Y, Liu X, Xu L. Effects of exercise and dietary habits on the occurrence of polycystic ovary syndrome over 5 years of follow-up. Int J Gynaecol Obstet. 2018 Sep;142(3):329-337. doi: 10.1002/ijgo.12563. Epub 2018 Jun 27. PMID: 29877578.</t>
  </si>
  <si>
    <t>Zirak Sharkesh E, Keshavarz SA, Nazari L, Abbasi B. The dietary inflammatory index is directly associated with polycystic ovary syndrome: A case-control study. Clin Endocrinol (Oxf). 2022 May;96(5):698-706. doi: 10.1111/cen.14672. Epub 2022 Jan 7. PMID: 34961961.</t>
  </si>
  <si>
    <t>Bialka-Kosiec, Agnieszka A., et al. "Body mass composition and dietary habits in adolescents with polycystic ovary syndrome." Ginekologia Polska 90.10 (2019): 589-595.</t>
  </si>
  <si>
    <t>Eleftheriadou, M., et al. "Exercise and sedentary habits among adolescents with PCOS." Journal of Pediatric and Adolescent Gynecology 25.3 (2012): 172-174.</t>
  </si>
  <si>
    <t>Eleftheriadou, Maria, et al. "Dietary habits in adolescent girls with polycystic ovarian syndrome." Gynecological Endocrinology 31.4 (2015): 269-271.</t>
  </si>
  <si>
    <t>Kulshreshtha, Bindu, et al. "PCOS patients differ in meal timings rather than total caloric or macronutrient intake in comparison to weight matched controls." European Journal of Obstetrics &amp; Gynecology and Reproductive Biology 270 (2022): 11-16.</t>
  </si>
  <si>
    <t>Mizgier, Małgorzata, et al. "Association of Macronutrients Composition, Physical Activity and Serum Androgen Concentration in Young Women with Polycystic Ovary Syndrome." Nutrients 14.1 (2021): 73.</t>
  </si>
  <si>
    <t>Mizgier, Małgorzata, et al. "Dietary and Physical Activity Habits in Adolescent Girls with Polycystic Ovary Syndrome (PCOS)-HAstudy." Journal of Clinical Medicine 10.16 (2021): 3469.</t>
  </si>
  <si>
    <t>Amiri, F. N., Tehrani, F. R., Simbar, M., Montazeri, A., &amp; Thamtan, R. A. M. (2014). The experience of women affected by polycystic ovary syndrome: a qualitative study from Iran. International journal of endocrinology and metabolism, 12(2). https://doi.org/10.5812/ijem.13612</t>
  </si>
  <si>
    <t>Chopra, S., Zehrung, R., Shanmugam, T. A., &amp; Choe, E. K. (2021, May). Living with uncertainty and stigma: self-experimentation and support-seeking around polycystic ovary syndrome. In Proceedings of the 2021 CHI Conference on Human Factors in Computing Systems (pp. 1-18). https://doi.org/10.1145/3411764. 3445706</t>
  </si>
  <si>
    <t>Ismayilova, M., &amp; Yaya, S. (2022). ‘I'm usually being my own doctor’: women's experiences of managing polycystic ovary syndrome in Canada. International Health. https://doi.org/10.1093/inthealth/ihac028</t>
  </si>
  <si>
    <t>Jones, G. L., Hall, J. M., Lashen, H. L., Balen, A. H., &amp; Ledger, W. L. (2011). Health‐related quality of life among adolescents with polycystic ovary syndrome. Journal of Obstetric, Gynecologic &amp; Neonatal Nursing, 40(5), 577-588. https://doi.org/10.1111/j.1552-6909.2011.01279.x</t>
  </si>
  <si>
    <t>Moran, L. J., Tan, Z. Q., Bayer, S., Boyle, J. A., Robinson, T., &amp; Lim, S. S. (2022). Perspectives of allied health professionals on implementation of the lifestyle polycystic ovary syndrome guidelines: a qualitative study. Journal of the Academy of Nutrition and Dietetics, 122(7), 1305-1316. https://doi.org/10.1016/j.jand.2021.11.013</t>
  </si>
  <si>
    <t>Tomlinson, J., Pinkney, J., Adams, L., Stenhouse, E., Bendall, A., Corrigan, O., &amp; Letherby, G. (2017). The diagnosis and lived experience of polycystic ovary syndrome: A qualitative study. Journal of advanced nursing, 73(10), 2318-2326. https://doi.org/10.1111/jan.13300</t>
  </si>
  <si>
    <t>Williams, S., Sheffield, D., &amp; Knibb, R. C. (2016). A snapshot of the lives of women with polycystic ovary syndrome: A photovoice investigation. Journal of Health Psychology, 21(6), 1170-1182. https://doi.org/10.1177/1359105314547941</t>
  </si>
  <si>
    <t>Trent, M. E Rich M, Austin B, Gordon C (2002). "Quality of life in adolescent girls with polycystic ovary syndrome." Archives of Pediatrics &amp; Adolescent Medicine 156(6): 556-560.</t>
  </si>
  <si>
    <t>Shishehgar F, Tehrani FR, Mirmiran P, Hajian S, Baghestani AR (2016). "Comparison of the Association of Excess Weight on Health Related Quality of Life of Women with Polycystic Ovary Syndrome: An Age- and BMI- Matched Case Control Study." PLoS ONE [Electronic Resource] 11(10): e0162911.</t>
  </si>
  <si>
    <t>Shafti, V. and S. Shahbazi (2016). "Comparing Sexual Function and Quality of Life in Polycystic Ovary Syndrome and Healthy Women." Journal of Family &amp; Reproductive Health 10(2): 92-98.</t>
  </si>
  <si>
    <t>Ramos, F. K., Lara LS, Kogure GS, Silva RC, Ferriani RA, de Sá MFS, dos Reis RM (2016). "Quality of Life in Women with Polycystic Ovary Syndrome after a Program of Resistance Exercise Training." Revista Brasileira de Ginecologia e Obstetricia 38(7): 340-347.</t>
  </si>
  <si>
    <t>Ozcan Dag, Z., Oguzturk O, Isik Y, Turkel Y &amp; Bulcun E (2015). "Personality profile in patients with polycystic ovary syndrome." Gynecological Endocrinology 31(7): 540-542.</t>
  </si>
  <si>
    <t>Ozcan Dag, Z., Alpua M, Isik Y, S. Buturak V, Ozlem B., Tulmac &amp; Yakup Turkel (2016). "The evaluation of temperament and quality of life in patients with polycystic ovary syndrome." Gynecological Endocrinology: 1-4.</t>
  </si>
  <si>
    <t>Kumarapeli, V., Seneviratne R de A, Wijeyaratnec CN. (2011). "Health-related quality of life and psychological distress in polycystic ovary syndrome: a hidden facet in South Asian women." BJOG: An International Journal of Obstetrics &amp; Gynaecology 118(3): 319-328.</t>
  </si>
  <si>
    <t>Hahn, S., Janssen OE, Tan S, Pleger K, Mann K, Schedlowski M, Kimmig R, Benson S, Balamitsa E and Elsenbruch S(2005). "Clinical and psychological correlates of quality-of-life in polycystic ovary syndrome." European Journal of Endocrinology 153(6): 853-860.</t>
  </si>
  <si>
    <t>Elsenbruch, S., Hahn, S., Kowalsky, D., Offner, A. H., Schedlowski, M., Mann, K. and Janssen, O. E. 2003 Quality of life, psychosocial well-being, and sexual satisfaction in women with polycystic ovary syndrome. Journal of Clinical Endocrinology &amp; Metabolism. 88 [12]: 5801-7.</t>
  </si>
  <si>
    <t>Drosdzol, A., Skrzypulec V, Mazur B, Pawliñska-Chmara R (2007). "Quality of life and marital sexual satisfaction in women with polycystic ovary syndrome." Folia Histochemica et Cytobiologica 45 Suppl 1: S93-97.</t>
  </si>
  <si>
    <t>Benson, S., Janssen O.E., Hahn S. Tan S. Dietz T. Mann K. Pleger K. Schedlowski M. Arck PC. Elsenbruch S (2008). "Obesity, depression, and chronic low-grade inflammation in women with polycystic ovary syndrome." Brain, Behavior, &amp; Immunity 22(2): 177-184.</t>
  </si>
  <si>
    <t>Benetti-Pinto, C. L., Ferreira S. R. Antunes Jr. A. Yela D. A. (2015). "The influence of body weight on sexual function and quality of life in women with polycystic ovary syndrome." Archives of Gynecology &amp; Obstetrics 291(2): 451-455.</t>
  </si>
  <si>
    <t>Acmaz G, Albayrak E, Acmaz B, Bager M, Soyak M, ZararsJz G, and Ipekmüderris I (2013). "Level of anxiety, depression, self-esteem, social anxiety, and quality of life among the women with polycystic ovary syndrome." The Scientific World Journal 2013: 851815.</t>
  </si>
  <si>
    <t>Yin, X.; Ji, Y.; Chan, C. L. W.; Chan, C. H. Y. The mental health of women with polycystic ovary syndrome: a systematic review and meta-analysis Archives of Women's Mental Health 02 2021;24(1):11-27 2021 02</t>
  </si>
  <si>
    <t>Wilson, N. A.; Pena, A. S. Quality of life in adolescent girls with polycystic ovary syndrome Journal of Paediatrics &amp; Child Health Sep 2020;56(9):1351-1357. 2020 Sep</t>
  </si>
  <si>
    <t>Dokras, A.; Stener-Victorin, E.; Yildiz, B. O.; Li, R.; Ottey, S.; Shah, D.; Epperson, N.; Teede, H. Androgen Excess- Polycystic Ovary Syndrome Society: position statement on depression, anxiety, quality of life, and eating disorders in polycystic ovary syndrome. Fertility &amp; Sterility 05 2018;109(5):888-899 2018 05</t>
  </si>
  <si>
    <t>Castelo-Branco, C.; Naumova, I. Quality of life and sexual function in women with polycystic ovary syndrome: a comprehensive review. Gynecological Endocrinology Feb 2020;36(2):96-103</t>
  </si>
  <si>
    <t>Behboodi Moghadam, Z.; Fereidooni, B.; Saffari, M.; Montazeri, A. Measures of health-related quality of life in pcos women: A systematic review. International Journal of Women's Health 2018;10():397-408</t>
  </si>
  <si>
    <t>Wang, Z.; Groen, H.; Cantineau, A. E. P.; van Elten, T. M.; Karsten, M. D. A.; van Oers, A. M.; Mol, B. W. J.; Roseboom, T. J.; Hoek, A. Dietary Intake, Eating Behavior, Physical Activity, and Quality of Life in Infertile Women with PCOS and Obesity Compared with Non-PCOS Obese Controls. Nutrients Oct 08 2021;13(10):08</t>
  </si>
  <si>
    <t>Tan, J.; Wang, Q. Y.; Feng, G. M.; Li, X. Y.; Huang, W. Increased Risk of Psychiatric Disorders in Women with Polycystic Ovary Syndrome in Southwest China. Chinese Medical Journal 02 05 2017;130(3):262-266.</t>
  </si>
  <si>
    <t>Stevanovic, D.; Bozic-Antic, I.; Stanojlovic, O.; Vojnovic Milutinovic, D.; Bjekic-Macut, J.; Jancic, J.; Macut, D. Health-related quality of life questionnaire for polycystic ovary syndrome (PCOSQ-50): a psychometric study with the Serbian version. Women &amp; Health 10 2019;59(9):1015-1025</t>
  </si>
  <si>
    <t>Sanchez-Ferrer, M. L.; Adoamnei, E.; Prieto-Sanchez, M. T.; Mendiola, J.; Corbalan-Biyang, S.; Monino-Garcia, M.; Palomar-Rodriguez, J. A.; Torres-Cantero, A. M. Health-related quality of life in women with polycystic ovary syndrome attending to a tertiary hospital in Southeastern Spain: a case-control study. Health &amp; Quality of Life Outcomes Jul 16 2020;18(1):232.</t>
  </si>
  <si>
    <t>Rzonca, E.; Bien, A.; Wdowiak, A.; Szymanski, R.; Iwanowicz-Palus, G. Determinants of Quality of Life and Satisfaction with Life in Women with Polycystic Ovary Syndrome. International Journal of Environmental Research &amp; Public Health [Electronic Resource] 02 22 2018;15(2):22</t>
  </si>
  <si>
    <t>Panico A, Messina G, Lupoli GA, et al. Quality of life in overweight (obese) and normal-weight women with polycystic ovary syndrome. Patient Prefer Adherence. 2017;11:423–429</t>
  </si>
  <si>
    <t>Ozcan Dag, Z.; Alpua, M.; Isik, Y.; Buturak, S. V.; Tulmac, O. B.; Turkel, Y. The evaluation of temperament and quality of life in patients with polycystic ovary syndrome Gynecological Endocrinology Mar 2017;33(3):250-253 2017 Mar</t>
  </si>
  <si>
    <t>Lidaka, L.; Lazdane, G.; Kivite-Urtane, A.; Gailite, L.; Dzivite-Krisane, I.; Stokenberga, I. Health-related quality of life and binge eating among adolescent girls with PCOS. Clinical and Experimental Obstetrics and Gynecology 2019;46(5)():831-832</t>
  </si>
  <si>
    <t>Kutlu, O. Evaluation of quality of life of patients with hirsutism among Turkish women: A single-center cross- sectional study. Journal of Cosmetic Dermatology Nov 2020;19(11):3053-3057</t>
  </si>
  <si>
    <t>Karjula, S.; Morin-Papunen, L.; Franks, S.; Auvinen, J.; Jarvelin, M. R.; Tapanainen, J. S.; Jokelainen, J.; Miettunen, J.; Piltonen, T. T. Population-based Data at Ages 31 and 46 Show Decreased HRQoL and Life Satisfaction in Women with PCOS Symptoms. Journal of Clinical Endocrinology &amp; Metabolism 06 01 2020;105(6):01 2020 06 01</t>
  </si>
  <si>
    <t>Kaluzna, M.; Nomejko, A.; Slowinska, A.; Wachowiak-Ochmanska, K.; Pikosz, K.; Ziemnicka, K.; Ruchala, M. Lower sexual satisfaction in women with polycystic ovary syndrome and metabolic syndrome. Endocrine connections September 2021;10(9)():1035-1044 2021 September</t>
  </si>
  <si>
    <t>Kahal, H.; Kilpatrick, E.; Rigby, A.; Coady, A.; Atkin, S. The effects of treatment with liraglutide on quality of life and depression in young obese women with PCOS and controls. Gynecological Endocrinology Feb 2019;35(2):142-145 2019 Feb</t>
  </si>
  <si>
    <t>Jose, S. A.; Ravi, R.; Murthy, M. K. Quality of life in women with polycystic ovarian syndrome: Requisite of clinical pharmacist intervention. Asian Journal of Pharmaceutical and Clinical Research. Conference: 3rd International Conference on Academic and Industrial Innovations: Transitions in Pharmaceutical, Medical and Biosciences, INNOPHARM 2018;11(11): 2018</t>
  </si>
  <si>
    <t>Donbaloglu, Z.; Tuhan, H.; Coban, O. G.; Kizilay, D. O.; Ismailoglu, E.; Onder, A.; Acar, S.; Bedel, A.; Cetiner, E. B.; Singin, B.; Erdem, H.; Parlak, M. Hyperandrogenism correlates with psychological symptoms in adolescents with polycystic ovary syndrome. Clinical Pediatric Endocrinology 05 Apr 2022;31(2)():68-76 2022 05 Apr</t>
  </si>
  <si>
    <t>Coban OG, Tulaci OD, Adanir AS, Onder A. Psychiatric disorders, self-esteem, and quality of life in adolescents with polycystic ovary syndrome. J. Pediatr. Adolesc. Gynecol. 2019; 32: 600–4.</t>
  </si>
  <si>
    <t>Borghi, L.; Leone, D.; Vegni, E.; Galiano, V.; Lepadatu, C.; Sulpizio, P.; Garzia, E. Psychological distress, anger and quality of life in polycystic ovary syndrome: associations with biochemical, phenotypical and socio- demographic factors. Journal of Psychosomatic Obstetrics &amp; Gynecology 06 2018;39(2):128-137 2018 06</t>
  </si>
  <si>
    <t>Boivin, M. J.; Fatehi, F.; Phillips-Chan, A. E.; Richardson, J. R.; Summers, A. N.; Foley, S. A. Exploratory study of a screening measure for polycystic ovarian syndrome, quality of life assessment, and neuropsychological evaluation BMC Women's Health 06 23 2020;20(1):132 2 020 06 23</t>
  </si>
  <si>
    <t>Bazarganipour, F.; Taghavi, S. A.; Asemi, Z.; Allan, H.; Khashavi, Z.; Safarzadeh, T.; Pourchangiz, S.; Zare, F.; Ghasemi, S.; Karimi, Z.; Azizi Kutenaee, M. The impact of irritable bowel syndrome on health-related quality of life in women with polycystic ovary syndrome. Health &amp; Quality of Life Outcomes Jul 13 2020;18(1):226 2020 Jul 13</t>
  </si>
  <si>
    <t>Aghamohammadzadeh N, Aliasgarzadeh A, Baglar L, Abdollahifard S, Bahrami A, Najafipour F, et al. Comparison of metformin and cyproteroneestrodiol compound effect on hs c-reactive protein and serum androgen levels in patients with poly cystic ovary syndrome. Pakistan journal of medical sciences. 2010;26(2):347-51.</t>
  </si>
  <si>
    <t>Allen HF, Mazzoni C, Heptulla RA, Murray MA, Miller N, Koenigs L, et al. Randomized controlled trial evaluating response to metformin versus standard therapy in the treatment of adolescents with polycystic ovary syndrome. J Pediatr Endocrinol Metab. 2005;18(8):761-8.</t>
  </si>
  <si>
    <t>Alpañés M, Álvarez-Blasco F, Fernández-Durán E, Luque-Ramírez M, Escobar-Morreale HF. Combined oral contraceptives plus spironolactone compared with metformin in women with polycystic ovary syndrome: a one-year randomized clinical trial. European journal of endocrinology / European Federation of Endocrine Societies. 2017;177(5):399-408.</t>
  </si>
  <si>
    <t>Al-Zubeidi H, Klein KO. Randomized clinical trial evaluating metformin versus oral contraceptive pills in the treatment of adolescents with polycystic ovarian syndrome. J Pediatr Endocrinol Metab. 2015;28(7-8):853-8.</t>
  </si>
  <si>
    <t>Amiri M, Nahidi F, Bidhendi-Yarandi R, Khalili D, Tohidi M, Ramezani Tehrani F. A comparison of the effects of oral contraceptives on the clinical and biochemical manifestations of polycystic ovary syndrome: a crossover randomized controlled trial. Human reproduction (Oxford, England). 2020;35(1):175-86.</t>
  </si>
  <si>
    <t>Amiri M, Rahmati M, Hedayati M, Nahidi F, Ramezani Tehrani F. Effects of oral contraceptives on serum concentrations of adipokines and adiposity indices of women with polycystic ovary syndrome: a randomized controlled trial. J Endocrinol Invest. 2021;44(3):567-80.</t>
  </si>
  <si>
    <t>Bhattacharya SM, Jha A. Comparative study of the therapeutic effects of oral contraceptive pills containing desogestrel, cyproterone acetate, and drospirenone in patients with polycystic ovary syndrome. Fertility and sterility. 2012;98(4):1053-9.</t>
  </si>
  <si>
    <t>Bhattacharya SM, Jha A, DasMukhopadhyay L. Comparison of two contraceptive pills containing drospirenone and 20 μg or 30 μg ethinyl estradiol for polycystic ovary syndrome. Int J Gynaecol Obstet. 2016;132(2):210-3.</t>
  </si>
  <si>
    <t>Bilgir O, Kebapcilar L, Taner C, Bilgir F, Kebapcilar A, Bozkaya G, et al. The effect of ethinylestradiol (EE)/cyproterone acetate (CA) and EE/CA plus metformin treatment on adhesion molecules in cases with polycystic ovary syndrome (PCOS). Intern Med. 2009;48(14):1193-9.</t>
  </si>
  <si>
    <t>Bodur S, Dundar O, Kanat-Pektas M, Kinci MF, Tutuncu L. The effects of different therapeutic modalities on cardiovascular risk factors in women with polycystıc ovary syndrome: A randomızed controlled study. Taiwan J Obstet Gynecol. 2018;57(3):411-6.</t>
  </si>
  <si>
    <t>Cagnacci A, Tirelli A, Renzi A, Paoletti AM, Volpe A. Effects of two different oral contraceptives on homocysteine metabolism in women with polycystic ovary syndrome. Contraception. 2006;73(4):348-51.</t>
  </si>
  <si>
    <t>Cetinkalp S, Karadeniz M, Erdogan M, Ozgen G, Saygl F, Ylmaz C. The effects of rosiglitazone, metformin, and estradiol-cyproterone acetate on lean patients with polycystic ovary syndrome. The Endocrinologist (Baltimore, Md). 2009;19(3):94-7.</t>
  </si>
  <si>
    <t>Christakou C, Kollias A, Piperi C, Katsikis I, Panidis D, Diamanti-Kandarakis E. The benefit-to-risk ratio of common treatments in PCOS: effect of oral contraceptives versus metformin on atherogenic markers. Hormones (Athens). 2014;13(4):488-97.</t>
  </si>
  <si>
    <t>Cibula D, Fanta M, Vrbikova J, Stanicka S, Dvorakova K, Hill M, et al. The effect of combination therapy with metformin and combined oral contraceptives (COC) versus COC alone on insulin sensitivity, hyperandrogenaemia, SHBG and lipids in PCOS patients. Human reproduction (Oxford, England). 2005;20(1):180-4.</t>
  </si>
  <si>
    <t>Chung JP, Yiu AK, Chung TK, Chan SS. A randomized crossover study of medroxyprogesterone acetate and Diane-35 in adolescent girls with polycystic ovarian syndrome. J Pediatr Adolesc Gynecol. 2014;27(3):166-71.</t>
  </si>
  <si>
    <t>Dardzińska JA, Rachoń D, Kuligowska-Jakubowska M, Aleksandrowicz-Wrona E, Płoszyński A, Wyrzykowski B, et al. Effects of metformin or an oral contraceptive containing cyproterone acetate on serum c-reactive protein, interleukin-6 and soluble vascular cell adhesion molecule-1 concentrations in women with polycystic ovary syndrome. Exp Clin Endocrinol Diabetes. 2014;122(2):118-25.</t>
  </si>
  <si>
    <t>De Leo V, Di Sabatino A, Musacchio MC, Morgante G, Scolaro V, Cianci A, et al. Effect of oral contraceptives on markers of hyperandrogenism and SHBG in women with polycystic ovary syndrome. Contraception. 2010;82(3):276-80.</t>
  </si>
  <si>
    <t>Dorgham N, Sharobim A, Haggag H, El-Kalioby M, Dorgham D. Adding Combined Oral Contraceptives or Metformin to Laser Treatment in Polycystic Ovarian Syndrome Hirsute Patients. J Drugs Dermatol. 2021;20(3):302-6.</t>
  </si>
  <si>
    <t>El Maghraby HA, Nafee T, Guiziry D, Elnashar A. Randomized controlled trial of the effects of metformin versus combined oral contraceptives in adolescent PCOS women through a 24 month follow up period. Middle East Fertility Society journal. 2015;20(3):131-7.</t>
  </si>
  <si>
    <t>Elter K, Imir G, Durmusoglu F. Clinical, endocrine and metabolic effects of metformin added to ethinyl estradiol-cyproterone acetate in non-obese women with polycystic ovarian syndrome: a randomized controlled study. Human Reproduction. 2002;17(7):1729-37.</t>
  </si>
  <si>
    <t>Essah PA, Arrowood JA, Cheang KI, Adawadkar SS, Stovall DW, Nestler JE. Effect of combined metformin and oral contraceptive therapy on metabolic factors and endothelial function in overweight and obese women with polycystic ovary syndrome. Fertil Steril. 2011;96(2):501-4.e2.</t>
  </si>
  <si>
    <t>Feng W, Jia YY, Zhang DY, Shi HR. Management of polycystic ovarian syndrome with Diane-35 or Diane-35 plus metformin. Gynecol Endocrinol. 2016;32(2):147-50.</t>
  </si>
  <si>
    <t>Fonseka S, Wijeyaratne CN, Gawarammana IB, Kalupahana NS, Rosairo S, Ratnatunga N, et al. Effectiveness of Low-dose Ethinylestradiol/Cyproterone Acetate and Ethinylestradiol/Desogestrel with and without Metformin on Hirsutism in Polycystic Ovary Syndrome: A Randomized, Double-blind, Triple-dummy Study. J Clin Aesthet Dermatol. 2020;13(7):18-23.</t>
  </si>
  <si>
    <t>Glintborg D, Altinok ML, Mumm H, Hermann AP, Ravn P, Andersen M. Body composition is improved during 12 months' treatment with metformin alone or combined with oral contraceptives compared with treatment with oral contraceptives in polycystic ovary syndrome. The Journal of clinical endocrinology and metabolism. 2014;99(7):2584-91.</t>
  </si>
  <si>
    <t>Glintborg D, Mumm H, Altinok ML, Richelsen B, Bruun JM, Andersen M. Adiponectin, interleukin-6, monocyte chemoattractant protein-1, and regional fat mass during 12-month randomized treatment with metformin and/or oral contraceptives in polycystic ovary syndrome. J Endocrinol Invest. 2014;37(8):757-64.</t>
  </si>
  <si>
    <t>Altinok ML, Ravn P, Andersen M, Glintborg D. Effect of 12-month treatment with metformin and/or oral contraceptives on health-related quality of life in polycystic ovary syndrome. Gynecol Endocrinol. 2018;34(10):859-63.</t>
  </si>
  <si>
    <t>Glintborg D, Mumm H, Holst JJ, Andersen M. Effect of oral contraceptives and/or metformin on GLP-1 secretion and reactive hypoglycaemia in polycystic ovary syndrome. Endocr Connect. 2017;6(4):267-77.</t>
  </si>
  <si>
    <t>Gu M, Ruan X, Li Y, Li T, Yin C, Mueck AO. Effect on the cardiovascular independent risk factor lipoprotein(a) in overweight or obese PCOS patients with ethinyl-estradiol/drospirenone alone or plus orlistat. Gynecol Endocrinol. 2022;38(7):598-602.</t>
  </si>
  <si>
    <t>Hagag P, Steinschneider M, Weiss M. Role of the combination spironolactone-norgestimate-estrogen in Hirsute women with polycystic ovary syndrome. J Reprod Med. 2014;59(9-10):455-63.</t>
  </si>
  <si>
    <t>Harborne L, Fleming R, Lyall H, Sattar N, Norman J. Metformin or antiandrogen in the treatment of hirsutism in polycystic ovary syndrome. The Journal of clinical endocrinology and metabolism. 2003;88(9):4116-23.</t>
  </si>
  <si>
    <t>Hoeger K, Davidson K, Kochman L, Cherry T, Kopin L, Guzick DS. The impact of metformin, oral contraceptives, and lifestyle modification on polycystic ovary syndrome in obese adolescent women in two randomized, placebo-controlled clinical trials. The Journal of clinical endocrinology and metabolism. 2008;93(11):4299-306.</t>
  </si>
  <si>
    <t>Ibáñez L, de Zegher F. Ethinylestradiol-drospirenone, flutamide-metformin, or both for adolescents and women with hyperinsulinemic hyperandrogenism: opposite effects on adipocytokines and body adiposity. The Journal of clinical endocrinology and metabolism. 2004;89(4):1592-7.</t>
  </si>
  <si>
    <t>Ibáñez L, de Zegher F. Flutamide-metformin plus ethinylestradiol-drospirenone for lipolysis and antiatherogenesis in young women with ovarian hyperandrogenism: the key role of metformin at the start and after more than one year of therapy. The Journal of clinical endocrinology and metabolism. 2005;90(1):39-43.</t>
  </si>
  <si>
    <t>Ibáñez L, Díaz M, García-Beltrán C, Malpique R, Garde E, López-Bermejo A, et al. Toward a Treatment Normalizing Ovulation Rate in Adolescent Girls With Polycystic Ovary Syndrome. J Endocr Soc. 2020;4(5):bvaa032.</t>
  </si>
  <si>
    <t>de Zegher F, Díaz M, Villarroya J, Cairó M, López-Bermejo A, Villarroya F, et al. The relative deficit of GDF15 in adolescent girls with PCOS can be changed into an abundance that reduces liver fat. Sci Rep. 2021;11(1):7018.</t>
  </si>
  <si>
    <t>Malpique R, Sánchez-Infantes D, Garcia-Beltran C, Taxerås SD, López-Bermejo A, de Zegher F, et al. Towards a circulating marker of hepato-visceral fat excess: S100A4 in adolescent girls with polycystic ovary syndrome - Evidence from randomized clinical trials. Pediatr Obes. 2019;14(5):e12500.</t>
  </si>
  <si>
    <t>Ibáñez L, del Río L, Díaz M, Sebastiani G, Pozo ÓJ, López-Bermejo A, et al. Normalizing Ovulation Rate by Preferential Reduction of Hepato-Visceral Fat in Adolescent Girls With Polycystic Ovary Syndrome. J Adolesc Health. 2017;61(4):446-53.</t>
  </si>
  <si>
    <t>Díaz M, Gallego-Escuredo JM, López-Bermejo A, de Zegher F, Villarroya F, Ibáñez L. Low-Dose Spironolactone-Pioglitazone-Metformin Normalizes Circulating Fetuin-A Concentrations in Adolescent Girls with Polycystic Ovary Syndrome. Int J Endocrinol. 2018;2018:4192940.</t>
  </si>
  <si>
    <t>Kahraman K, Sükür YE, Atabekoğlu CS, Ateş C, Taşkın S, Cetinkaya SE, et al. Comparison of two oral contraceptive forms containing cyproterone acetate and drospirenone in the treatment of patients with polycystic ovary syndrome: a randomized clinical trial. Arch Gynecol Obstet. 2014;290(2):321-8.</t>
  </si>
  <si>
    <t>Kaya MG, Calapkorur B, Karaca Z, Yildirim S, Celik A, Akpek M, et al. The effects of treatment with drospirenone/ethinyl oestradiol alone or in combination with metformin on elastic properties of aorta in women with polycystic ovary syndrome. Clin Endocrinol (Oxf). 2012;77(6):885-92.</t>
  </si>
  <si>
    <t>Kaya MG, Yildirim S, Calapkorur B, Akpek M, Unluhizarci K, Kelestimur F. Metformin improves endothelial function and carotid intima media thickness in patients with PCOS. Gynecol Endocrinol. 2015;31(5):401-5.</t>
  </si>
  <si>
    <t>Kebapcilar L, Yuksel A, Bozkaya G, Taner CE, Kebapcilar AG, Bilgir O, et al. Effects of an EE/CA compared with EE/CA-metformin on serum ADMA levels in women with polycystic ovary syndrome. Central European journal of medicine. 2009;4(4):423-7.</t>
  </si>
  <si>
    <t>Kebapcilar L, Taner CE, Kebapcilar AG, Alacacioglu A, Sari I. Comparison of four different treatment regimens on coagulation parameters, hormonal and metabolic changes in women with polycystic ovary syndrome. Arch Gynecol Obstet. 2010;281(1):35-42.</t>
  </si>
  <si>
    <t>Kilic S, Yilmaz N, Zulfikaroglu E, Erdogan G, Aydin M, Batioglu S. Inflammatory-metabolic parameters in obese and nonobese normoandrogenemic polycystic ovary syndrome during metformin and oral contraceptive treatment. Gynecol Endocrinol. 2011;27(9):622-9.</t>
  </si>
  <si>
    <t>Kriplani A, Periyasamy AJ, Agarwal N, Kulshrestha V, Kumar A, Ammini AC. Effect of oral contraceptive containing ethinyl estradiol combined with drospirenone vs. desogestrel on clinical and biochemical parameters in patients with polycystic ovary syndrome. Contraception. 2010;82(2):139-46.</t>
  </si>
  <si>
    <t>Kumar Y, Kotwal N, Singh Y, Upreti V, Somani S, Hari Kumar KVS. A randomized, controlled trial comparing the metformin, oral contraceptive pills and their combination in patients with polycystic ovarian syndrome. J Family Med Prim Care. 2018;7(3):551-6.</t>
  </si>
  <si>
    <t>Leelaphiwat S, Jongwutiwes T, Lertvikool S, Tabcharoen C, Sukprasert M, Rattanasiri S, et al. Comparison of desogestrel/ethinyl estradiol plus spironolactone versus cyproterone acetate/ethinyl estradiol in the treatment of polycystic ovary syndrome: a randomized controlled trial. J Obstet Gynaecol Res. 2015;41(3):402-10.</t>
  </si>
  <si>
    <t>Legro RS, Dodson WC, Kris-Etherton PM, Kunselman AR, Stetter CM, Williams NI, et al. Randomized Controlled Trial of Preconception Interventions in Infertile Women With Polycystic Ovary Syndrome. The Journal of clinical endocrinology and metabolism. 2015;100(11):4048-58.</t>
  </si>
  <si>
    <t>Dokras A, Playford M, Kris-Etherton PM, Kunselman AR, Stetter CM, Williams NI, et al. Impact of hormonal contraception and weight loss on high-density lipoprotein cholesterol efflux and lipoprotein particles in women with polycystic ovary syndrome. Clinical endocrinology. 2017;86(5):739-46.</t>
  </si>
  <si>
    <t>Shah A, Dodson WC, Kris-Etherton PM, Kunselman AR, Stetter CM, Gnatuk CL, et al. Effects of Oral Contraception and Lifestyle Modification on Incretins and TGF-ß Superfamily Hormones in PCOS. The Journal of clinical endocrinology and metabolism. 2021;106(1):108-19.</t>
  </si>
  <si>
    <t>Steinberg Weiss M, Roe AH, Allison KC, Dodson WC, Kris-Etherton PM, Kunselman AR, et al. Lifestyle modifications alone or combined with hormonal contraceptives improve sexual dysfunction in women with polycystic ovary syndrome. Fertility and sterility. 2021;115(2):474-82.</t>
  </si>
  <si>
    <t>Luque-Ramírez M, Mendieta-Azcona C, Alvarez-Blasco F, Escobar-Morreale HF. Effects of metformin versus ethinyl-estradiol plus cyproterone acetate on ambulatory blood pressure monitoring and carotid intima media thickness in women with the polycystic ovary syndrome. Fertility and sterility. 2009;91(6):2527-36.</t>
  </si>
  <si>
    <t>Lv L, Liu Y, Sun Y, Tan K. Effects of metformin combined with cyproterone acetate on clinical features, endocrine and metabolism of non-obese women with polycystic ovarian syndrome. J Huazhong Univ Sci Technolog Med Sci. 2005;25(2):194-7.</t>
  </si>
  <si>
    <t>Mastorakos G, Koliopoulos C, Creatsas G. Androgen and lipid profiles in adolescents with polycystic ovary syndrome who were treated with two forms of combined oral contraceptives. Fertility and sterility. 2002;77(5):919-27.</t>
  </si>
  <si>
    <t>Mastorakos G, Koliopoulos C, Deligeoroglou E, Diamanti-Kandarakis E, Creatsas G. Effects of two forms of combined oral contraceptives on carbohydrate metabolism in adolescents with polycystic ovary syndrome. Fertility and sterility. 2006;85(2):420-7.</t>
  </si>
  <si>
    <t>Mehrabian F, Ghasemi-Tehrani H, Mohamadkhani M, Moeinoddini M, Karimzadeh P. Comparison of the effects of metformin, flutamide plus oral contraceptives, and simvastatin on the metabolic consequences of polycystic ovary syndrome. J Res Med Sci. 2016;21:7.</t>
  </si>
  <si>
    <t>Meyer C, McGrath BP, Teede HJ. Effects of medical therapy on insulin resistance and the cardiovascular system in polycystic ovary syndrome. Diabetes care. 2007;30(3):471-8.</t>
  </si>
  <si>
    <t>Burchall GF, Piva TJ, Ranasinha S, Teede HJ. Differential Effects on Haemostatic Markers by Metformin and the Contraceptive Pill: A Randomized Comparative Trial in PCOS. Thromb Haemost. 2017;117(11):2053-62.</t>
  </si>
  <si>
    <t>Hutchison SK, Harrison C, Stepto N, Meyer C, Teede HJ. Retinol-binding protein 4 and insulin resistance in polycystic ovary syndrome. Diabetes care. 2008;31(7):1427-32.</t>
  </si>
  <si>
    <t>Moran LJ, Meyer C, Hutchison SK, Zoungas S, Teede HJ. Novel inflammatory markers in overweight women with and without polycystic ovary syndrome and following pharmacological intervention. J Endocrinol Invest. 2010;33(4):258-65.</t>
  </si>
  <si>
    <t>Mhao NS, Al-Hilli AS, Hadi NR, Jamil DA, Al-Aubaidy HA. A comparative study to illustrate the benefits of using ethinyl estradiol-cyproterone acetate over metformin in patients with polycystic ovarian syndrome. Diabetes Metab Syndr. 2016;10(1 Suppl 1):S95-8.</t>
  </si>
  <si>
    <t>Moretti C, Guccione L, Di Giacinto P, Simonelli I, Exacoustos C, Toscano V, et al. Combined Oral Contraception and Bicalutamide in Polycystic Ovary Syndrome and Severe Hirsutism: A Double-Blind Randomized Controlled Trial. The Journal of clinical endocrinology and metabolism. 2018;103(3):824-38.</t>
  </si>
  <si>
    <t>Morgante G, Cappelli V, Troìa L, De Leo V. Evaluation of different antiandrogenic progestins on clinical and biochemical variables in polycystic ovary syndrome. Eur J Contracept Reprod Health Care. 2020;25(3):176-81.</t>
  </si>
  <si>
    <t>Morin-Papunen L, Vauhkonen I, Koivunen R, Ruokonen A, Martikainen H, Tapanainen JS. Metformin versus ethinyl estradiol-cyproterone acetate in the treatment of nonobese women with polycystic ovary syndrome: a randomized study. The Journal of clinical endocrinology and metabolism. 2003;88(1):148-56.</t>
  </si>
  <si>
    <t>Morin-Papunen LC, Vauhkonen I, Koivunen RM, Ruokonen A, Martikainen HK, Tapanainen JS. Endocrine and metabolic effects of metformin versus ethinyl estradiol-cyproterone acetate in obese women with polycystic ovary syndrome: a randomized study. Journal of Clinical Endocrinology &amp; Metabolism. 2000;85(9):3161-8.</t>
  </si>
  <si>
    <t>Morin-Papunen L, Rautio K, Ruokonen A, Hedberg P, Puukka M, Tapanainen JS. Metformin reduces serum C-reactive protein levels in women with polycystic ovary syndrome. The Journal of clinical endocrinology and metabolism. 2003;88(10):4649-54.</t>
  </si>
  <si>
    <t>Rautio K, Tapanainen JS, Ruokonen A, Morin-Papunen LC. Effects of metformin and ethinyl estradiol-cyproterone acetate on lipid levels in obese and non-obese women with polycystic ovary syndrome. Eur. 2005;152(2):269-75.</t>
  </si>
  <si>
    <t>Moro F, Morciano A, Tropea A, Sagnella F, Palla C, Scarinci E, et al. Effects of drospirenone-ethinylestradiol and/or metformin on CD4(+)CD28(null) T lymphocytes frequency in women with hyperinsulinemia having polycystic ovary syndrome: a randomized clinical trial. Reprod Sci. 2013;20(12):1508-17.</t>
  </si>
  <si>
    <t>Ozdemir S, Görkemli H, Gezginç K, Ozdemir M, Kiyici A. Clinical and metabolic effects of medroxyprogesterone acetate and ethinyl estradiol plus drospirenone in women with polycystic ovary syndrome. Int J Gynaecol Obstet. 2008;103(1):44-9.</t>
  </si>
  <si>
    <t>Ozgurtas T, Oktenli C, Dede M, Tapan S, Kenar L, Sanisoglu SY, et al. Metformin and oral contraceptive treatments reduced circulating asymmetric dimethylarginine (ADMA) levels in patients with polycystic ovary syndrome (PCOS). Atherosclerosis. 2008;200(2):336-44.</t>
  </si>
  <si>
    <t>Panidis D, Georgopoulos NA, Piouka A, Katsikis I, Saltamavros AD, Decavalas G, et al. The impact of oral contraceptives and metformin on anti-Müllerian hormone serum levels in women with polycystic ovary syndrome and biochemical hyperandrogenemia. Gynecol Endocrinol. 2011;27(8):587-92.</t>
  </si>
  <si>
    <t>Podfigurna A, Meczekalski B, Petraglia F, Luisi S. Clinical, hormonal and metabolic parameters in women with PCOS with different combined oral contraceptives (containing chlormadinone acetate versus drospirenone). J Endocrinol Invest. 2020;43(4):483-92.</t>
  </si>
  <si>
    <t>Sabuncu T, Harma M, Harma M, Nazligul Y, Kilic F. Sibutramine has a positive effect on clinical and metabolic parameters in obese patients with polycystic ovary syndrome. Fertility and sterility. 2003;80(5):1199-204.</t>
  </si>
  <si>
    <t>Sahu A, Tripathy P, Mohanty J, Nagy A. Doppler analysis of ovarian stromal blood flow changes after treatment with metformin versus ethinyl estradiol-cyproterone acetate in women with polycystic ovarian syndrome: A randomized controlled trial. J Gynecol Obstet Hum Reprod. 2019;48(5):335-9.</t>
  </si>
  <si>
    <t>Song J, Ruan X, Gu M, Wang L, Wang H, Mueck AO. Effect of orlistat or metformin in overweight and obese polycystic ovary syndrome patients with insulin resistance. Gynecological endocrinology. 2018;34(5):413-7.</t>
  </si>
  <si>
    <t>Ruan X, Song J, Gu M, Wang L, Wang H, Mueck AO. Effect of Diane-35, alone or in combination with orlistat or metformin in Chinese polycystic ovary syndrome patients. Arch Gynecol Obstet. 2018;297(6):1557-63.</t>
  </si>
  <si>
    <t>Spritzer PM, Lisboa KO, Mattiello S, Lhullier F. Spironolactone as a single agent for long-term therapy of hirsute patients. Clinical endocrinology (Oxford). 2000;52(5):587-94.</t>
  </si>
  <si>
    <t>Taheripanah R, Sepahvandi M, Entezari A, Amiri Z, Samani EN. Evaluation of serum PSA after cyproterone compound treatment compared with oral contraceptive pill in hirsute polycystic ovary syndrome patients. Middle East Fertility Society journal. 2010;15(3):159-62.</t>
  </si>
  <si>
    <t>Tartagni M, Schonauer LM, De Salvia MA, Cicinelli E, De Pergola G, D'Addario V. Comparison of Diane 35 and Diane 35 plus finasteride in the treatment of hirsutism. Fertil Steril. 2000;73(4):718-23.</t>
  </si>
  <si>
    <t>Vieira CS, Martins WP, Fernandes JB, Soares GM, dos Reis RM, de Sá MF, et al. The effects of 2 mg chlormadinone acetate/30 mcg ethinylestradiol, alone or combined with spironolactone, on cardiovascular risk markers in women with polycystic ovary syndrome. Contraception. 2012;86(3):268-75.</t>
  </si>
  <si>
    <t>Wang QY, Song Y, Huang W, Xiao L, Wang QS, Feng GM. Comparison of Drospirenone- with Cyproterone Acetate-Containing Oral Contraceptives, Combined with Metformin and Lifestyle Modifications in Women with Polycystic Ovary Syndrome and Metabolic Disorders: A Prospective Randomized Control Trial. Chin Med J (Engl). 2016;129(8):883-90.</t>
  </si>
  <si>
    <t>Wei W, Zhao H, Wang A, Sui M, Liang K, Deng H, et al. A clinical study on the short-term effect of berberine in comparison to metformin on the metabolic characteristics of women with polycystic ovary syndrome. European journal of endocrinology / European Federation of Endocrine Societies. 2012;166(1):99-105.</t>
  </si>
  <si>
    <t>Wu J, Zhu Y, Jiang Y, Cao Y. Effects of metformin and ethinyl estradiol-cyproterone acetate on clinical, endocrine and metabolic factors in women with polycystic ovary syndrome. Gynecol Endocrinol. 2008;24(7):392-8.</t>
  </si>
  <si>
    <t>Yildizhan R, Gokce AI, Yildizhan B, Cim N. Comparison of the effects of chlormadinone acetate versus drospirenone containing oral contraceptives on metabolic and hormonal parameters in women with PCOS for a period of two-year follow-up. Gynecol Endocrinol. 2015;31(5):396-400.</t>
  </si>
  <si>
    <t xml:space="preserve"> Dokras A, Sarwer DB, Allison KC, Milman L, Kris-Etherton PM, Kunselman AR, et al. Weight Loss and Lowering Androgens Predict Improvements in Health-Related Quality of Life in Women With PCOS. The Journal of clinical endocrinology and metabolism. 2016;101(8):2966-74.</t>
  </si>
  <si>
    <t xml:space="preserve">Elkind-Hirsch, K. E., Chappell, N., Seidemann, E., Storment, J., &amp; Bellanger, D. (2021). Exenatide, Dapagliflozin, or Phentermine/Topiramate Differentially Affect Metabolic Profiles in Polycystic Ovary Syndrome. The Journal of clinical endocrinology and metabolism, 106(10), 3019-3033. doi:https://dx.doi.org/10.1210/clinem/dgab408
</t>
  </si>
  <si>
    <t>Elkind-Hirsch, K. E., Chappell, N., Shaler, D., Storment, J., &amp; Bellanger, D. (2022). Liraglutide 3 mg on weight, body composition, and hormonal and metabolic parameters in women with obesity and polycystic ovary syndrome: a randomized placebo-controlled-phase 3 study. Fertility and Sterility(evf, 0372772). doi:https://dx.doi.org/10.1016/j.fertnstert.2022.04.027</t>
  </si>
  <si>
    <t>Gu, M., Ruan, X., Li, Y., Li, T., Yin, C., &amp; Mueck, A. O. (2022). Effect on the cardiovascular independent risk factor lipoprotein(a) in overweight or obese PCOS patients with ethinyl-estradiol/drospirenone alone or plus orlistat. Gynecological endocrinology : the official journal of the International Society of Gynecological Endocrinology, 38(7), 598-602. doi:https://dx.doi.org/10.1080/09513590.2022.2078805</t>
  </si>
  <si>
    <t>Jensterle, M., Ferjan, S., Vovk, A., Battelino, T., Rizzo, M., &amp; Janez, A. (2021). Semaglutide reduces fat accumulation in the tongue: A randomized single-blind, pilot study. Diabetes Research and Clinical Practice, 178(ebi, 8508335), 108935. doi:https://dx.doi.org/10.1016/j.diabres.2021.108935</t>
  </si>
  <si>
    <t>Ma, R.-L., Deng, Y., Wang, Y.-F., Zhu, S.-Y., Ding, X.-S., &amp; Sun, A.-J. (2021). Short-term combined treatment with exenatide and metformin for overweight/obese women with polycystic ovary syndrome. Chinese Medical Journal, 134(23), 2882-2889. doi:https://dx.doi.org/10.1097/CM9.0000000000001712</t>
  </si>
  <si>
    <t>Moini, A., Kanani, M., Kashani, L., Hosseini, R., &amp; Hosseini, L. (2015). Effect of orlistat on weight loss, hormonal and metabolic profiles in women with polycystic ovarian syndrome: a randomized double-blind placebo-controlled trial. Endocrine, 49(1), 286-289. doi:https://dx.doi.org/10.1007/s12020-014-0426-4</t>
  </si>
  <si>
    <t>Tao, T., Zhang, Y., Zhu, Y.-C., Fu, J.-R., Wang, Y.-Y., Cai, J., . . . Liu, W. (2021). Exenatide, Metformin, or Both for Prediabetes in PCOS: A Randomized, Open-label, Parallel-group Controlled Study. The Journal of clinical endocrinology and metabolism, 106(3), e1420-e1432. doi:https://dx.doi.org/10.1210/clinem/dgaa692</t>
  </si>
  <si>
    <t>Li, R., Mai, T., Zheng, S., &amp; Zhang, Y. (2022). Effect of metformin and exenatide on pregnancy rate and pregnancy outcomes in overweight or obese infertility PCOS women: long-term follow-up of an RCT. Archives of Gynecology and Obstetrics(6ys, 8710213). doi:https://dx.doi.org/10.1007/s00404-022-06700-3</t>
  </si>
  <si>
    <t>Nylander, M., Frossing, S., Clausen, H. V., Kistorp, C., Faber, J., &amp; Skouby, S. O. (2017). Effects of liraglutide on ovarian dysfunction in polycystic ovary syndrome: a randomized clinical trial. Reproductive Biomedicine Online, 35(1), 121-127. doi:https://dx.doi.org/10.1016/j.rbmo.2017.03.023</t>
  </si>
  <si>
    <t>Frossing, S., Nylander, M., Chabanova, E., Frystyk, J., Holst, J. J., Kistorp, C., . . . Faber, J. (2018). Effect of liraglutide on ectopic fat in polycystic ovary syndrome: A randomized clinical trial. Diabetes, Obesity &amp; Metabolism, 20(1), 215-218. doi:https://dx.doi.org/10.1111/dom.13053</t>
  </si>
  <si>
    <t>Frossing, S., Nylander, M., Kistorp, C., Skouby, S. O., &amp; Faber, J. (2018). Effect of liraglutide on atrial natriuretic peptide, adrenomedullin, and copeptin in PCOS. Endocrine connections, 7(1), 115-123. doi:https://dx.doi.org/10.1530/EC-17-0327</t>
  </si>
  <si>
    <t>Ruan, X., Song, J., Gu, M., Wang, L., Wang, H., &amp; Mueck, A. O. (2018). Effect of Diane-35, alone or in combination with orlistat or metformin in Chinese polycystic ovary syndrome patients. Archives of Gynecology and Obstetrics, 297(6), 1557-1563. doi:https://dx.doi.org/10.1007/s00404-018-4762-0</t>
  </si>
  <si>
    <t>Zheng, S., Liu, E., Zhang, Y., Long, T., Liu, X., Gong, Y., . . . Wang, F. (2019). Circulating zinc-alpha2-glycoprotein is reduced in women with polycystic ovary syndrome, but can be increased by exenatide or metformin treatment. Endocrine Journal, 66(6), 555-562. doi:https://dx.doi.org/10.1507/endocrj.EJ18-0153</t>
  </si>
  <si>
    <t>Alpañés M, Álvarez-Blasco F, Fernández-Durán E, Luque-Ramírez M, Escobar-Morreale HF. Combined oral contraceptives plus spironolactone compared with metformin in women with polycystic ovary syndrome: a one-year randomized clinical trial. European journal of endocrinology / European Federation of Endocrine Societies 2017;177(5):399-408. doi: 10.1530/EJE-17-0516.</t>
  </si>
  <si>
    <t>Amiri M, Golsorkhtabaramiri M, Esmaeilzadeh S, Ghofrani F, Bijani A, Ghorbani L, Delavar MA. Effect of Metformin and Flutamide on Anthropometric Indices and Laboratory Tests in Obese/Overweight PCOS Women under Hypocaloric Diet. J Reprod Infertil 2014;15(4):205-13.</t>
  </si>
  <si>
    <t>Burchall GF, Piva TJ, Ranasinha S, Teede HJ. Differential Effects on Haemostatic Markers by Metformin and the Contraceptive Pill: A Randomized Comparative Trial in PCOS. Thromb Haemost 2017;117(11):2053-62. doi: 10.1160/TH17-04-0248.</t>
  </si>
  <si>
    <t>de Zegher F, Diaz M, Villarroya J, Cairo M, Lopez-Bermejo A, Villarroya F, Ibanez L. The relative deficit of GDF15 in adolescent girls with PCOS can be changed into an abundance that reduces liver fat. Sci Rep 2021;11(1):7018. doi: 10.1038/s41598-021-86317-9.</t>
  </si>
  <si>
    <t>Diaz M, Gallego-Escuredo JM, Lopez-Bermejo A, de Zegher F, Villarroya F, Ibanez L. Low-Dose Spironolactone-Pioglitazone-Metformin Normalizes Circulating Fetuin-A Concentrations in Adolescent Girls with Polycystic Ovary Syndrome. Int J Endocrinol 2018;2018:4192940. doi: 10.1155/2018/4192940.</t>
  </si>
  <si>
    <t>Falsetti L, De Fusco D, Eleftheriou G, Rosina B. Treatment of hirsutism by finasteride and flutamide in women with polycystic ovary syndrome. Gynecol Endocrinol 1997;11(4):251-7. doi: 10.3109/09513599709152542.</t>
  </si>
  <si>
    <t>Falsetti L, Gambera A, Legrenzi L, Iacobello C, Bugari G. Comparison of finasteride versus flutamide in the treatment of hirsutism. Eur J Endocrinol 1999;141(4):361-7. doi: 10.1530/eje.0.1410361.</t>
  </si>
  <si>
    <t>Gambineri A, Patton L, Vaccina A, Cacciari M, Morselli-Labate AM, Cavazza C, Pagotto U, Pasquali R. Treatment with flutamide, metformin, and their combination added to a hypocaloric diet in overweight-obese women with polycystic ovary syndrome: a randomized, 12-month, placebo-controlled study. J Clin Endocrinol Metab 2006;91(10):3970-80. doi: 10.1210/jc.2005-2250.</t>
  </si>
  <si>
    <t>Gambineri, A.; Pelusi, C.; Genghini, S.; Morselli-Labate, A.M.; Cacciari, M.; Pagotto, U.; Pasquali, R. Effect of flutamide and metformin administered alone or in combination in dieting obese women with polycystic ovary syndrome. Clin Endocrinol (Oxf) 2004, 60, 241-249, doi:10.1111/j.1365-2265.2004.01973.x.</t>
  </si>
  <si>
    <t>Gambineri A, Pelusi C, Genghini S, Morselli-Labate AM, Cacciari M, Pagotto U, Pasquali R. Effect of flutamide and metformin administered alone or in combination in dieting obese women with polycystic ovary syndrome. Clin Endocrinol (Oxf) 2004;60(2):241-9. doi: 10.1111/j.1365-2265.2004.01973.x</t>
  </si>
  <si>
    <t>Ganie MA, Khurana ML, Eunice M, Gupta N, Gulati M, Dwivedi SN, Ammini AC. Comparison of efficacy of spironolactone with metformin in the management of polycystic ovary syndrome: an open-labeled study. J Clin Endocrinol Metab 2004;89(6):2756-62. doi: 10.1210/jc.2003-031780.</t>
  </si>
  <si>
    <t>Ganie MA, Khurana ML, Nisar S, Shah PA, Shah ZA, Kulshrestha B, Gupta N, Zargar MA, Wani TA, Mudasir S, et al. Improved efficacy of low-dose spironolactone and metformin combination than either drug alone in the management of women with polycystic ovary syndrome (PCOS): a six-month, open-label randomized study. J Clin Endocrinol Metab 2013;98(9):3599-607. doi: 10.1210/jc.2013-1040.</t>
  </si>
  <si>
    <t>Hagag P, Steinschneider M, Weiss M. Role of the combination spironolactone-norgestimate-estrogen in Hirsute women with polycystic ovary syndrome. J Reprod Med 2014;59(9-10):455-63.</t>
  </si>
  <si>
    <t>Ibanez L, de Zegher F. Ethinylestradiol-drospirenone, flutamide-metformin, or both for adolescents and women with hyperinsulinemic hyperandrogenism: opposite effects on adipocytokines and body adiposity. J Clin Endocrinol Metab 2004;89(4):1592-7. doi: 10.1210/jc.2003-031281.</t>
  </si>
  <si>
    <t>Ibáñez L, del Río L, Díaz M, Sebastiani G, Pozo ÓJ, López-Bermejo A, de Zegher F. Normalizing Ovulation Rate by Preferential Reduction of Hepato-Visceral Fat in Adolescent Girls With Polycystic Ovary Syndrome. J Adolesc Health 2017;61(4):446-53. doi: 10.1016/j.jadohealth.2017.04.010.</t>
  </si>
  <si>
    <t>Ibanez L, Diaz M, Garcia-Beltran C, Malpique R, Garde E, Lopez-Bermejo A, de Zegher F. Toward a Treatment Normalizing Ovulation Rate in Adolescent Girls With Polycystic Ovary Syndrome. J Endocr Soc 2020;4(5):bvaa032. doi: 10.1210/jendso/bvaa032.</t>
  </si>
  <si>
    <t>Malpique R, Sanchez-Infantes D, Garcia-Beltran C, Taxeras SD, Lopez-Bermejo A, de Zegher F, Ibanez L. Towards a circulating marker of hepato-visceral fat excess: S100A4 in adolescent girls with polycystic ovary syndrome - Evidence from randomized clinical trials. Pediatr Obes 2019;14(5):e12500. doi: 10.1111/ijpo.12500.</t>
  </si>
  <si>
    <t>Mazza A, Fruci B, Guzzi P, D'Orrico B, Malaguarnera R, Veltri P, Fava A, Belfiore A. In PCOS patients the addition of low-dose spironolactone induces a more marked reduction of clinical and biochemical hyperandrogenism than metformin alone. Nutr Metab Cardiovasc Dis 2014;24(2):132-9. doi: 10.1016/j.numecd.2013.04.016.</t>
  </si>
  <si>
    <t>Mehrabian F, Ghasemi-Tehrani H, Mohamadkhani M, Moeinoddini M, Karimzadeh P. Comparison of the effects of metformin, flutamide plus oral contraceptives, and simvastatin on the metabolic consequences of polycystic ovary syndrome. J Res Med Sci 2016;21:7. doi: 10.4103/1735-1995.177354.</t>
  </si>
  <si>
    <t>Meyer C, McGrath BP, Teede HJ. Effects of medical therapy on insulin resistance and the cardiovascular system in polycystic ovary syndrome. Diabetes Care 2007;30(3):471-8. doi: 10.2337/dc06-0618.</t>
  </si>
  <si>
    <t>Moretti C, Guccione L, Di Giacinto P, Simonelli I, Exacoustos C, Toscano V, Motta C, De Leo V, Petraglia F, Lenzi A. Combined Oral Contraception and Bicalutamide in Polycystic Ovary Syndrome and Severe Hirsutism: A Double-Blind Randomized Controlled Trial. J Clin Endocrinol Metab 2018;103(3):824-38. doi: 10.1210/jc.2017-01186.</t>
  </si>
  <si>
    <t>Spritzer PM, Lisboa KO, Mattiello S, Lhullier F. Spironolactone as a single agent for long-term therapy of hirsute patients. Clin Endocrinol (Oxf) 2000;52(5):587-94. doi: 10.1046/j.1365-2265.2000.00982.x.</t>
  </si>
  <si>
    <t>Tartagni M, Schonauer LM, De Salvia MA, Cicinelli E, De Pergola G, D'Addario V. Comparison of Diane 35 and Diane 35 plus finasteride in the treatment of hirsutism. Fertil Steril 2000;73(4):718-23. doi: 10.1016/s0015-0282(99)00633-0.</t>
  </si>
  <si>
    <t>Tartagni MV, Alrasheed H, Damiani GR, Montagnani M, De Salvia MA, De Pergola G, Tartagni M, Loverro G. Intermittent low-dose finasteride administration is effective for treatment of hirsutism in adolescent girls: a pilot study. J Pediatr Adolesc Gynecol 2014;27(3):161-5. doi: 10.1016/j.jpag.2013.09.010.</t>
  </si>
  <si>
    <t>Tartagni M, Schonauer MM, Cicinelli E, Petruzzelli F, De Pergola G, De Salvia MA, Loverro G. Intermittent low-dose finasteride is as effective as daily administration for the treatment of hirsute women. Fertil Steril 2004;82(3):752-5. doi: 10.1016/j.fertnstert.2004.02.118.</t>
  </si>
  <si>
    <t>Vieira CS, Martins WP, Fernandes JB, Soares GM, dos Reis RM, de Sa MF, Ferriani RA. The effects of 2 mg chlormadinone acetate/30 mcg ethinylestradiol, alone or combined with spironolactone, on cardiovascular risk markers in women with polycystic ovary syndrome. Contraception 2012;86(3):268-75. doi: 10.1016/j.contraception.2011.12.011.</t>
  </si>
  <si>
    <t xml:space="preserve">Akbari Sene, Azadeh, Azam Tabatabaie, Hossein Nikniaz, Ahad Alizadeh, Kourosh Sheibani, Mona Mortezapour Alisaraie, Maryam Tabatabaie, Mahnaz Ashrafi, and Fatemehsadat Amjadi. 2019. “The Myo-Inositol Effect on the Oocyte Quality and Fertilization Rate among Women with Polycystic Ovary Syndrome Undergoing Assisted Reproductive Technology Cycles: A Randomized Clinical Trial.” Archives of Gynecology &amp; Obstetrics 299 (6): 1701–7. https://doi.org/10.1007/s00404-019-05111-1.
</t>
  </si>
  <si>
    <t xml:space="preserve">Angik, Riju, Shubhada S. Jajoo, C. Hariharan, and Amogh Chimote. 2017. “A Comparative Study of Metabolic and Hormonal Effects of Myoinositol vs. Metformin in Women with Polycystic Ovary Syndrome: A Randomised Controlled Trial.” International Journal of Reproduction, Contraception, Obstetrics and Gynecology; Vol 4, No 1 (2015): January-February 2015. https://www.ijrcog.org/index.php/ijrcog/article/view/1838/1588.
</t>
  </si>
  <si>
    <t xml:space="preserve">Artini, P.G., O.M. Di Berardino, F. Papini, A.D. Genazzani, G. Simi, M. Ruggiero, and V. Cela. 2013. “Endocrine and Clinical Effects of Myo-Inositol Administration in Polycystic Ovary Syndrome. A Randomized Study.” Gynecological Endocrinology 29 (4): 375–79. https://doi.org/10.3109/09513590.2012.743020.
</t>
  </si>
  <si>
    <t xml:space="preserve">Bahadur, Anupama, Hitanshi Arora, Anoosha K Ravi, Manisha Naithani, Yogesh Bahurupi, Jaya Chaturvedi, Megha Ajmani, and Rajlaxmi Mundhra. 2021. “Comparison of Clinical, Metabolic and Hormonal Effects of Metformin Versus Combined Therapy of Metformin With Myoinositol Plus D-Chiro-Inositol in Women With Polycystic Ovary Syndrome (PCOS): A Randomized Controlled Trial.” Cureus 13 (6): e15510. https://doi.org/10.7759/cureus.15510.
</t>
  </si>
  <si>
    <t xml:space="preserve">Benelli, E., S. Del Ghianda, C. Di Cosmo, and M. Tonacchera. 2016. “A Combined Therapy with Myo-Inositol and D-Chiro-Inositol Improves Endocrine Parameters and Insulin Resistance in PCOS Young Overweight Women.” International Journal of Endocrinology 2016 ((Benelli E., elena684@interfree.it; Del Ghianda S., scilladg@hotmail.it; Di Cosmo C., katiadicosmo@yahoo.it; Tonacchera M., mtonacchera@hotmail.com) Department of Clinical and Experimental Medicine, Section of Endocrinology, University Hospital of Pisa, V). https://doi.org/10.1155/2016/3204083.
</t>
  </si>
  <si>
    <t xml:space="preserve">Chirania, Kishan, Sujata Misra, and Sandhya Behera. 2017. “A Randomised Clinical Trial Comparing Myoinositol and Metformin in PCOS.” International Journal of Reproduction, Contraception, Obstetrics and Gynecology; Vol 6, No 5 (2017): May 2017DO  - 10.18203/2320-1770.Ijrcog20171563. https://www.ijrcog.org/index.php/ijrcog/article/view/2671.
</t>
  </si>
  <si>
    <t xml:space="preserve">Donà, G., C. Sabbadin, C. Fiore, M. Bragadin, F.L. Giorgino, E. Ragazzi, G. Clari, L. Bordin, and D. Armanini. 2012. “Inositol Administration Reduces Oxidative Stress in Erythrocytes of Patients with Polycystic Ovary Syndrome.” European Journal of Endocrinology 166 (4): 703–10. https://doi.org/10.1530/EJE-11-0840.
</t>
  </si>
  <si>
    <t xml:space="preserve">Donne, M.L.E., D. Metro, A. Alibrandi, M. Papa, and S. Benvenga. 2019. “Effects of Three Treatment Modalities (Diet, Myoinositol or Myoinositol Associated with D-Chiro-Inositol) on Clinical and Body Composition Outcomes in Women with Polycystic Ovary Syndrome.” European Review for Medical and Pharmacological Sciences 23 (5): 2293–2301. https://doi.org/10.26355/eurrev_201903_17278.
</t>
  </si>
  <si>
    <t xml:space="preserve">Emekçi Özay, Ö., A.C. Özay, E. Çağlıyan, R.E. Okyay, and B. Gülekli. 2017. “Myo-Inositol Administration Positively Effects Ovulation Induction and Intrauterine Insemination in Patients with Polycystic Ovary Syndrome: A Prospective, Controlled, Randomized Trial.” Gynecological Endocrinology 33 (7): 524–28. https://doi.org/10.1080/09513590.2017.1296127.
</t>
  </si>
  <si>
    <t xml:space="preserve">Genazzani, A.D., C. Lanzoni, F. Ricchieri, and V.M. Jasonni. 2008. “Myo-Inositol Administration Positively Affects Hyperinsulinemia and Hormonal Parameters in Overweight Patients with Polycystic Ovary Syndrome.” Gynecological Endocrinology 24 (3): 139–44. https://doi.org/10.1080/09513590801893232.
</t>
  </si>
  <si>
    <t xml:space="preserve">Iuorno, M.J., D.J. Jakubowicz, J.-P. Baillargeon, P. Dillon, R.D. Gunn, G. Allan, and J.E. Nestler. 2002. “Effects of D-Chiro-Inositol in Lean Women with the Polycystic Ovary Syndrome.” Endocrine Practice 8 (6): 417–23. https://doi.org/10.4158/ep.8.6.417.
</t>
  </si>
  <si>
    <t xml:space="preserve">Khan, R.B., M. Sarosh, and S. Anwer. 2022. “Role of Myo-Inositol and D-Chiro-Inositol in Improvement of Endocrine and Clinical Parameters in Teenage Girls Affected by PCOS: A Prospective Cohort Study.” Pakistan Journal of Medical and Health Sciences 16 (1): 21–24. https://doi.org/10.53350/pjmhs2216121.
</t>
  </si>
  <si>
    <t>Maria Concetta Musacchio, Vincenzo De Leo. 2013. “A Combined Treatment with Myo-Inositol and Monacolin K Improve the Androgen and Lipid Profiles of Insulin-Resistant PCOS Patients.” J Metabolic Synd 02 (02). https://doi.org/10.4172/2167-0943.1000127.</t>
  </si>
  <si>
    <t>Mendoza, N., M.P. Diaz-Ropero, M. Aragon, V. Maldonado, P. Llaneza, J. Lorente, R. Mendoza-Tesarik, J. Maldonado-Lobon, M. Olivares, and J. Fonolla. 2019. “Comparison of the Effect of Two Combinations of Myo-Inositol and D-Chiro-Inositol in Women with Polycystic Ovary Syndrome Undergoing ICSI: A Randomized Controlled Trial.” Gynecological Endocrinology 35 (8): 695–700. https://doi.org/10.1080/09513590.2019.1576620.</t>
  </si>
  <si>
    <t xml:space="preserve">Nestler, J.E., D.J. Jakubowicz, P. Reamer, R.D. Gunn, and G. Allan. 1999. “Ovulatory and Metabolic Effects of D-Chiro-Inositol in the Polycystic Ovary Syndrome.” New England Journal of Medicine 340 (17): 1314–20. https://doi.org/10.1056/NEJM199904293401703.
</t>
  </si>
  <si>
    <t>Nordio, M., S. Basciani, and E. Camajani. 2019. “The 40:1 Myo-Inositol/D-Chiro-Inositol Plasma Ratio Is Able to Restore Ovulation in PCOS Patients: Comparison with Other Ratios.” European Review for Medical and Pharmacological Sciences 23 (12): 5512–21. https://doi.org/10.26355/eurrev_201906_18223.</t>
  </si>
  <si>
    <t>Nordio, M., and E. Proietti. 2012. “The Combined Therapy with Myo-Inositol and D-Chiro-Inositol Reduces the Risk of Metabolic Disease in PCOS Overweight Patients Compared to Myo-Inositol Supplementation Alone.” European Review for Medical and Pharmacological Sciences 16 (5): 575–81.</t>
  </si>
  <si>
    <t>Pacchiarotti, A., G. Carlomagno, and G. Antonini. 2016. “Effect of Myo-Inositol and Melatonin versus Myo-Inositol, in a Randomized Controlled Trial, for Improving in Vitro Fertilization of Patients with Polycystic Ovarian Syndrome.” Gynecological Endocrinology 32 (1): 69–73. https://doi.org/10.3109/09513590.2015.1101444.</t>
  </si>
  <si>
    <t>Papaleo, E., V. Unfer, J.-P. Baillargeon, F. Fusi, F. Occhi, and L. De Santis. 2009. “Myo-Inositol May Improve Oocyte Quality in Intracytoplasmic Sperm Injection Cycles. A Prospective, Controlled, Randomized Trial.” Fertility and Sterility 91 (5): 1750–54. https://doi.org/10.1016/j.fertnstert.2008.01.088.</t>
  </si>
  <si>
    <t>Pourghasem, Sajadeh, Fatemeh Bazarganipour, Seyed Abdolvahab Taghavi, and Maryam Azizi Kutenaee. 2019. “The Effectiveness of Inositol and Metformin on Infertile Polycystic Ovary Syndrome Women with Resistant to Letrozole.” Archives of Gynecology &amp; Obstetrics 299 (4): 1193–99. https://doi.org/10.1007/s00404-019-05064-5.</t>
  </si>
  <si>
    <t>Rajasekaran, K., N. Malhotra, R. Mahey, R. Khadgawat, and M. Kalaivani. 2022. “Myoinositol versus Metformin Pretreatment in GnRH-Antagonist Cycle for Women with PCOS Undergoing IVF: A Double-Blinded Randomized Controlled Study.” Gynecological Endocrinology 38 (2): 140–47. https://doi.org/10.1080/09513590.2021.1981282.</t>
  </si>
  <si>
    <t>Tagliaferri, V., D. Romualdi, V. Immediata, S. De Cicco, C. Di Florio, A. Lanzone, and M. Guido. 2017. “Metformin vs Myoinositol: Which Is Better in Obese Polycystic Ovary Syndrome Patients? A Randomized Controlled Crossover Study.” Clinical Endocrinology 86 (5): 725–30. https://doi.org/10.1111/cen.13304.</t>
  </si>
  <si>
    <t>Unfer, V., G. Carlomagno, P. Rizzo, E. Raffone, and S. Roseff. 2011. “Myo-Inositol Rather than D-Chiro-Inositol Is Able to Improve Oocyte Quality in Intracytoplasmic Sperm Injection Cycles. A Prospective, Controlled, Randomized Trial.” European Review for Medical and Pharmacological Sciences 15 (4): 452–57.</t>
  </si>
  <si>
    <t>F. Fruzzetti, D. Perini, M. Russo, F. Bucci, and A. Gadducci, “Comparison of two insulin sensitizers, metformin and myo-inositol, in women with polycystic ovary syndrome (PCOS).,” Gynecol Endocrinol, vol. 33, no. 1, pp. 39–42, 2017, doi: 10.1080/09513590.2016.1236078.</t>
  </si>
  <si>
    <t>E. Raffone, P. Rizzo, and V. Benedetto, “Insulin sensitiser agents alone and in co-treatment with r-FSH for ovulation induction in PCOS women.,” Gynecol Endocrinol, vol. 26, no. 4, pp. 275–80, 2010, doi: 10.3109/09513590903366996.</t>
  </si>
  <si>
    <t>V. Soldat-Stankovic et al., “The effect of metformin and myoinositol on metabolic outcomes in women with polycystic ovary syndrome: role of body mass and adiponectin in a randomized controlled trial.,” J Endocrinol Invest, vol. 45, no. 3, pp. 583–595, 2022, doi: 10.1007/s40618-021-01691-5.</t>
  </si>
  <si>
    <t>Ravn P, Gram F, Andersen MS, Glintborg D. Myoinositol vs. Metformin in Women with Polycystic Ovary Syndrome: A Randomized Controlled Clinical Trial. Metabolites. 2022; 12(12):1183. DOI:10.3390/metabo12121183</t>
  </si>
  <si>
    <t>Nehra, J., J. Kaushal, S.R. Singhal, and V.S. Ghalaut., 2017b. “Comparision of Myo-Inositol versus Metformin on Anthropometric Parameters in Polycystic Ovarian Syndrome in Women.” International Journal of Pharmacy and Pharmaceutical Sciences 9 (4): 144–48. https://doi.org/10.22159/ijpps.2017v9i4.16359.</t>
  </si>
  <si>
    <t>included_article_id</t>
  </si>
  <si>
    <t xml:space="preserve">Karn, D.; K C, S.; Timalsina, M.; Gyawali, P. (2014). Hormonal profile and efficacy of long pulse Nd-YAG laser in treatment of hirsutism. Journal of Nepal Health Research Council, 2014; 12(26):59-62. Doi: 10.33314/jnhrc.v0i0.440 </t>
  </si>
  <si>
    <t xml:space="preserve">McGill, D. J.; Hutchison, C.; McKenzie, E.; McSherry, E.; Mackay, I. R.(2007). A randomised, split-face comparison of facial hair removal with the alexandrite laser and intense pulsed light system. Lasers in surgery and medicine 2007;39(10):767-772. Doi: 10.1002/lsm.20584 </t>
  </si>
  <si>
    <t xml:space="preserve">McGill, D. J.; Hutchison, C.; McKenzie, E.; McSherry, E.; Mackay, I. R. (2007). Laser hair removal in women with poilycystic ovary syndrome. Journal of plastic, reconstructive &amp; aesthetic surgery: JPRAS 2007;60(4):426-31. doi :10.1016/j.bjps.2006.11.006 </t>
  </si>
  <si>
    <t xml:space="preserve">Nabi, N.; Bhat, Y. J.; Dar, U. K.; Hakeem, A.; Mir, S. A.; Shah, I. H.; Tilwani, M. R. (2022). Comparative study of the clinic-trichoscopic response to treatment of hirsutism with long pulsed (1064nm) Nd:YAG laser in idiopathic hirsutism and polycystic ovarian syndrome patients. Lasers in medical science 2022;37(1):545-553. Doi: 10.1007/s10103-021-03295-0 </t>
  </si>
  <si>
    <t xml:space="preserve">Pai, G. S.; Bhat, P. S.; Mallya, H.; Gold, M. (2011) Safety and efficacy of low-fluence, high-repetition rate versus high-fluence, low-repetition rate 810-nm diode laser for permanent hair removal A split-face comparison study.  Journal of Cosmetic and Laser Therapy 2011;13(4):134-137. Doi: 10.3109/14764172.2011.594057 </t>
  </si>
  <si>
    <t>Rezvanian, H.; Adibi, N.; Siavash, M.; Kachuei, A.; Shojaee-Moradie, F.; Asilian, A.)2—0_. Increased insulin sensitivity by metformin enhances intense-pulsed-light-assisted hair removal in patients with polycystic ovary syndrome. Dermatology 2009;218(3):231-236. Doi: 10.1159/000187718</t>
  </si>
  <si>
    <t>Abiad, F., Khalife, D., Safadi, B., Alami, R., Awwad, J., Khalifeh, F., &amp; Ghazeeri, G. (2018). The effect of bariatric surgery on inflammatory markers in women with polycystic ovarian syndrome. Diabetes and Metabolic Syndrome: Clinical Research and Reviews, 12(6), 999-1005. 
https://dx.doi.org/10.1016/j.dsx.2018.06.013</t>
  </si>
  <si>
    <t xml:space="preserve">Ahmed, B., Ammori, B.J., Akhtar, K., Senapati, S., New, J.P., &amp; Syed, A.A. (2022). Weight loss and metabolic outcomes in women with or without polycystic ovarian syndrome after Roux-en-Y gastric bypass: A case-matched study. The Surgeon: Journal of the Royal Colleges of Surgeons of Edinburgh and Ireland, 20(3), 137-141. 
https://dx.doi.org/10.1016/j.surge.2021.02.012	</t>
  </si>
  <si>
    <t>Benito, E., Gomez-Martin, J.M., Vega-Pinero, B., Priego, P., Galindo, J., Escobar-Morreale, H.F., &amp; Botella-Carretero, J.I. (2020). Fertility and pregnancy outcomes in women with polycystic ovary syndrome following bariatric surgery. Journal of Clinical Endocrinology and Metabolism, 105(9), E3384-E3391.
https://dx.doi.org/10.1210/clinem/dgaa439</t>
  </si>
  <si>
    <t>Bhandari, S., Ganguly, I., Bhandari, M., Agarwal, P., Singh, A., Gupta, N., &amp; Mishra, A. (2016). Effect of sleeve gastrectomy bariatric surgery-induced weight loss on serum AMH levels in reproductive aged women. Gynecological Endocrinology, 32(10), 799-802. 
https://dx.doi.org/10.3109/09513590.2016.1169267</t>
  </si>
  <si>
    <t xml:space="preserve">Buyukkaba, M., Turgut, S., Ilhan, M. M., Ekinci, I., Yayllm, I., Zeybek, S. U., Turan, S., Tasan, E., &amp; Karaman, O. (2021). Anti-Mullerian Hormone Levels Increase after Bariatric Surgery in Obese Female Patients with and Without Polycystic Ovary Syndrome. Hormone and Metabolic Research, 54(3), 194-198.
https://dx.doi.org/10.1055/a-1756-4798 </t>
  </si>
  <si>
    <t>Cai, M., Gao, J., Du, L., Cheng, X., Zhou, D., Zhu, J., Qu, S., &amp; Zhang, M. (2021). The Changes in Body Composition in Obese Patients with Polycystic Ovary Syndrome After Laparoscopic Sleeve Gastrectomy: A 12-Month Follow-Up. Obesity Surgery, 31(9), 4055-4063. 
https://dx.doi.org/10.1007/s11695-021-05496-6</t>
  </si>
  <si>
    <t>Casals, G., Andreu, A., Barral, Y., Ventosa, S., Redondo, M., Torres, F., Ibarzabal, A., Manau, D., Carmona, F., Vidal, J., &amp; Flores, L. (2021). Bariatric Surgery on Reproductive Outcomes: the Impact According to the Diagnosis of Polycystic Ovarian Syndrome and Surgical Procedures. Obesity Surgery, 31(6), 2590-2598.
https://dx.doi.org/10.1007/s11695-021-05297-x</t>
  </si>
  <si>
    <t>Chiofalo, F., Ciuoli, C., Formichi, C., Selmi, F., Forleo, R., Neri, O., Vuolo, G., Paffetti, P., &amp; Pacini, F. (2017). Bariatric Surgery Reduces Serum Anti-mullerian Hormone Levels in Obese Women with and Without Polycystic Ovarian Syndrome. Obesity Surgery, 27(7), 1750-1754. 
https://dx.doi.org/10.1007/s11695-016-2528-y</t>
  </si>
  <si>
    <t>Hu, L., Ma, L., Xia, X., Ying, T., Zhou, M., Zou, S., Yu, H., &amp; Yin, J. (2022). Efficacy of Bariatric Surgery in the Treatment of Women with Obesity and Polycystic Ovary Syndrome. The Journal of Clinical Endocrinology and Metabolism, 107(8), e3217-e3229.
https://dx.doi.org/10.1210/clinem/dgac294</t>
  </si>
  <si>
    <t>Tatarchuk T., Todurov I., Anagnostis P., Tutchenko T., Pedachenko N., Glamazda M., Koseii N., &amp; Regeda S. (2022). The Effect of Gastric Sleeve Resection on Menstrual Pattern and Ovulation in Premenopausal Women with Classes III-IV Obesity. Obesity Surgery, 32(3), 599-606.
https://dx.doi.org/10.1007/s11695-021-05820-0</t>
  </si>
  <si>
    <t>Diamant, Y. Z.; Rimon, E.; Evron, S. (1982): High incidence of preeclamptic toxemia in patients with polycystic ovarian disease. Eur J Obstet Gynecol Reprod Biol 14, 3, 199-204, http://ovidsp.ovid.com/ovidweb.cgi?T=JS&amp;CSC=Y&amp;NEWS=N&amp;PAGE=fulltext&amp;D=med2&amp;AN=7160531</t>
  </si>
  <si>
    <t>Levran, D.; Shoham, Z.; Habib, D.; et al. (1990): Glucose tolerance in pregnant women following treatment for sterility. Int J Fertil 35, 3, 157-159, http://ovidsp.ovid.com/ovidweb.cgi?T=JS&amp;CSC=Y&amp;NEWS=N&amp;PAGE=fulltext&amp;D=med3&amp;AN=1973920</t>
  </si>
  <si>
    <t>Wortsman, J.; de Angeles, S.; Futterweit, W.; et al. (1991): Gestational diabetes and neonatal macrosomia in the polycystic ovary syndrome. J Reprod Med 36, 9, 659-661, http://ovidsp.ovid.com/ovidweb.cgi?T=JS&amp;CSC=Y&amp;NEWS=N&amp;PAGE=fulltext&amp;D=med3&amp;AN=1774730</t>
  </si>
  <si>
    <t>Urman, B.; Fluker, M. R.; Yuen, B. H.; et al. (1992): The outcome of in vitro fertilization and embryo transfer in women with polycystic ovary syndrome failing to conceive after ovulation induction with exogenous gonadotropins. Fertil Steril 57, 6, 1269-1273, http://ovidsp.ovid.com/ovidweb.cgi?T=JS&amp;CSC=Y&amp;NEWS=N&amp;PAGE=fulltext&amp;D=med3&amp;AN=1601149</t>
  </si>
  <si>
    <t>Homburg, R.; Berkowitz, D.; Levy, T.; et al. (1993): In vitro fertilization and embryo transfer for the treatment of infertility associated with polycystic ovary syndrome. Fertil Steril 60, 5, 858-863, http://ovidsp.ovid.com/ovidweb.cgi?T=JS&amp;CSC=Y&amp;NEWS=N&amp;PAGE=fulltext&amp;D=med3&amp;AN=8224271</t>
  </si>
  <si>
    <t>Lesser, K. B.; Garcia, F. A. (1997): Association between polycystic ovary syndrome and glucose intolerance during pregnancy. J Matern Fetal Med 6, 5, 303-307. https://dx.doi.org/10.1002/(SICI)1520-6661(199709/10)6:5&lt;303::AID-MFM14&gt;3.0.CO;2-L.</t>
  </si>
  <si>
    <t>Urman, B.; Sarac, E.; Dogan, L.; et al. (1997): Pregnancy in infertile PCOD patients. Complications and outcome. J Reprod Med 42, 8, 501-505, http://ovidsp.ovid.com/ovidweb.cgi?T=JS&amp;CSC=Y&amp;NEWS=N&amp;PAGE=fulltext&amp;D=med4&amp;AN=9284012</t>
  </si>
  <si>
    <t>Fridstrom, M.; Nisell, H.; Sjoblom, P.; et al. (1999): Are women with polycystic ovary syndrome at an increased risk of pregnancy-induced hypertension and/or preeclampsia? Hypertens 18, 1, 73-80, http://ovidsp.ovid.com/ovidweb.cgi?T=JS&amp;CSC=Y&amp;NEWS=N&amp;PAGE=fulltext&amp;D=med4&amp;AN=10464001</t>
  </si>
  <si>
    <t>Kashyap, S.; Claman, P. (2000): Polycystic ovary disease and the risk of pregnancy-induced hypertension. J Reprod Med 45, 12, 991-994, http://ovidsp.ovid.com/ovidweb.cgi?T=JS&amp;CSC=Y&amp;NEWS=N&amp;PAGE=fulltext&amp;D=med4&amp;AN=11153260</t>
  </si>
  <si>
    <t>Vollenhoven, B.; Clark, S.; Kovacs, G.; et al. (2000): Prevalence of gestational diabetes mellitus in polycystic ovarian syndrome (PCOS) patients pregnant after ovulation induction with gonadotrophins. Australian &amp; New Zealand Journal of Obstetrics &amp; Gynaecology 40, 1, 54-58, http://ovidsp.ovid.com/ovidweb.cgi?T=JS&amp;CSC=Y&amp;NEWS=N&amp;PAGE=fulltext&amp;D=med4&amp;AN=10870780</t>
  </si>
  <si>
    <t>Mikola, M.; Hiilesmaa, V.; Halttunen, M.; et al. (2001): Obstetric outcome in women with polycystic ovarian syndrome. Human Reproduction 16, 2, 226-229, http://ovidsp.ovid.com/ovidweb.cgi?T=JS&amp;CSC=Y&amp;NEWS=N&amp;PAGE=fulltext&amp;D=med4&amp;AN=11157811</t>
  </si>
  <si>
    <t>Wang, J. X.; Davies, M. J.; Norman, R. J. (2001): Polycystic ovarian syndrome and the risk of spontaneous abortion following assisted reproductive technology treatment. Human Reproduction 16, 12, 2606-2609, http://ovidsp.ovid.com/ovidweb.cgi?T=JS&amp;CSC=Y&amp;NEWS=N&amp;PAGE=fulltext&amp;D=med4&amp;AN=11726582</t>
  </si>
  <si>
    <t>Bjercke, S.; Dale, P. O.; Tanbo, T.; et al. (2002): Impact of insulin resistance on pregnancy complications and outcome in women with polycystic ovary syndrome. Gynecol Obstet Invest 54, 2, 94-98. https://dx.doi.org/67719.</t>
  </si>
  <si>
    <t>Sir-Petermann, T.; Maliqueo, M.; Angel, B.; et al. (2002): Maternal serum androgens in pregnant women with polycystic ovarian syndrome: possible implications in prenatal androgenization. Human Reproduction 17, 10, 2573-2579, http://ovidsp.ovid.com/ovidweb.cgi?T=JS&amp;CSC=Y&amp;NEWS=N&amp;PAGE=fulltext&amp;D=med4&amp;AN=12351531</t>
  </si>
  <si>
    <t>Haakova, L.; Cibula, D.; Rezabek, K.; et al. (2003): Pregnancy outcome in women with PCOS and in controls matched by age and weight. Human Reproduction 18, 7, 1438-1441, http://ovidsp.ovid.com/ovidweb.cgi?T=JS&amp;CSC=Y&amp;NEWS=N&amp;PAGE=fulltext&amp;D=med4&amp;AN=12832369</t>
  </si>
  <si>
    <t>Turhan, N. O.; Seckin, N. C.; Aybar, F.; et al. (2003): Assessment of glucose tolerance and pregnancy outcome of polycystic ovary patients. Int J Gynaecol Obstet 81, 2, 163-168, http://ovidsp.ovid.com/ovidweb.cgi?T=JS&amp;CSC=Y&amp;NEWS=N&amp;PAGE=fulltext&amp;D=medc&amp;AN=12706273</t>
  </si>
  <si>
    <t>Glueck, C. J.; Goldenberg, N.; Pranikoff, J.; et al. (2004): Height, weight, and motor-social development during the first 18 months of life in 126 infants born to 109 mothers with polycystic ovary syndrome who conceived on and continued metformin through pregnancy. Human Reproduction 19, 6, 1323-1330. https://dx.doi.org/10.1093/humrep/deh263.</t>
  </si>
  <si>
    <t>Glueck, C. J.; Bornovali, S.; Pranikoff, J.; et al. (2004): Metformin, pre-eclampsia, and pregnancy outcomes in women with polycystic ovary syndrome. Diabet Med 21, 8, 829-836. https://dx.doi.org/10.1111/j.1464-5491.2004.01251.x.</t>
  </si>
  <si>
    <t>Weerakiet, S.; Srisombut, C.; Rojanasakul, A.; et al. (2004): Prevalence of gestational diabetes mellitus and pregnancy outcomes in Asian women with polycystic ovary syndrome. Gynecological Endocrinology 19, 3, 134-140, http://ovidsp.ovid.com/ovidweb.cgi?T=JS&amp;CSC=Y&amp;NEWS=N&amp;PAGE=fulltext&amp;D=med5&amp;AN=15697074</t>
  </si>
  <si>
    <t>Sir-Petermann, T.; Hitchsfeld, C.; Maliqueo, M.; et al. (2005): Birth weight in offspring of mothers with polycystic ovarian syndrome. Human Reproduction 20, 8, 2122-2126. https://dx.doi.org/10.1093/humrep/dei009.</t>
  </si>
  <si>
    <t>Al-Ojaimi, E. H. (2006): Pregnancy outcomes after laparoscopic ovarian drilling in women with polycystic ovarian syndrome. Saudi Medical Journal 27, 4, 519-525, http://ovidsp.ovid.com/ovidweb.cgi?T=JS&amp;CSC=Y&amp;NEWS=N&amp;PAGE=fulltext&amp;D=med5&amp;AN=16598331</t>
  </si>
  <si>
    <t>Dokras, A.; Baredziak, L.; Blaine, J.; et al. (2006): Obstetric outcomes after in vitro fertilization in obese and morbidly obese women. Obstet Gynecol 108, 1, 61-69. https://dx.doi.org/10.1097/01.AOG.0000219768.08249.b6.</t>
  </si>
  <si>
    <t>Kovo, M.; Weissman, A.; Gur, D.; et al. (2006): Neonatal outcome in polycystic ovarian syndrome patients treated with metformin during pregnancy. J Matern Fetal Neonatal Med 19, 7, 415-419. https://dx.doi.org/10.1080/14767050600682370.</t>
  </si>
  <si>
    <t>Hu, S.; Leonard, A.; Seifalian, A.; et al. (2007): Vascular dysfunction during pregnancy in women with polycystic ovary syndrome. Human Reproduction 22, 6, 1532-1539. https://dx.doi.org/10.1093/humrep/dem028.</t>
  </si>
  <si>
    <t>Palep-Singh, M.; Picton, H. M.; Vrotsou, K.; et al. (2007): South Asian women with polycystic ovary syndrome exhibit greater sensitivity to gonadotropin stimulation with reduced fertilization and ongoing pregnancy rates than their Caucasian counterparts. Eur J Obstet Gynecol Reprod Biol 134, 2, 202-207. https://dx.doi.org/10.1016/j.ejogrb.2007.02.005.</t>
  </si>
  <si>
    <t>Sir-Petermann, T.; Echiburu, B.; Maliqueo, M. M.; et al. (2007): Serum adiponectin and lipid concentrations in pregnant women with polycystic ovary syndrome. Human Reproduction 22, 7, 1830-1836. https://dx.doi.org/10.1093/humrep/dem090.</t>
  </si>
  <si>
    <t>Beydoun, H. A.; Stadtmauer, L.; Zhao, Y.; et al. (2009): Impact of polycystic ovary syndrome on selected indicators of in vitro fertilization and intracytoplasmic sperm injection treatment success. J Womens Health (Larchmt) 18, 5, 717-723. https://dx.doi.org/10.1089/jwh.2008.1149.</t>
  </si>
  <si>
    <t>Gupta, A.; Raina, K.; Kalkkar, T.; et al. (2009): Pregnancy outcome in women with the polycystic ovarian syndrome. JK Science 11, 2, 82-84, http://www.jkscience.org/archive/vol112/8%20Original%20Article-Pregnancy%20Outcome%20-.pdf</t>
  </si>
  <si>
    <t>Maliqueo, M.; Echiburu, B.; Crisosto, N.; et al. (2009): Metabolic parameters in cord blood of newborns of women with polycystic ovary syndrome. Fertil Steril 92, 1, 277-282. https://dx.doi.org/10.1016/j.fertnstert.2008.04.022.</t>
  </si>
  <si>
    <t>Falbo, A.; Rocca, M.; Russo, T.; et al. (2010): Changes in androgens and insulin sensitivity indexes throughout pregnancy in women with polycystic ovary syndrome (PCOS): Relationships with adverse outcomes. Journal of Ovarian Research 3 (1) (no pagination), 23. http://dx.doi.org/10.1186/1757-2215-3-23.</t>
  </si>
  <si>
    <t>Li, G.; Fan, L.; Zhang, L.; et al. (2010): Metabolic parameters and perinatal outcomes of gestational diabetes mellitus in women with polycystic ovary syndrome.[Erratum appears in J Perinat Med. 2010 May;38(3):343]. Journal of Perinatal Medicine 38, 2, 141-146. https://dx.doi.org/10.1515/JPM.2010.034.</t>
  </si>
  <si>
    <t>Palomba, S.; Falbo, A.; Russo, T.; et al. (2010): Pregnancy in women with polycystic ovary syndrome: the effect of different phenotypes and features on obstetric and neonatal outcomes. Fertil Steril 94, 5, 1805-1811. https://dx.doi.org/10.1016/j.fertnstert.2009.10.043.</t>
  </si>
  <si>
    <t>Palomba, S.; Falbo, A.; Russo, T.; et al. (2010): Uterine blood flow in pregnant patients with polycystic ovary syndrome: relationships with clinical outcomes. Bjog 117, 6, 711-721. https://dx.doi.org/10.1111/j.1471-0528.2010.02525.x.</t>
  </si>
  <si>
    <t>De Leo, V.; Musacchio, M. C.; Piomboni, P.; et al. (2011): The administration of metformin during pregnancy reduces polycystic ovary syndrome related gestational complications. Eur J Obstet Gynecol Reprod Biol 157, 1, 63-66. https://dx.doi.org/10.1016/j.ejogrb.2011.03.024.</t>
  </si>
  <si>
    <t>Dmitrovic, R.; Katcher, H. I.; Kunselman, A. R.; et al. (2011): Continuous glucose monitoring during pregnancy in women with polycystic ovary syndrome. Obstet Gynecol 118, 4, 878-885. https://dx.doi.org/10.1097/AOG.0b013e31822c887f.</t>
  </si>
  <si>
    <t>Nejad, E. S.; Saedi, T.; Saedi, S.; et al. (2011): Comparison of in vitro fertilisation success in patients with polycystic ovary syndrome and tubal factor. Gynecological Endocrinology 27, 2, 117-120. https://dx.doi.org/10.3109/09513590.2010.501872.</t>
  </si>
  <si>
    <t>Nouh, A. A.; Shalaby, S. M. (2011): The predictive value of uterine blood flow in detecting the risk of adverse pregnancy outcome in patients with polycystic ovary syndrome. Middle East Fertility Society Journal 16, 4, 284-290. http://dx.doi.org/10.1016/j.mefs.2011.09.001.</t>
  </si>
  <si>
    <t>Mehrabian, F.; Kelishadi, R. (2012): Comparison of the metabolic parameters and androgen level of umbilical cord blood in newborns of mothers with polycystic ovary syndrome and controls. Journal of Research in Medical Sciences 17, 3, 207-211, http://ovidsp.ovid.com/ovidweb.cgi?T=JS&amp;CSC=Y&amp;NEWS=N&amp;PAGE=fulltext&amp;D=prem&amp;AN=23267369</t>
  </si>
  <si>
    <t>Palomba, S.; Falbo, A.; Russo, T.; et al. (2012): The risk of a persistent glucose metabolism impairment after gestational diabetes mellitus is increased in patients with polycystic ovary syndrome. Diabetes Care 35, 4, 861-867. https://dx.doi.org/10.2337/dc11-1971.</t>
  </si>
  <si>
    <t>Reyes-Munoz, E.; Castellanos-Barroso, G.; Ramirez-Eugenio, B. Y.; et al. (2012): The risk of gestational diabetes mellitus among Mexican women with a history of infertility and polycystic ovary syndrome. Fertil Steril 97, 6, 1467-1471. https://dx.doi.org/10.1016/j.fertnstert.2012.03.023.</t>
  </si>
  <si>
    <t>Yamamoto, M.; Feigenbaum, S. L.; Crites, Y.; et al. (2012): Risk of preterm delivery in non-diabetic women with polycystic ovarian syndrome. Journal of Perinatology 32, 10, 770-776. https://dx.doi.org/10.1038/jp.2011.194.</t>
  </si>
  <si>
    <t>Boutzios, G.; Livadas, S.; Piperi, C.; et al. (2013): Polycystic ovary syndrome offspring display increased oxidative stress markers comparable to gestational diabetes offspring. Fertil Steril 99, 3, 943-950. https://dx.doi.org/10.1016/j.fertnstert.2012.10.050.</t>
  </si>
  <si>
    <t>Wang, Y.; Zhao, X.; Zhao, H.; et al. (2013): Risks for gestational diabetes mellitus and pregnancy-induced hypertension are increased in polycystic ovary syndrome. Biomed Res Int 2013, 182582. https://dx.doi.org/10.1155/2013/182582.</t>
  </si>
  <si>
    <t>Ashrafi, M.; Sheikhan, F.; Arabipoor, A.; et al. (2014): Gestational diabetes mellitus risk factors in women with polycystic ovary syndrome (PCOS). Eur J Obstet Gynecol Reprod Biol 181, 195-199. https://dx.doi.org/10.1016/j.ejogrb.2014.07.043.</t>
  </si>
  <si>
    <t>Elkholi, D. G. E. Y.; Nagy, H. M. (2014): The effects of adipocytokines on the endocrino-metabolic features and obstetric outcome in pregnant obese women with polycystic ovary syndrome. Middle East Fertility Society Journal 19, 4, 293-302. http://dx.doi.org/10.1016/j.mefs.2014.02.001.</t>
  </si>
  <si>
    <t>Foroozanfard, F.; Moosavi, S. G.; Mansouri, F.; et al. (2014): Obstetric and Neonatal Outcome in PCOS with Gestational Diabetes Mellitus. J Family Reprod Health 8, 1, 7-12, http://ovidsp.ovid.com/ovidweb.cgi?T=JS&amp;CSC=Y&amp;NEWS=N&amp;PAGE=fulltext&amp;D=prem&amp;AN=24971127</t>
  </si>
  <si>
    <t>Huang, K.; Dong, X.; Zhang, H.; et al. (2014): Effect of overweight/obesity on IVF-ET outcomes in chinese patients with polycystic ovary syndrome. International Journal of Clinical and Experimental Medicine 7, 12, 5872-5876, http://www.ijcem.com/files/ijcem0003637.pdf</t>
  </si>
  <si>
    <t>Lathi, R. B.; Dahan, M. H.; Reynolds-May, M. F.; et al. (2014): The role of serum testosterone in early pregnancy outcome: a comparison in women with and without polycystic ovary syndrome. J Obstet Gynaecol Can 36, 9, 811-816, http://ovidsp.ovid.com/ovidweb.cgi?T=JS&amp;CSC=Y&amp;NEWS=N&amp;PAGE=fulltext&amp;D=medl&amp;AN=25222360</t>
  </si>
  <si>
    <t>Li, H. W.; Lee, V. C.; Lau, E. Y.; et al. (2014): Cumulative live-birth rate in women with polycystic ovary syndrome or isolated polycystic ovaries undergoing in-vitro fertilisation treatment. J Assist Reprod Genet 31, 2, 205-211. https://dx.doi.org/10.1007/s10815-013-0151-6.</t>
  </si>
  <si>
    <t>Liu, L.; Tong, X.; Jiang, L.; et al. (2014): A comparison of the miscarriage rate between women with and without polycystic ovarian syndrome undergoing IVF treatment. Eur J Obstet Gynecol Reprod Biol 176, 178-182. https://dx.doi.org/10.1016/j.ejogrb.2014.02.041.</t>
  </si>
  <si>
    <t>Naver, K. V.; Grinsted, J.; Larsen, S. O.; et al. (2014): Increased risk of preterm delivery and pre-eclampsia in women with polycystic ovary syndrome and hyperandrogenaemia. Bjog 121, 5, 575-581. https://dx.doi.org/10.1111/1471-0528.12558.</t>
  </si>
  <si>
    <t>Palomba, S.; Falbo, A.; Chiossi, G.; et al. (2014): Lipid profile in nonobese pregnant women with polycystic ovary syndrome: a prospective controlled clinical study. Steroids 88, 36-43. https://dx.doi.org/10.1016/j.steroids.2014.06.005.</t>
  </si>
  <si>
    <t>Palomba, S.; Falbo, A.; Chiossi, G.; et al. (2014): Low-grade chronic inflammation in pregnant women with polycystic ovary syndrome: a prospective controlled clinical study. J Clin Endocrinol Metab 99, 8, 2942-2951. https://dx.doi.org/10.1210/jc.2014-1214.</t>
  </si>
  <si>
    <t>Zhang, C. M.; Zhao, Y.; Li, R.; et al. (2014): Metabolic heterogeneity of follicular amino acids in polycystic ovary syndrome is affected by obesity and related to pregnancy outcome. BMC Pregnancy Childbirth 14, 11. https://dx.doi.org/10.1186/1471-2393-14-11.</t>
  </si>
  <si>
    <t>Kollmann, M.; Klaritsch, P.; Martins, W. P.; et al. (2015): Maternal and neonatal outcomes in pregnant women with PCOS: comparison of different diagnostic definitions. Human Reproduction 30, 10, 2396-2403. https://dx.doi.org/10.1093/humrep/dev187.</t>
  </si>
  <si>
    <t>Koster, M. P.; de Wilde, M. A.; Veltman-Verhulst, S. M.; et al. (2015): Placental characteristics in women with polycystic ovary syndrome. Human Reproduction 30, 12, 2829-2837. https://dx.doi.org/10.1093/humrep/dev265.</t>
  </si>
  <si>
    <t>Mumm, H.; Jensen, D. M.; Sorensen, J. A.; et al. (2015): Hyperandrogenism and phenotypes of polycystic ovary syndrome are not associated with differences in obstetric outcomes. Acta Obstetricia et Gynecologica Scandinavica 94, 2, 204-211. https://dx.doi.org/10.1111/aogs.12545.</t>
  </si>
  <si>
    <t>Sawada, M.; Masuyama, H.; Hayata, K.; et al. (2015): Pregnancy complications and glucose intolerance in women with polycystic ovary syndrome. Endocr J 62, 11, 1017-1023. https://dx.doi.org/10.1507/endocrj.EJ15-0364.</t>
  </si>
  <si>
    <t>Wan, H. L.; Hui, P. W.; Li, H. W.; et al. (2015): Obstetric outcomes in women with polycystic ovary syndrome and isolated polycystic ovaries undergoing in vitro fertilization: a retrospective cohort analysis. J Matern Fetal Neonatal Med 28, 4, 475-478. https://dx.doi.org/10.3109/14767058.2014.921673.</t>
  </si>
  <si>
    <t>Aktun, H. L.; Yorgunlar, B.; Acet, M.; et al. (2016): The effects of polycystic ovary syndrome on gestational diabetes mellitus. Gynecological Endocrinology 32, 2, 139-142. https://dx.doi.org/10.3109/09513590.2015.1101438.</t>
  </si>
  <si>
    <t>Sterling, L.; Liu, J.; Okun, N.; et al. (2016): Pregnancy outcomes in women with polycystic ovary syndrome undergoing in vitro fertilization. Fertil Steril 105, 3, 791-797.e792. https://dx.doi.org/10.1016/j.fertnstert.2015.11.019.</t>
  </si>
  <si>
    <t>Wang, F.; Dai, W.; Yang, X. H.; et al. (2016): Analyses of optimal body mass index for infertile patients with either polycystic or non-polycystic ovary syndrome during assisted reproductive treatment in China. Sci 6, 34538. https://dx.doi.org/10.1038/srep34538.</t>
  </si>
  <si>
    <t>Wang, Q.; Luo, L.; Lei, Q.; et al. (2016): Low aneuploidy rate in early pregnancy loss abortuses from patients with polycystic ovary syndrome. Reproductive Biomedicine Online 33, 1, 85-92. https://dx.doi.org/10.1016/j.rbmo.2016.04.006.</t>
  </si>
  <si>
    <t>Xiao, Q.; Cui, Y. Y.; Lu, J.; et al. (2016): Risk for Gestational Diabetes Mellitus and Adverse Birth Outcomes in Chinese Women with Polycystic Ovary Syndrome. Int 2016, 5787104. https://dx.doi.org/10.1155/2016/5787104.</t>
  </si>
  <si>
    <t>Chen, Y.; Ye, B.; Yang, X.; et al. (2017): Predicting the outcome of different protocols of in vitro fertilization with anti-Muullerian hormone levels in patients with polycystic ovary syndrome. Journal of International Medical Research 45, 3, 1138-1147. https://dx.doi.org/10.1177/0300060517704140.</t>
  </si>
  <si>
    <t>de Wilde, M. A.; Lamain-de Ruiter, M.; Veltman-Verhulst, S. M.; et al. (2017): Increased rates of complications in singleton pregnancies of women previously diagnosed with polycystic ovary syndrome predominantly in the hyperandrogenic phenotype. Fertility &amp; Sterility 108, 2, 333-340. https://dx.doi.org/10.1016/j.fertnstert.2017.06.015.</t>
  </si>
  <si>
    <t>Jonsdottir, F.; Nilas, L.; Andreasen, K. R.; et al. (2017): Obstetrical complications in dichorionic twin pregnancies in women with polycystic ovary syndrome. Acta Obstetricia et Gynecologica Scandinavica 96, 12, 1453-1459. https://dx.doi.org/10.1111/aogs.13241.</t>
  </si>
  <si>
    <t>Luo, L.; Gu, F.; Jie, H.; et al. (2017): Early miscarriage rate in lean polycystic ovary syndrome women after euploid embryo transfer - a matched-pair study. Reproductive Biomedicine Online 35, 5, 576-582. https://dx.doi.org/10.1016/j.rbmo.2017.07.010.</t>
  </si>
  <si>
    <t>Huang, Q.; Niu, Y.; Xu, L.; et al. (2018): Relationship between a low ratio of serum estradiol to follicle number and fertility treatment outcomes: A retrospective cohort study of 516 cases. Medicine 97, 34, e12017. https://dx.doi.org/10.1097/MD.0000000000012017.</t>
  </si>
  <si>
    <t>Kent, J.; Dodson, W. C.; Kunselman, A.; et al. (2018): Gestational Weight Gain in Women With Polycystic Ovary Syndrome: A Controlled Study. Journal of Clinical Endocrinology &amp; Metabolism 103, 11, 4315-4323. https://dx.doi.org/10.1210/jc.2017-02764.</t>
  </si>
  <si>
    <t>Lai, Q.; Xiang, W.; Li, Q.; et al. (2018): Oxidative stress in granulosa cells contributes to poor oocyte quality and IVF-ET outcomes in women with polycystic ovary syndrome. Fronteras en Medicina 12, 5, 518-524. https://dx.doi.org/10.1007/s11684-017-0575-y.</t>
  </si>
  <si>
    <t>Li, Y.; Ruan, X.; Wang, H.; et al. (2018): Comparing the risk of adverse pregnancy outcomes of Chinese patients with polycystic ovary syndrome with and without antiandrogenic pretreatment. Fertility &amp; Sterility 109, 4, 720-727. https://dx.doi.org/10.1016/j.fertnstert.2017.12.023.</t>
  </si>
  <si>
    <t>March, W. A.; Whitrow, M. J.; Davies, M. J.; et al. (2018): Postnatal depression in a community-based study of women with polycystic ovary syndrome. Acta Obstetricia et Gynecologica Scandinavica 97, 7, 838-844. https://dx.doi.org/10.1111/aogs.13332.</t>
  </si>
  <si>
    <t>Butts, S. F.; Seifer, D. B.; Koelper, N.; et al. (2019): Vitamin D Deficiency Is Associated With Poor Ovarian Stimulation Outcome in PCOS but Not Unexplained Infertility. J Clin Endocrinol Metab 104, 2, 369-378. https://dx.doi.org/10.1210/jc.2018-00750.</t>
  </si>
  <si>
    <t>Kollmann, M.; Obermayer-Pietsch, B.; Lerchbaum, E.; et al. (2019): Androgen and anti-mullerian hormone concentrations at term in newborns and their mothers with and without polycystic ovary syndrome. Journal of Clinical Medicine 8(11) (no pagination). https://dx.doi.org/10.3390/jcm8111817.</t>
  </si>
  <si>
    <t>Schneider, D.; Gonzalez, J. R.; Yamamoto, M.; et al. (2019): The Association of Polycystic Ovary Syndrome and Gestational Hypertensive Disorders in a Diverse Community-Based Cohort. Journal of pregnancy 2019, 9847057. https://dx.doi.org/10.1155/2019/9847057.</t>
  </si>
  <si>
    <t>Zheng, W.; Huang, W.; Tian, Z.; et al. (2019): Early pregnancy metabolic factors associated with gestational diabetes mellitus in normal-weight women with polycystic ovary syndrome: A two-phase cohort study. Diabetology and Metabolic Syndrome 11(1) (no pagination). https://dx.doi.org/10.1186/s13098-019-0462-6.</t>
  </si>
  <si>
    <t>Benito, E.; Gomez-Martin, J. M.; Vega-Pinero, B.; et al. (2020): Fertility and pregnancy outcomes in women with polycystic ovary syndrome following bariatric surgery. Journal of Clinical Endocrinology and Metabolism 105(9), E3384-E3391. https://dx.doi.org/10.1210/clinem/dgaa439.</t>
  </si>
  <si>
    <t>Chen, M.; Huang, X.; Liu, Y.; et al. (2020): Systematic oxidative stress is not associated with live birth rate in young non-obese patients with polycystic ovarian syndrome undergoing assisted reproduction cycles: A prospective cohort study. Eur J Obstet Gynecol Reprod Biol 253, 154-161. https://dx.doi.org/10.1016/j.ejogrb.2020.07.049.</t>
  </si>
  <si>
    <t>Elshewy, N.; Ji, D.; Zhang, Z.; et al. (2020): Association between mild stimulated IVF/M cycle and early embryo arrest in sub fertile women with/without PCOS. Reprod Biol Endocrinol 18, 1, 71. https://dx.doi.org/10.1186/s12958-020-00622-y.</t>
  </si>
  <si>
    <t>Foroozanfard, F.; Asemi, Z.; Bazarganipour, F.; et al. (2020): Comparing pregnancy, childbirth, and neonatal outcomes in women with different phenotypes of polycystic ovary syndrome and healthy women: a prospective cohort study. Gynecological Endocrinology 36(1), 61-65. https://dx.doi.org/10.1080/09513590.2019.1631278.</t>
  </si>
  <si>
    <t>Liu, S.; Mo, M.; Xiao, S.; et al. (2020): Pregnancy Outcomes of Women With Polycystic Ovary Syndrome for the First In Vitro Fertilization Treatment: A Retrospective Cohort Study With 7678 Patients. Frontiers in Endocrinology 11, 575337. https://dx.doi.org/10.3389/fendo.2020.575337.</t>
  </si>
  <si>
    <t>Tobiasz, A. M.; Duncan, J. R.; Detti, L.; et al. (2020): Lack of Fetal Insulin Resistance in Maternal Polycystic Ovary Syndrome. Reproductive Sciences 27, 6, 1253-1258. https://dx.doi.org/10.1007/s43032-019-00125-1.</t>
  </si>
  <si>
    <t>Abdulkhalikova, D.; Korosec, S.; Blickstein, I.; et al. (2021): Perinatal outcome of in vitro fertilization pregnancies in women with polycystic ovary syndrome by pregravid BMI. Journal of Perinatal Medicine 49, 4, 514-519. https://dx.doi.org/10.1515/jpm-2019-0244.</t>
  </si>
  <si>
    <t>Cai, H.; Mol, B. W.; Gordts, S.; et al. (2021): Early and late pregnancy loss in women with polycystic ovary syndrome undergoing IVF/ICSI treatment: a retrospective cohort analysis of 21 820 pregnancies. Bjog 128, 7, 1160-1169. https://dx.doi.org/10.1111/1471-0528.16590.</t>
  </si>
  <si>
    <t>Diboun, I.; Ramanjaneya, M.; Ahmed, L.; et al. (2021): Metabolomic Profiling of Pregnancies With Polycystic Ovary Syndrome Identifies a Unique Metabolic Signature and Potential Predictive Biomarkers of Low Birth Weight. Frontiers in Endocrinology 12, 638727. https://dx.doi.org/10.3389/fendo.2021.638727.</t>
  </si>
  <si>
    <t>Feichtinger, M.; Linder, T.; Rosicky, I.; et al. (2021): Maternal overweight vs. Polycystic ovary syndrome: Disentangling their impact on insulin action in pregnancy-a prospective study. Journal of Clinical Medicine 10(1), 1-7. https://dx.doi.org/10.3390/jcm10010035.</t>
  </si>
  <si>
    <t>Gongadashetti, K.; Gupta, P.; Dada, R.; et al. (2021): Follicular fluid oxidative stress biomarkers and art outcomes in PCOS women undergoing in vitro fertilization: A cross-sectional study. International Journal of Reproductive BioMedicine 19(5), 449-456. https://dx.doi.org/10.18502/ijrm.v19i5.9254.</t>
  </si>
  <si>
    <t>Hu, S.; Xu, B.; Long, R.; et al. (2021): The effect of polycystic ovary syndrome without hyperandrogenism on pregnancy-related outcomes: a retrospective cohort study. BJOG: An International Journal of Obstetrics and Gynaecology 128(6), 1003-1010. https://dx.doi.org/10.1111/1471-0528.16557.</t>
  </si>
  <si>
    <t>Jiang, L.; Tian, L.; Yuan, J.; et al. (2021): Associations Between Sex Hormone Levels and Autistic Traits in Infertile Patients With Polycystic Ovary Syndrome and Their Offspring. Frontiers in Endocrinology 12, 789395. https://dx.doi.org/10.3389/fendo.2021.789395.</t>
  </si>
  <si>
    <t>Kaing, A.; Jaswa, E. A.; Diamond, M. P.; et al. (2021): Highly elevated level of antimullerian hormone associated with preterm delivery in polycystic ovary syndrome patients who underwent ovulation induction. Fertil Steril 115, 2, 438-446. https://dx.doi.org/10.1016/j.fertnstert.2020.06.015.</t>
  </si>
  <si>
    <t>Kollmann, M.; Obermayer-Pietsch, B.; Lerchbaum, E.; et al. (2021): Article vitamin d concentrations at term do not differ in newborns and their mothers with and without polycystic ovary syndrome. Journal of Clinical Medicine 10(3), 1-9. https://dx.doi.org/10.3390/jcm10030537.</t>
  </si>
  <si>
    <t>Lin, J.; Guo, H.; Wang, B.; et al. (2021): Neonatal outcomes in women with polycystic ovary syndrome after frozen-thawed embryo transfer. Fertil Steril 115, 2, 447-454. https://dx.doi.org/10.1016/j.fertnstert.2020.08.1435.</t>
  </si>
  <si>
    <t>Liu, Y.; Yu, Z.; Zhao, S.; et al. (2021): Oxidative stress markers in the follicular fluid of patients with polycystic ovary syndrome correlate with a decrease in embryo quality. Journal of Assisted Reproduction and Genetics 38(2), 471-477. https://dx.doi.org/10.1007/s10815-020-02014-y.</t>
  </si>
  <si>
    <t>Liu, X.; Wang, L.; Zuo, X.; et al. (2021): Women with PCOS with a history of early pregnancy loss show a higher risk of gestational diabetes mellitus. International Journal of General Medicine 14, 6409-6416. https://dx.doi.org/10.2147/IJGM.S334666.</t>
  </si>
  <si>
    <t>Mai, Z.; Liu, M.; Pan, P.; et al. (2021): Comparison of Cumulative Live Birth Rate Between Aged PCOS Women and Controls in IVF/ICSI Cycles. Frontiers in Endocrinology 12, 724333. https://dx.doi.org/10.3389/fendo.2021.724333.</t>
  </si>
  <si>
    <t>Pouya, K.; Sukur, Y. E.; Israfilova, G.; et al. (2021): hCG day progesterone level has no impact on the frozen thawed embryo transfer cycle outcome. Journal of Gynecology Obstetrics and Human Reproduction 50, 6, 102120. https://dx.doi.org/10.1016/j.jogoh.2021.102120.</t>
  </si>
  <si>
    <t>Wang, Y.; Guo, L.; Jiang, J.; et al. (2021): Development of 1-2 years offspring born to mothers with polycystic ovary syndrome. Journal of the College of Physicians and Surgeons Pakistan 31(10), 1186-1190. https://dx.doi.org/10.29271/jcpsp.2021.10.1186.</t>
  </si>
  <si>
    <t>Wu, Y.; Cai, M.; Liang, X.; et al. (2021): The prevalence of cervical insufficiency in Chinese women with polycystic ovary syndrome undergone ART treatment accompanied with negative prognosis: a retrospective study. J Obstet Gynaecol 41, 6, 888-892. https://dx.doi.org/10.1080/01443615.2020.1819212.</t>
  </si>
  <si>
    <t>Zhu, J.; Zhang, J.; Yang, J.; et al. (2021): A comprehensive evaluation of progestin-primed ovarian stimulation protocol in patients with or without PCOS undergoing in vitro fertilization. Reproductive Biology 21, 4, 100540. https://dx.doi.org/10.1016/j.repbio.2021.100540.</t>
  </si>
  <si>
    <t>Liu, Q.; Wang, J.; Xu, Q.; et al. (2022): A retrospective cohort study of obstetric complications and birth outcomes in women with polycystic ovarian syndrome. J Obstet Gynaecol 42, 4, 574-579. https://dx.doi.org/10.1080/01443615.2021.1931066.</t>
  </si>
  <si>
    <t>Ni, Z.; Mei, S.; You, S.; et al. (2022): Adverse Effects of Polycystic Ovarian Syndrome on Pregnancy Outcomes in Women With Frozen-Thawed Embryo Transfer: Propensity Score-Matched Study. Frontiers in Endocrinology 13, 878853. https://dx.doi.org/10.3389/fendo.2022.878853.</t>
  </si>
  <si>
    <t>Song, H.; Yu, Z.; Li, P.; et al. (2022): HOMA-IR for predicting clinical pregnancy rate during IVF. Gynecological Endocrinology 38(1), 33-38. https://dx.doi.org/10.1080/09513590.2021.1952976.</t>
  </si>
  <si>
    <t>Stokkeland, L. M. T.; Giskeodegard, G. F.; Ryssdal, M.; et al. (2022): Changes in Serum Cytokines Throughout Pregnancy in Women With Polycystic Ovary Syndrome. J Clin Endocrinol Metab 107, 1, 39-52. https://dx.doi.org/10.1210/clinem/dgab684.</t>
  </si>
  <si>
    <t>Tu, M.; Wu, Y.; Wang, F.; et al. (2022): Effect of lncRNA MALAT1 on the Granulosa Cell Proliferation and Pregnancy Outcome in Patients With PCOS. Frontiers in Endocrinology 13, 825431. https://dx.doi.org/10.3389/fendo.2022.825431.</t>
  </si>
  <si>
    <t>Wang, Q.; Wang, H.; Li, P.; et al. (2022): Association of Polycystic Ovary Syndrome Phenotypes With Adverse Pregnancy Outcomes After In-Vitro Fertilization/Intracytoplasmic Sperm Injection. Frontiers in Endocrinology 13, 889029. https://dx.doi.org/10.3389/fendo.2022.889029.</t>
  </si>
  <si>
    <t>Yang, T.; Yang, Y.; Zhang, Q.; et al. (2022): Homeostatic Model Assessment for Insulin Resistance Is Associated With Late Miscarriage in Non-Dyslipidemic Women Undergoing Fresh IVF/ICSI Embryo Transfer. Frontiers in Endocrinology 13, 880518. https://dx.doi.org/10.3389/fendo.2022.880518.</t>
  </si>
  <si>
    <t>Løvvik TS, Carlsen SM, Salvesen Ø, et al. Use of metformin to treat pregnant women with polycystic ovary syndrome (PregMet2): a randomised, double-blind, placebo-controlled trial. Lancet Diabetes Endocrinol. 2019;7(4):256-266. doi:10.1016/S2213-8587(19)30002-6</t>
  </si>
  <si>
    <t>Morin-Papunen L, Rantala AS, Unkila-Kallio L, et al. Metformin improves pregnancy and live-birth rates in women with polycystic ovary syndrome (PCOS): a multicenter, double-blind, placebo-controlled randomized trial. J Clin Endocrinol Metab. 2012;97(5):1492-1500. doi:10.1210/jc.2011-3061</t>
  </si>
  <si>
    <t>Vanky E, Salvesen KA, Heimstad R, Fougner KJ, Romundstad P, Carlsen SM. Metformin reduces pregnancy complications without affecting androgen levels in pregnant polycystic ovary syndrome women: results of a randomized study. Hum Reprod. 2004;19(8):1734-1740. doi:10.1093/humrep/deh347.</t>
  </si>
  <si>
    <t>Vanky E, Stridsklev S, Heimstad R, et al. Metformin versus placebo from first trimester to delivery in polycystic ovary syndrome: a randomized, controlled multicenter study. J Clin Endocrinol Metab. 2010;95(12):E448-E455. doi:10.1210/jc.2010-0853</t>
  </si>
  <si>
    <t>Zolghadri J, Tavana Z, Kazerooni T, Soveid M, Taghieh M. Relationship between abnormal glucose tolerance test and history of previous recurrent miscarriages, and beneficial effect of metformin in these patients: a prospective clinical study. Fertil Steril. 2008;90(3):727-730. doi:10.1016/j.fertnstert.2007.06.079</t>
  </si>
  <si>
    <t>Begum MR, Khanam NN, Quadir E, et al. Prevention of gestational diabetes mellitus by continuing metformin therapy throughout pregnancy in women with polycystic ovary syndrome. J Obstet Gynaecol Res. 2009;35(2):282-286. doi:10.1111/j.1447-0756.2008.00876.x</t>
  </si>
  <si>
    <t>Jamal A, Milani F, Al-Yasin A. Evaluation of the effect of metformin and aspirin on utero placental circulation of pregnant women with PCOS. Iran J Reprod Med. 2012;10(3):265-270.</t>
  </si>
  <si>
    <t>year_pub_extract</t>
  </si>
  <si>
    <t>author_1_extract</t>
  </si>
  <si>
    <t>author_year_format</t>
  </si>
  <si>
    <t>2017a</t>
  </si>
  <si>
    <t>2017b</t>
  </si>
  <si>
    <t>Lingaiah, S.; Morin-Papunen, L.; Risteli, J.; Tapanainen, J. S. Metformin decreases bone turnover markers in polycystic ovary syndrome: a post hoc study, Fertility and sterility 2019</t>
  </si>
  <si>
    <t xml:space="preserve">Zahra, M.; Shah, M.; Ali, A.; Rahim, R. Effects of Metformin on Endocrine and Metabolic Parameters in Patients with Polycystic Ovary Syndrome Hormone and metabolic research = Hormon- und Stoffwechselforschung = Hormones et metabolisme 2017 </t>
  </si>
  <si>
    <t xml:space="preserve">Heidari B, Lerman A, Lalia AZ, Lerman LO, Chang AY. Effect of metformin on microvascular endothelial function in polycystic ovary syndrome. Mayo Clin Proc. 2019 </t>
  </si>
  <si>
    <t>Bridger, T., MacDonald, S., Baltzer, F. and Rodd, C. 2006 Randomized placebo‐controlled trial of metformin for adolescents with polycystic ovary syndrome. Archives of Pediatrics &amp; Adolescent Medicine.</t>
  </si>
  <si>
    <t xml:space="preserve">Chou, K.H., et al., Clinical, metabolic and endocrine parameters in response to metformin in obese women with polycystic ovary syndrome: a randomized, double blind and placebo‐controlled trial. Hormone &amp; Metabolic Research, 2003. 35(2): p. 86‐91. (ROB included in last TR under Patel 2017) </t>
  </si>
  <si>
    <t>Baillargeon, J.P, et al. Effects of metformin and rosiglitazone, alone and in combination in nonobese women with polycystic ovary syndrome and normal indices of insulin sensitivity. Fertility &amp; Sterility, 2004 (ROB included in last TR under Patel 2017)</t>
  </si>
  <si>
    <t>Eisenhardt, S., et al., Early effects of metformin in women with polycystic ovary syndrome: a prospective randomized, double‐blind, placebo‐controlled trial. Journal of Clinical Endocrinology &amp; Metabolism, 2006. 91(3): p. 946‐52. (ROB included in last TR under Patel 2017)</t>
  </si>
  <si>
    <t>Fleming, R., et al., Ovarian function and metabolic factors in women with oligomenorrhea treated with metformin in a randomized double blind placebo‐controlled trial. Journal of Clinical Endocrinology &amp; Metabolism, 2002. 87(2): p. 569‐74. (ROB included in last TR under Tang 2012)</t>
  </si>
  <si>
    <t>Morin‐Papunen, L., et al., Metformin improves pregnancy and live‐birth rates in women with polycystic ovary syndrome (PCOS): a multicenter, double‐blind, placebo controlled randomized trial. Journal of Clinical Endocrinology &amp; Metabolism, 2012. 97(5): p. 1492‐500.</t>
  </si>
  <si>
    <t>Hoeger, K., et al., The impact of metformin, oral contraceptives, and lifestyle modification on polycystic ovary syndrome in obese adolescent women in two randomized, placebo‐controlled clinical trials. Journal of Clinical Endocrinology &amp; Metabolism, 2008. 93(11): p. 4299‐306. (ROB included in last TR under Patel 2017 (ROB own in TR)</t>
  </si>
  <si>
    <t>Karimzadeh MA, Eftekhar M, Taheripanah R, Tayebi N, Sakhavat L, Zare F. The effect of administration of metformin on lipid profile changes and insulin resistance in patients with polycystic ovary syndrome. Middle East Fertil Soc J 2007 (ROB included in last TR under Tang 2012)</t>
  </si>
  <si>
    <t xml:space="preserve">Kelly, C.J. and D. Gordon, The effect of metformin on hirsutism in polycystic ovary syndrome. European Journal of Endocrinology, 2002. 147(2): p. 217‐21. (ROB included in last TR under Patel 2017) </t>
  </si>
  <si>
    <t xml:space="preserve">Lord, J., et al., The effect of metformin on fat distribution and the metabolic syndrome in women with polycystic ovary syndrome‐‐a randomised, double‐blind, placebo‐controlled trial. BJOG: An International Journal of Obstetrics &amp; Gynaecology, 2006. 113(7): p. 817‐24. (ROB included in last TR under Patel 2017) </t>
  </si>
  <si>
    <t xml:space="preserve">Maciel, G.A., et al., Nonobese women with polycystic ovary syndrome respond better than obese women to treatment with metformin. Fertility &amp; Sterility, 2004. 81(2): p. 355‐60. (ROB included in last TR under Patel 2017) </t>
  </si>
  <si>
    <t xml:space="preserve">Onalan, G., et al., Predictive value of glucose‐insulin ratio in PCOS and profile of women who will benefit from metformin therapy: obese, lean, hyper or normoinsulinemic? European Journal of Obstetrics, Gynecology, &amp; Reproductive Biology, 2005. 123(2): p. 204‐11. (ROB included in last TR under Patel 2017) </t>
  </si>
  <si>
    <t xml:space="preserve">Moghetti, P., et al. Metformin effects on clinical features, endocrine and metabolic profiles and insulin sensitivity in polycystic ovary syndrome: a randomized, double-blind, placebo-controlled 6 month trial, followed by open, long-term clinical evaluation. Journal of Clinical Endocrinology &amp; Metabolism, 2000. 85(1):139-46. (ROB included in last TR under Patel 2017) </t>
  </si>
  <si>
    <t>Palomba, S., et al., Insulin sensitivity after metformin suspension in normal‐weight women with polycystic ovary syndrome. Journal of Clinical Endocrinology &amp; Metabolism, 2007. 92(8): p. 3128‐35. (ROB included in last TR under Patel 2017)</t>
  </si>
  <si>
    <t>Ng, E.H., N.M. Wat, and P.C. Ho, Effects of metformin on ovulation rate, hormonal and metabolic profiles in women with clomiphene‐resistant polycystic ovaries: a randomized, double‐blinded placebo‐controlled trial. Human Reproduction, 2001. 16(8): p. 1625‐31. (ROB included in last TR under Tang 2012)</t>
  </si>
  <si>
    <t>Romualdi, D., et al., Metformin effects on ovarian ultrasound appearance and steroidogenic function in normal‐weight normoinsulinemic women with polycystic ovary syndrome: a randomized double‐blind placebo‐controlled clinical trial. Fertility &amp; Sterility, 2010. 93(7): p. 2303‐10 (ROB included in last TR under Patel 2017)</t>
  </si>
  <si>
    <t>Trolle, B., et al., Efficacy of metformin in obese and non‐obese women with polycystic ovary syndrome: a randomized, double‐blinded, placebo‐controlled cross‐overtrial. Human Reproduction, 2007. 22(11): p. 2967‐73. (ROB included in last TR under Patel 2017)</t>
  </si>
  <si>
    <t xml:space="preserve">Trolle, B., et al., Adiponectin levels in women with polycystic ovary syndrome: impact of metformin treatment in a randomized controlled study. Fertility &amp; Sterility, 2010. 94(6): p. 2234‐8. (ROB included in last TR under Patel 2017) </t>
  </si>
  <si>
    <t>Haydardedeoglu, B., et al., Metabolic and endocrine effects of metformin and metformin plus cyclic medroxyprogesterone acetate in women with polycystic ovary syndrome. International Journal of Gynaecology &amp; Obstetrics, 2009. 105(1): p. 32‐5.</t>
  </si>
  <si>
    <t>Moro, F., et al., Effects of drospirenone‐ethinylestradiol and/or metformin on CD4(+) CD28(null) T lymphocytes frequency in women with hyperinsulinemia having polycystic ovary syndrome: a randomized clinical trial. Reproductive Sciences, 2013. 20(12): p. 1508‐17.</t>
  </si>
  <si>
    <t>Esfahanian, F., et al., Effect of metformin compared with hypocaloric diet on serum C‐reactive protein level and insulin resistance in obese and overweight women with polycystic ovary syndrome. Journal of Obstetrics &amp; Gynaecology Research, 2013. 39(4): p. 806‐13.</t>
  </si>
  <si>
    <t>Fux Otta, C., et al., Clinical, metabolic, and endocrine parameters in response to metformin and lifestyle intervention in women with polycystic ovary syndrome: a randomized, double‐blind, and placebo control trial. Gynecological Endocrinology, 2010. 26(3): p. 173‐8.</t>
  </si>
  <si>
    <t>Harborne, L.R., et al., Metformin and weight loss in obese women with polycystic ovary syndrome: comparison of doses. Journal of Clinical Endocrinology &amp; Metabolism, 2005. 90(8): p. 4593‐8.</t>
  </si>
  <si>
    <t>Altinok, Magda Lambaa; Ravn, Pernille; Andersen, Marianne; Glintborg, Dorte. Effect of 12-month treatment with metformin and/or oral contraceptives on health-related quality of life in polycystic ovary syndrome. Gynecological endocrinology 2018</t>
  </si>
  <si>
    <t>Bodur, Serkan; Dundar, Ozgur; Kanat-Pektas, Mine; Kinci, Mehmet Ferdi; Tutuncu, Levent. The effects of different therapeutic modalities on cardiovascular risk factors in women with polycystic ovary syndrome: A randomized controlled study. Taiwanese journal of obstetrics &amp; gynecology 2018</t>
  </si>
  <si>
    <t>Fonseka, Sanjeewani; Wijeyaratne, Chandrika N.; Gawarammana, Indika B.; Kalupahana, Nishan S.; Rosairo, Shanthini; Ratnatunga, Neelakanthi; Kumarasiri, Ranjith. Effectiveness of Low-dose Ethinylestradiol/Cyproterone Acetate and Ethinylestradiol/Desogestrel with and without Metformin on Hirsutism in Polycystic Ovary Syndrome: A Randomized, Double-blind, Triple-dummy Study, Journal of Clinical &amp; Aesthetic Dermatology 2020</t>
  </si>
  <si>
    <t>Glintborg, D.; Mumm, H.; Holst, J. J.; Andersen, M. Effect of oral contraceptives and/or metformin on GLP-1 secretion and reactive hypoglycaemia in polycystic ovary syndrome. Endocrine Connections 2017</t>
  </si>
  <si>
    <t>Sahu, Asutosh; Tripathy, Priyadarshini; Mohanty, Jayashree; Nagy, Attila. Doppler analysis of ovarian stromal blood flow changes after treatment with metformin versus ethinyl estradiol-cyproterone acetate in women with polycystic ovarian syndrome: A randomized controlled trial Journal of gynecology obstetrics and human reproduction 2019</t>
  </si>
  <si>
    <t>Glintborg (1), D., Altinok, M. L., Mumm, H., Hermann, A. P., Ravn, P. and Andersen, M. 2014 Body composition is improved during 12 months' treatment with metformin alone or combined with oral contraceptives compared with treatment with oral contraceptives in polycystic ovary syndrome. Journal of Clinical Endocrinology &amp; Metabolism.</t>
  </si>
  <si>
    <t xml:space="preserve">Glintborg (2) D, Mumm H, Altinok ML, Richelsen B, Bruun JM, Andersen M. Adiponectin, interleukin-6, monocyte chemoattractant protein-1, and regional fat mass during 12-month randomized treatment with metformin and/or oral contraceptives in polycystic ovary syndrome. J Endocrinol Invest. 2014;37(8):757-64 </t>
  </si>
  <si>
    <t xml:space="preserve">Kaya, M. G., Yildirim, S., Calapkorur, B., Akpek, M., Unluhizarci, K. and Kelestimur, F. 2015 Metformin improves endothelial function and carotid intima media thickness in patients with PCOS. Gynecological Endocrinology 2015 </t>
  </si>
  <si>
    <t xml:space="preserve">Kaya, M. G.; Calapkorur, B.; Karaca, Z.; Yildirim, S.; Celik, A.; Akpek, M.; Unluhizarci, K.; Kelestimur, F. The effects of treatment with drospirenone/ethinyl oestradiol alone or in combination with metformin on elastic properties of aorta in women with polycystic ovary syndrome. Clin Endocrinol (Oxf) Dec 2012;77(6):885- </t>
  </si>
  <si>
    <t>Morin‐Papunen (1), L., Rautio, K., Ruokonen, A., Hedberg, P., Puukka, M. and Tapanainen, J. S. 2003. Metformin reduces serum C-reactive protein levels in women with polycystic ovary syndrome. Journal of Clin Endocrinol &amp; Metabolism Oct 2003:4649-54</t>
  </si>
  <si>
    <t xml:space="preserve">Essah P. A., Arrowood J. A., Cheang K. I., Adawadkar S. S., Stovall D. W., and Nestler J. E., Effect of combined metformin and oral contraceptive therapy on metabolic factors and endothelial function in overweight and obese women with polycystic ovary syndrome. Fertil. Steril 2011 </t>
  </si>
  <si>
    <t xml:space="preserve">Feng W., Jia Y. Y., Zhang D. Y., and Shi H. R., Management of polycystic ovarian syndrome with Diane-35 or Diane-35 plus metformin, Gynecol. Endocrinol. 2016  </t>
  </si>
  <si>
    <t>Rautio K., Tapanainen J. S., Ruokonen A., and Morin-Papunen L. C., Effects of metformin and ethinyl estradiol-cyproterone acetate on lipid levels in obese and non-obese women with polycystic ovary syndrome., Eur. J. Endocrinol 2005</t>
  </si>
  <si>
    <t xml:space="preserve">Al-Zubeidi H, Klein KO. Randomized clinical trial evaluating Metformin versus oral contraceptive pills in the treatment of adolescents with polycystic ovarian syndrome. Journal of Pediatric Endocrinology and Metabolism 2015 (ROB included in last TR under Al Khalifa 2016) </t>
  </si>
  <si>
    <t>Christakou C, Kollias A, Piperi C, Katsikis I, Panidis D, Diamanti-Kandarakis E. The benefit-to-risk ratio of common treatments in PCOS: effect of oral contraceptives versus metformin on atherogenic markers. Hormones 2014</t>
  </si>
  <si>
    <t>El Maghraby HA, Nafee T, Guiziry D, Elnashar A. Randomized controlled trial of the effects of metformin versus combined oral contraceptives in adolescent PCOS women through a 24 months follow up period. Middle East Fertility Society Journal 2015 (ROB included in last TR under Al Khalifa 2016)</t>
  </si>
  <si>
    <t xml:space="preserve">Elter K, Imir G, Durmusoglu F. Clinical, endocrine and metabolic effects of metformin added to ethinyl-estradiol-cyproterone acetate in non-obese women with polycystic ovarian syndrome: a randomized controlled study. Human Reproduction 2002 (ROB included in last TR under Costello 2007) </t>
  </si>
  <si>
    <t>Harborne L, Fleming R, Lyall H, Sattar N, Norman J. Metformin or antiandrogen in the treatment of hirsutism in polycystic ovary syndrome. Journal of Clinical Endocrinology &amp; Metabolism 2003 (ROB included in last TR under Costello 2007)</t>
  </si>
  <si>
    <t xml:space="preserve">Bilgir O, Kebapcilar L, Taner C, Bilgir F, Kebapcilar A, Bozkaya G, et al. The effect of ethinylestradiol (EE)/cyproterone acetate (CA) and EE/CA plus metformin treatment on adhesion molecules in cases with polycystic ovary syndrome (PCOS). International Medicine 2009 </t>
  </si>
  <si>
    <t xml:space="preserve">Kilic S, Yilmaz N, Zulfikaroglu E, Erdogan G, Aydin M, Batioglu S. Inflammatory-metabolic parameters in obese and nonobese normoandrogenemic polycystic ovary syndrome during metformin and oral contraceptive treatment. Gynecological Endocrinology 2011 </t>
  </si>
  <si>
    <t xml:space="preserve">Kumar Y, Kotwal N, Singh Y, Upreti V, Somani S, Hari Kumar KV. A randomized, controlled trial comparing the metformin, oral contraceptive pills and their combination in patients with polycystic ovarian syndrome. Journal of Family Medicine and Primary Care 2018 </t>
  </si>
  <si>
    <t>Lv L, Liu Y, Sun Y, Tan K. Effects of Metformin combined with cyproterone acetate on clinical features, endocrine and metabolism of non-obese women with polycystic ovarian syndrome. Journal of Huazhong University of Science and Technology 2005</t>
  </si>
  <si>
    <t>Meyer C, McGrath BP, Teede HJ. Effect of medical therapy on insulin resistance and the cardiovascular system in polycystic ovary syndrome. Diabetes Care 2007</t>
  </si>
  <si>
    <t xml:space="preserve">Mhao NS, Al-Hilli SA, Hadi NR, Jamil DA, Al-Aubaidy HA. A comparative study to illustrate the benefits of using ethinyl estradiol-cyproterone acetate over metformin in patients with polycystic ovarian syndrome. Diabetes and Metabolic Syndrome: Clinical Research and Reviews 2015 </t>
  </si>
  <si>
    <t>Moran LJ, Meyer C, Hutchison SK, Zoungas S, Teede HJ. Novel inflammatory markers in overweight women with or without polycystic ovary syndrome and following pharmacological intervention. Journal of Endocrinological Investigation 2010</t>
  </si>
  <si>
    <t xml:space="preserve">Morin-Papunen (2) L, Vauhkonen I, Koivunen R, Ruokonen A, Martikainen H, Tapanainen JS. Metformin versus ethinyl estradiol-cyproterone acetate in the treatment of nonobese women with polycystic ovary syndrome: a randomized study. The Journal of Clinical Endocrinology &amp; Metabolism 2003 (ROB included in last TR under Costello 2007) </t>
  </si>
  <si>
    <t xml:space="preserve">Ozgurtas T, Oktenli C, Dede M, Tapan S, Kenar L, Sanisoglu SY, et al. Metformin and oral contraceptive treatment reduced circulating asymmetric dimethylarginine (ADMA) levels in patients with polycystic ovary syndrome (PCOS). Atherosclerosis 2008 2003 </t>
  </si>
  <si>
    <t xml:space="preserve">Wu J, Zhu Y, Jiang Y, Cao Y. Effects of metformin and ethinyl estradiol-cyproterone acetate on clinical, endocrine and metabolic factors in women with polycystic ovary syndrome. Gynecological Endocrinology 2008 </t>
  </si>
  <si>
    <t xml:space="preserve">Morin-Papunen L, Vauhkonen I, Koivunen RM, Ruokonen A, Martikainen HK, Tapanainen J. Endocrine and metabolic effects of metformin versus ethinyl estradiol-cyproterone acetate in obese women with polycystic ovary syndrome: a randomized study. J Clin Endocrinol Metab 2000 </t>
  </si>
  <si>
    <t xml:space="preserve">Panidis D, Georgopoulos NA, Piouka A, Katsikis I, Saltamavros AD, Decavalas G, Diamanti-Kandarakis E. The impact of oral contraceptives and metformin on antiMullerian hormone serum levels in women with polycystic ovary syndrome and biochemical hyperandrogenemia. Gynecol Endocrinol 2011 </t>
  </si>
  <si>
    <t xml:space="preserve">Hutchison, S. K.; Harrison, C.; Stepto, N.; Meyer, C.; Teede, H. J. Retinol-binding protein 4 and insulin resistance in polycystic ovary syndrome Diabetes Care Jul 2008;31(7):1427-32 </t>
  </si>
  <si>
    <t xml:space="preserve">Kebapcilar, Levent; Yuksel, Arif; Bozkaya, Giray; Taner, Cuneyt Eftal; Kebapcilar, Ayse Gul; Bilgir, Oktay; Alacacioglu, Ahmet; Sari, Ismail Effects of an EE/CA compared with EE/CA-metformin on serum ADMA levels in women with polycystic ovary syndrome Central European journal of medicine 2009;4(4):423-427. </t>
  </si>
  <si>
    <t>Luque-Ramírez, M.; Mendieta-Azcona, C.; Alvarez-Blasco, F.; Escobar-Morreale, H. F. Effects of metformin versus ethinyl-estradiol plus cyproterone acetate on ambulatory blood pressure monitoring and carotid intima media thickness in women with the polycystic ovary syndrome Fertil Steril Jun 2009;91(6):2527-36</t>
  </si>
  <si>
    <t>Mehrabian, F., et al., Comparison of the effects of metformin, flutamide plus oral contraceptives, and simvastatinj on the metabolic consequences of polycystic ovary syndrome. Journal of Research in Medical Sciences, 2016. 21(1): p. 1‐7.</t>
  </si>
  <si>
    <t xml:space="preserve">Cibula D, Fanta M, Vrbikova J, Stanicka S, Dvorakova K, hill M, et al. The effect of combination therapy with metformin and ovar contraceptives (COC) versus COC alone on insulin sensitivity, hyperandrogenism, SHBG and lipids in PCOS patients. Human reproduction (Oxford, England). 2005;20(1):180-4. (ROB included in last TR under Costello 2007) </t>
  </si>
  <si>
    <t>Wei, W.; Zhao, H.; Wang, A.; Sui, M.; Liang, K.; Deng, H.; Ma, Y.; Zhang, Y.; Zhang, H.; Guan, Y. A clinical study on the short-term effect of berberine in comparison to metformin on the metabolic characteristics of women with polycystic ovary syndrome Eur J Endocrinol Jan 2012;166(1):99-105.</t>
  </si>
  <si>
    <t xml:space="preserve">Dardzinska, J.A., et al., Effects of metformin or an oral contraceptive containing cyproterone acetate on serum c‐reactive protein, interleukin‐6 and soluble vascular cell adhesion molecule‐1 concentrations in women with polycystic ovary syndrome. Experimental &amp; Clinical Endocrinology &amp; Diabetes, 2014. 122(2): p. 118‐25. </t>
  </si>
  <si>
    <t>Hoeger, K.M., et al., A randomized, 48‐week, placebo‐controlled trial of intensive lifestyle modification and/or metformin therapy in overweight women with polycystic ovary syndrome: a pilot study. Fertility &amp; Sterility, 2004. 82(2): p. 421‐9</t>
  </si>
  <si>
    <t>Allen, H.F., et al., Randomized controlled trial evaluating response to metformin versus standard therapy in the treatment of adolescents with polycystic ovary syndrome. Journal of Pediatric Endocrinology &amp; Metabolism, 2005. 18(8): p. 761‐8.</t>
  </si>
  <si>
    <t xml:space="preserve">Elbandrawy, A. M.; Yousef, A. M.; Morgan, E. N.; Ewais, N. F.; Eid, M. M.; Elkholi, S. M.; Abdelbasset, W.K. Effect of aerobic exercise on inflammatory markers in polycystic ovary syndrome: a randomized controlled trial European review for medical and pharmacological sciences 2022 </t>
  </si>
  <si>
    <t xml:space="preserve">Tiwari, Nisha; Pasrija, Shikha; Jain, Sandhya Randomised controlled trial to study the efficacy of exercise with and without metformin on women with polycystic ovary syndrome European Journal of Obstetrics &amp; Gynecology &amp; Reproductive Biology 2019 </t>
  </si>
  <si>
    <t xml:space="preserve">Tang T, Glanville J, Hayden CJ, et al. Combined lifestyle modification and metformin in obese patients with polycystic ovary syndrome. A randomized, placebo-controlled, double-blind multicentre study. Human Reproduc. 2006 ROB included in last TR) </t>
  </si>
  <si>
    <t>Ladson, W.C. Dodson, S.D. Sweet, A.E. Archibong, A.R. Kunselman, L.M. Demers, N.I. Williams, P. Coney, R.S. Legro, The effects of metformin with lifestyle therapy in polycystic ovary syndrome: A randomized double-blind study. Fertil. Steril. 2011</t>
  </si>
  <si>
    <t xml:space="preserve">Pasquali R, Gambineri A, Biscotti D et al. Effect of long-term treatment with metformin added to hypocaloric diet on body composition, fat distribution and androgen and insulin levels in abdominally obese women with and without the polycystic ovary syndrome. The journal of clin endocrinol &amp; metabolism. 2000. </t>
  </si>
  <si>
    <t xml:space="preserve">Alpanes, Macarena; Alvarez-Blasco, Francisco; Fernandez-Duran, Elena; Luque-Ramirez, Manuel; Escobar-Morreale, Hector F. Combined oral contraceptives plus spironolactone compared with metformin in women with polycystic ovary syndrome: a one-year randomized clinical trial. European journal of endocrinology 2017 </t>
  </si>
  <si>
    <t xml:space="preserve">Burchall, Genia F.; Piva, Terrence J.; Ranasinha, Sanjeeva; Teede, Helena J. Differential Effects on Haemostatic Markers by Metformin and the Contraceptive Pill: A Randomized Comparative Trial in PCOS Thrombosis and haemostasis 2017 </t>
  </si>
  <si>
    <t>Kebapcilar, L., Taner, C. E., Kebapcilar, A. G., Alacacioglu, A. and Sari, I. 2010 Comparison of four different treatment regimens on coagulation parameters, hormonal and metabolic changes in women with polycystic ovary syndrome. Archives of Gynecology &amp; Obstetrics. (excluded from previous report – randomization not described)</t>
  </si>
  <si>
    <t>de Zegher, Francis; Diaz, Marta; Villarroya, Joan; Cairo, Montserrat; Lopez-Bermejo, Abel; Villarroya, Francesc; Ibanez, Lourdes. The relative deficit of GDF15 in adolescent girls with PCOS can be changed into an abundance that reduces liver fat, Scientific reports 2021</t>
  </si>
  <si>
    <t>Ibáñez, Lourdes; Díaz, Marta; García-Beltrán, Cristina; Malpique, Rita; Garde, Edurne; López-Bermejo, Abel; Zegher, Francis de. Toward a Treatment Normalizing Ovulation Rate in Adolescent Girls With Polycystic Ovary Syndrome Journal of the Endocrine Society 2020</t>
  </si>
  <si>
    <t xml:space="preserve">Díaz, Marta; Gallego-Escuredo, José Miguel; López-Bermejo, Abel; de Zegher, Francis; Villarroya, Francesc; Ibáñez, Lourdes Low-Dose Spironolactone-Pioglitazone-Metformin Normalizes Circulating Fetuin-A Concentrations in Adolescent Girls with Polycystic Ovary Syndrome, International Journal of Endocrinology 2018 </t>
  </si>
  <si>
    <t>Ibáñez, Lourdes; del Río, Luis; Díaz, Marta; Sebastiani, Giorgia; Pozo, Óscar J.; López-Bermejo, Abel; de Zegher, Francis. Normalizing Ovulation Rate by Preferential Reduction of Hepato-Visceral Fat in Adolescent Girls With Polycystic Ovary Syndrome. Journal of adolescent health 2017</t>
  </si>
  <si>
    <t xml:space="preserve">Malpique, R.; Sanchez-Infantes, D.; Garcia-Beltran, C.; Taxeras, S. D.; Lopez-Bermejo, A.; de Zegher, F.; Ibanez, L. Towards a circulating marker of hepato-visceral fat excess: S100A4 in adolescent girls with polycystic ovary syndrome - Evidence from randomized clinical trial. Pediatric obesity 2019 </t>
  </si>
  <si>
    <t>Dorgham, Nevine; Sharobim, Amin; Haggag, Hisham; El-Kalioby, Mona; Dorgham, Dina. Adding Combined Oral Contraceptives or Metformin to Laser Treatment in Polycystic Ovarian Syndrome Hirsute Patients. Journal of drugs in dermatology: JDD 2021</t>
  </si>
  <si>
    <t xml:space="preserve">Ruan, Xiangyan; Song, Jinghua; Gu, Muqing; Wang, Lijuan; Wang, Husheng; Mueck, Alfred O. Effect of Diane-35, alone or in combination with orlistat or metformin in Chinese polycystic ovary syndrome patients. Archives of Gynecology &amp; Obstetrics 2018 </t>
  </si>
  <si>
    <t>Song, Jinghua; Ruan, Xiangyan; Gu, Muqing; Wang, Lijuan; Wang, Husheng; Mueck, Alfred Otto. Effect of orlistat or metformin in overweight and obese polycystic ovary syndrome patients with insulin resistance. Gynecological endocrinology: the official journal of the International Society of Gynecological Endocrinology 2018</t>
  </si>
  <si>
    <t xml:space="preserve">Long, Tao; Zhang, Ying; Zeng, Chunping; Zheng, Siyuan; Zhou, Lin; Liu, Haiyan. Effects of Low-Dose Spironolactone Combined with Metformin or Either Drug Alone on Insulin Resistance in Patients with Polycystic Ovary Syndrome: A Pilot Study. International Journal of Endocrinology 2022 </t>
  </si>
  <si>
    <t>Gambineri, A., Pelusi, C., Genghini, S., Morselli‐Labate, A. M., Cacciari, M., Pagotto, U. and Pasquali, R. 2004 Effect of flutamide and metformin administered alone or in combination in dieting obese women with polycystic ovary syndrome. Clinical Endocrinology 2004.</t>
  </si>
  <si>
    <t xml:space="preserve">Amiri, M., et al., Effect of metformin and flutamide on anthropometric indices and laboratory tests in obese/overweight PCOS women under hypocaloric diet. Journal of Reproduction and Infertility, 2014. 15(4): p. 205‐13. </t>
  </si>
  <si>
    <t>Gambineri, A., et al., Treatment with flutamide, metformin, and their combination added to a hypocaloric diet in overweight‐obese women with polycystic ovary syndrome: a randomized, 12‐month, placebo‐controlled study. Journal of Clinical Endocrinology &amp; Metabolism, 2006. 91(10): p. 3970‐80.</t>
  </si>
  <si>
    <t xml:space="preserve">Ganie, M.A., et al., Comparison of efficacy of spironolactone with metformin in the management of polycystic ovary syndrome: an open‐labeled study. The Journal of clinical endocrinology and metabolism, 2004. 89(6): p. 2756‐62. </t>
  </si>
  <si>
    <t xml:space="preserve">Ganie, M.A., et al., Improved efficacy of low‐dose spironolactone and metformin combination than either drug alone in the management of women with polycystic ovary syndrome (PCOS): a six‐month, open‐label randomized study. Journal of Clinical Endocrinology &amp; Metabolism, 2013. 98(9): p. 3599‐607. </t>
  </si>
  <si>
    <t xml:space="preserve">Mazza, A., et al., In PCOS patients the addition of low‐dose spironolactone induces a more marked reduction of clinical and biochemical hyperandrogenism than metformin alone. Nutrition Metabolism &amp; Cardiovascular Diseases, 2014. 24(2): p. 132‐9. </t>
  </si>
  <si>
    <t>Diri, H.; Bayram, F.; Simsek, Y.; Caliskan, Z.; Kocer, D. Comparison of Finasteride, Metformin, and Finasteride Plus Metformin in Pcos. Acta Endocrinol (Buchar) Jan-Mar 2017;13(1):84-89</t>
  </si>
  <si>
    <t>Prabhakar, Priyanka; Mahey, Reeta; Gupta, Monica; Khadgawat, Rajesh; Kachhawa, Garima; Sharma, Jai Bhagwan; Vanamail, Perumal; Kumari, Rajesh; Bhatla, Neerja. Impact of myoinositol with metformin and myoinositol alone in infertile PCOS women undergoing ovulation induction cycles - randomized controlled trial. Gynecological endocrinology: the official journal of the International Society of Gynecological Endocrinology 2021</t>
  </si>
  <si>
    <t xml:space="preserve">Jensterle M, Kravos N, Goricar K, Janez J. Short-term effectiveness of low dose liraglutide in combination with metformin versus high dose liraglutide alone in treatment of obese PCOS : randomized trial. BMC Endocrine Disorders 17:5, 2017. </t>
  </si>
  <si>
    <t>Cai, Meili; Shao, Xiaowen; Xing, Feng; Zhang, Yuqin; Gao, Xinyu; Zeng, Qiongjing; Dilimulati, Diliqingna; Qu, Shen; Zhang, Manna. Efficacy of canagliflozin versus metformin in women with polycystic ovary syndrome: A randomized, open-label, noninferiority trial. Diabetes, obesity &amp; metabolism 2022</t>
  </si>
  <si>
    <t>Elkind-Hirsch, Karen E.; Paterson, Martha S.; Seidemann, Ericka L.; Gutowski, Hanh C. Short-term therapy with combination dipeptidyl peptidase-4 inhibitor saxagliptin/metformin extended release (XR) is superior to saxagliptin or metformin XR monotherapy in prediabetic women with polycystic ovary syndrome: a single-blind, randomized, pilot study, Fertility &amp; Sterility 2017</t>
  </si>
  <si>
    <t xml:space="preserve">Javed, Z.; Papageorgiou, M.; Deshmukh, H.; Rigby, A. S.; Qamar, U.; Abbas, J.; Khan, A. Y.; Kilpatrick, E. S.; Atkin, S. L.; Sathyapalan, T. Effects of empagliflozin on metabolic parameters in polycystic ovary syndrome: a randomized controlled study. Clinical endocrinology 2019 </t>
  </si>
  <si>
    <t xml:space="preserve">Li, Y.; Tan, J.; Wang, Q.; Duan, C.; Hu, Y.; Huang, W. Comparing the individual effects of metformin and rosiglitazone and their combination in obese women with polycystic ovary syndrome: a randomized controlled trial. Fertility and sterility 2020 </t>
  </si>
  <si>
    <t xml:space="preserve">Cetinkalp, S., Karadeniz, M., Erdogan, M., Ozgen, G., Saygl, F. and Ylmaz, C. 2009 The effects of rosiglitazone, metformin, and estradiol‐cyproterone acetate on lean patients with polycystic ovary syndrome. Endocrinologist. 2009 </t>
  </si>
  <si>
    <t>Sangeeta, S. 2012 Metformin and pioglitazone in polycystic ovarian syndrome: A comparative study. Journal of Obstetrics and Gynecology of India.</t>
  </si>
  <si>
    <t xml:space="preserve">Mohiyiddeen L, Watson AJ, Apostolopoulos NV, Berry R, Alexandraki KI, Jude EB. Effects of low-dose metformin and rosiglitazone on biochemical, clinical, metabolic and biophysical outcomes in polycystic ovary syndrome. J Obstet Gynaecol. 2013 </t>
  </si>
  <si>
    <t>Naka KK, Kalantaridou SN, Kravariti M, et al. Effect of the insulin sensitizers metformin and pioglitazone on endothelial function in young women with polycystic ovary syndrome: a prospective randomized study. Fertil Steril. 2011</t>
  </si>
  <si>
    <t>Ortega-González C, Luna S, Hernández L, et al. Responses of serum androgen and insulin resistance to metformin and pioglitazone in obese, insulin-resistant women with polycystic ovary syndrome. J Clin Endocrinol Metab. 2005</t>
  </si>
  <si>
    <t xml:space="preserve">Shahebrahimi K, Jalilian N, Bazgir N, Rezaei M. Comparison clinical and metabolic effects of metformin and pioglitazone in polycystic ovary syndrome. Indian J Endocrinol Metab. 2016 </t>
  </si>
  <si>
    <t>Sohrevardi SM, Nosouhi F, Hossein Khalilzade S, et al. Evaluating the effect of insulin sensitizers metformin and pioglitazone alone and in combination on women with polycystic ovary syndrome: an RCT. Int J Reprod Biomed. 2016 (added from SR)</t>
  </si>
  <si>
    <t xml:space="preserve">Ahmad J, Shukla N, Khan AR, Ahmed F, Siddiqui MA. Comparisonof metabolic effects of metformin and rosiglitazone in the man-agement of polycystic ovary syndrome (PCOS): A prospective,parallel, randomized, open‐label study.Diabetes  Metab  Syndr:  ClinRes Rev. 2008 </t>
  </si>
  <si>
    <t>Cho LW, Kilpatrick ES, Keevil BG, Coady AM, Atkin SL. Effect of metformin, orlistat and pioglitazone treatment on mean insulinresistance and its biological variability in polycystic ovary syn-drome.Clin Endocrinol. 2009</t>
  </si>
  <si>
    <t xml:space="preserve">Jensterle (1) M, Janez A, Mlinar B, Marc J, Prezelj J, Pfeifer M. Impact of metformin and rosiglitazone treatment on glucose transporter 4mRNA expression in women with polycystic ovary syndrome. EurJ Endocrinol. 2008 </t>
  </si>
  <si>
    <t xml:space="preserve">Jensterle (2) M, Sebestjen M, Janez A, et al. Improvement of endothelial function with metformin and rosiglitazone treatment inwomen with polycystic ovary syndrome. Eur  J  Endocrinol. 2008 </t>
  </si>
  <si>
    <t>Steiner CA, Janez A, Jensterle M, Reisinger K, Forst T, Pfützner A. Impact of treatment with rosiglitazone or metformin on biomarkers for insulin resistance and metabolic syndrome in patients with polycystic ovary syndrome. J Diabetes Sci Technol. 2007</t>
  </si>
  <si>
    <t>Kilicdag EB, Bagis T, Zeyneloglu HB, et al. Homocysteine levels in women with polycystic ovary syndrome treated with metformin versus rosiglitazone: a randomized study. Hum Reprod. 2005</t>
  </si>
  <si>
    <t>included_article_doi</t>
  </si>
  <si>
    <t>included_article_pmid</t>
  </si>
  <si>
    <t>10.13005/bpj/2056</t>
  </si>
  <si>
    <t>Al-Naffakh AS, Risan FA. Assessment of anti-Mullerian hormone and anti ovarian antibody in the sera of patients with polycystic ovarian syndrome in AL-Najaf Al-Ashraf Province. Medico-Legal Update 2020;20(1):600–8. Doi: 10.37506/v20/i1/2020/mlu/194384.</t>
  </si>
  <si>
    <t xml:space="preserve">10.53350/pjmhs22165612 </t>
  </si>
  <si>
    <t>10.21608/ajnsa.2019.3711.1087</t>
  </si>
  <si>
    <t>10.5005/jp-journals-10006-1569</t>
  </si>
  <si>
    <t xml:space="preserve">10.3889/oamjms.2018.260 </t>
  </si>
  <si>
    <t>10.4274/jcp.2021.22599</t>
  </si>
  <si>
    <t>10.1016/j.fertnstert.2019.03.002</t>
  </si>
  <si>
    <t>10.1016/j.tjog.2018.06.004</t>
  </si>
  <si>
    <t>10.1371/journal.pone.0203129</t>
  </si>
  <si>
    <t>10.22074/ijfs.2010.45808</t>
  </si>
  <si>
    <t>oa_id</t>
  </si>
  <si>
    <t>W2221924240</t>
  </si>
  <si>
    <t>10.4183/aeb.2022.417</t>
  </si>
  <si>
    <t>10.1016/j.bbrc.2008.06.039</t>
  </si>
  <si>
    <t>Bhattacharya SM,. Polycystic ovary syndrome and abnormalities in glucose tolerance. Int J Gynaecol Obstet 2009;105:29–31.</t>
  </si>
  <si>
    <t>10.1016/j.ijgo.2008.11.031</t>
  </si>
  <si>
    <t>10.1007/s11892-006-0056-1</t>
  </si>
  <si>
    <t>10.1111/imj.12910</t>
  </si>
  <si>
    <t>10.1016/j.fertnstert.2013.12.050</t>
  </si>
  <si>
    <t>10.1093/HUMREP/13.4.847</t>
  </si>
  <si>
    <t>10.1093/HUMREP/15.4.785</t>
  </si>
  <si>
    <t>10.3109/09513599509160190</t>
  </si>
  <si>
    <t>10.1152/AJPENDO.2001.281.2.E392</t>
  </si>
  <si>
    <t>10.1016/j.metabol.2008.08.002</t>
  </si>
  <si>
    <t>10.1007/BF03345285</t>
  </si>
  <si>
    <t>10.1016/j.jadohealth.2009.10.008</t>
  </si>
  <si>
    <t>10.1530/EJE-14-1108</t>
  </si>
  <si>
    <t>10.3109/00365521.2010.539251</t>
  </si>
  <si>
    <t>10.1186/1477-7827-8-142</t>
  </si>
  <si>
    <t>10.1093/humrep/der065</t>
  </si>
  <si>
    <t>10.1210/JC.2004-1843</t>
  </si>
  <si>
    <t>10.1210/JC.2005-1707</t>
  </si>
  <si>
    <t>10.1530/EJE-11-0614</t>
  </si>
  <si>
    <t>10.1016/j.jpag.2012.07.006</t>
  </si>
  <si>
    <t>10.1111/j.1600-0412.2012.01417.x</t>
  </si>
  <si>
    <t>10.1016/j.cca.2008.07.028</t>
  </si>
  <si>
    <t>10.1007/s10815-009-9297-7</t>
  </si>
  <si>
    <t>10.1542/peds.2008-2050</t>
  </si>
  <si>
    <t>10.1016/j.ajog.2012.07.023</t>
  </si>
  <si>
    <t>10.17772/GP/59131</t>
  </si>
  <si>
    <t>10.1210/JC.2003-031888</t>
  </si>
  <si>
    <t>10.1046/j.1365-2265.1996.658474.x</t>
  </si>
  <si>
    <t>ss_id</t>
  </si>
  <si>
    <t>W96216759</t>
  </si>
  <si>
    <t>10.1016/J.NUT.2004.08.017</t>
  </si>
  <si>
    <t>10.1186/s13098-015-0040-5</t>
  </si>
  <si>
    <t>10.1016/S0015-0282(01)01937-9</t>
  </si>
  <si>
    <t>10.1016/j.ijgo.2009.09.021</t>
  </si>
  <si>
    <t xml:space="preserve">10.1210/jc.2004-1045 </t>
  </si>
  <si>
    <t>10.1210/jendso/bvab048.891</t>
  </si>
  <si>
    <t>10.1093/humrep/det255</t>
  </si>
  <si>
    <t>10.1093/humrep/dev166</t>
  </si>
  <si>
    <t>10.1016/j.fertnstert.2011.08.035</t>
  </si>
  <si>
    <t>10.12891/ceog16312014</t>
  </si>
  <si>
    <t>10.1016/j.jpag.2019.06.004</t>
  </si>
  <si>
    <t>10.1080/1464727002000198781</t>
  </si>
  <si>
    <t>10.1186/s12955-020-01428-7</t>
  </si>
  <si>
    <t>10.1186/s12905-020-00994-8</t>
  </si>
  <si>
    <t>10.1080/0167482X.2017.1311319</t>
  </si>
  <si>
    <t>10.1016/j.jpag.2019.07.008</t>
  </si>
  <si>
    <t>10.1297/cpe.2022-0010</t>
  </si>
  <si>
    <t>10.22159/ajpcr.2019.v12i11.34426</t>
  </si>
  <si>
    <t>10.1080/09513590.2018.1505848</t>
  </si>
  <si>
    <t>10.1530/EC-21-0257</t>
  </si>
  <si>
    <t>10.1210/clinem/dgz256</t>
  </si>
  <si>
    <t>10.1111/jocd.13563</t>
  </si>
  <si>
    <t>10.31083/j.ceog4903057</t>
  </si>
  <si>
    <t>10.1080/09513590.2016.1254610</t>
  </si>
  <si>
    <t>10.3390/ijerph15020376</t>
  </si>
  <si>
    <t>10.2147/PPA.S119180</t>
  </si>
  <si>
    <t>10.1186/s12955-020-01484-z</t>
  </si>
  <si>
    <t>10.1080/03630242.2019.1587664</t>
  </si>
  <si>
    <t>10.4103/0366-6999.198916</t>
  </si>
  <si>
    <t>10.3390/nu13103526</t>
  </si>
  <si>
    <t>10.2147/IJWH.S165794</t>
  </si>
  <si>
    <t>10.1080/09513590.2019.1670788</t>
  </si>
  <si>
    <t>10.1016/j.fertnstert.2018.01.038</t>
  </si>
  <si>
    <t>10.1111/jpc.15097</t>
  </si>
  <si>
    <t>10.1007/s00737-020-01043-x</t>
  </si>
  <si>
    <t>10.1155/2013/851815</t>
  </si>
  <si>
    <t>10.1007/s00404-014-3423-1</t>
  </si>
  <si>
    <t>10.1016/j.bbi.2007.07.003</t>
  </si>
  <si>
    <t>W2115750705</t>
  </si>
  <si>
    <t>10.1210/JC.2003-030562</t>
  </si>
  <si>
    <t>10.1530/EJE.1.02024</t>
  </si>
  <si>
    <t>10.1111/j.1471-0528.2010.02799.x</t>
  </si>
  <si>
    <t>10.3109/09513590.2015.1018162</t>
  </si>
  <si>
    <t>10.1055/s-0036-1585457</t>
  </si>
  <si>
    <t>W2517888967</t>
  </si>
  <si>
    <t>10.1371/journal.pone.0162911</t>
  </si>
  <si>
    <t>10.1001/ARCHPEDI.156.6.556</t>
  </si>
  <si>
    <t>W1524022481</t>
  </si>
  <si>
    <t>10.4274/jtsm.galenos.2021.85057</t>
  </si>
  <si>
    <t>10.13040/IJPSR.0975-8232.10(6).2956-61</t>
  </si>
  <si>
    <t>10.1016/j.fertnstert.2019.06.018</t>
  </si>
  <si>
    <t>10.4274/npa.y6778</t>
  </si>
  <si>
    <t>10.1007/s11325-019-01946-9</t>
  </si>
  <si>
    <t>10.1093/humrep/der071</t>
  </si>
  <si>
    <t>10.1177/1359105306065021</t>
  </si>
  <si>
    <t>10.1016/j.jpag.2013.08.003</t>
  </si>
  <si>
    <t>10.1111/jsm.12284</t>
  </si>
  <si>
    <t>10.1016/j.jpsychores.2011.02.005</t>
  </si>
  <si>
    <t>10.1080/0167482X.2018.1530210</t>
  </si>
  <si>
    <t>10.1016/J.FERTNSTERT.2006.11.039</t>
  </si>
  <si>
    <t>10.1016/j.psyneuen.2008.06.003</t>
  </si>
  <si>
    <t>10.1016/J.FERTNSTERT.2013.07.631</t>
  </si>
  <si>
    <t>10.1016/j.clnu.2015.02.006</t>
  </si>
  <si>
    <t>10.1016/J.FERTNSTERT.2016.07.750</t>
  </si>
  <si>
    <t>10.1016/j.appet.2016.11.010</t>
  </si>
  <si>
    <t>10.1097/01.JIM.0000446834.90599.5d</t>
  </si>
  <si>
    <t>10.1016/j.psyneuen.2016.08.005</t>
  </si>
  <si>
    <t>10.1096/fasebj.31.1_supplement.lb374</t>
  </si>
  <si>
    <t>10.3390/jcm8101682</t>
  </si>
  <si>
    <t>10.1016/j.fertnstert.2019.03.027</t>
  </si>
  <si>
    <t>10.1016/j.sjbs.2020.08.039</t>
  </si>
  <si>
    <t>W2285565969</t>
  </si>
  <si>
    <t>10.3928/00220124-20180320-06</t>
  </si>
  <si>
    <t>10.1080/09513590.2020.1746761</t>
  </si>
  <si>
    <t>10.1093/humrep/deaa005</t>
  </si>
  <si>
    <t>10.1016/j.fertnstert.2017.04.011</t>
  </si>
  <si>
    <t>10.1007/s00404-011-2014-7</t>
  </si>
  <si>
    <t>10.17925/USE.2020.16.2.74</t>
  </si>
  <si>
    <t>10.1055/s-0038-1667155</t>
  </si>
  <si>
    <t>10.1186/s12902-021-00848-w</t>
  </si>
  <si>
    <t xml:space="preserve">10.1016/j.jand.2021.11.013 </t>
  </si>
  <si>
    <t>10.1016/j.rbmo.2013.01.009</t>
  </si>
  <si>
    <t>10.1371/journal.pone.0226074</t>
  </si>
  <si>
    <t>Salman AD,. Nurses--Midwifes Knowledge Concerning Polycystic Ovary Syndrome in Baghdad Hospitals. Indian Journal of Forensic Medicine &amp; Toxicology. 2020 Oct 1;14(4).</t>
  </si>
  <si>
    <t>10.37506/IJFMT.V14I4.12337</t>
  </si>
  <si>
    <t>10.1186/s13048-021-00780-6</t>
  </si>
  <si>
    <t>10.1016/j.ando.2020.07.1110</t>
  </si>
  <si>
    <t>10.1186/1472-6874-7-9</t>
  </si>
  <si>
    <t>10.1177/1043659619856670</t>
  </si>
  <si>
    <t>10.1111/j.1365-2265.2007.02742.x</t>
  </si>
  <si>
    <t xml:space="preserve">10.1177/0898010111398660 </t>
  </si>
  <si>
    <t xml:space="preserve">10.1186/s12905-020-01090-7 </t>
  </si>
  <si>
    <t xml:space="preserve">10.1093/fampra/cmu028 </t>
  </si>
  <si>
    <t>10.1210/jc.2016-2963</t>
  </si>
  <si>
    <t>10.1530/EC-17-0053</t>
  </si>
  <si>
    <t>10.3399/bjgp20X708881</t>
  </si>
  <si>
    <t>10.1186/1472-6874-13-51</t>
  </si>
  <si>
    <t>10.2196/16541</t>
  </si>
  <si>
    <t>10.1177/1466424008092230</t>
  </si>
  <si>
    <t>10.1186/s12905-022-01734-w</t>
  </si>
  <si>
    <t>10.1093/inthealth/ihac028</t>
  </si>
  <si>
    <t>10.1371/journal.pone.0255830</t>
  </si>
  <si>
    <t>10.1016/j.fertnstert.2018.04.028</t>
  </si>
  <si>
    <t>10.1111/cen.14604</t>
  </si>
  <si>
    <t>10.1016/j.pec.2021.01.036</t>
  </si>
  <si>
    <t>10.1111/1747-0080.12670</t>
  </si>
  <si>
    <t>10.1186/1472-6874-1-3</t>
  </si>
  <si>
    <t>10.1111/jan.13300</t>
  </si>
  <si>
    <t>10.1016/S1083-3188(02)00205-X</t>
  </si>
  <si>
    <t>10.1111/j.1552-6909.2011.01299.x</t>
  </si>
  <si>
    <t>10.3390/jpm11100952</t>
  </si>
  <si>
    <t>10.29252/IJRM.15.9.553</t>
  </si>
  <si>
    <t>10.1016/j.pec.2021.05.038</t>
  </si>
  <si>
    <t>10.1177/0898010111429092</t>
  </si>
  <si>
    <t>10.1055/s-0038-1668086</t>
  </si>
  <si>
    <t>10.1186/s12913-022-08334-2</t>
  </si>
  <si>
    <t>10.1016/S0277-9536(01)00034-X</t>
  </si>
  <si>
    <t>10.1002/hpja.349</t>
  </si>
  <si>
    <t>10.1055/s-0041-1735575</t>
  </si>
  <si>
    <t>10.1210/js.2018-00181</t>
  </si>
  <si>
    <t>10.1016/J.CEGH.2017.09.001</t>
  </si>
  <si>
    <t>10.1177/1049732320971235</t>
  </si>
  <si>
    <t>10.1111/J.1552-6909.2006.00047.X</t>
  </si>
  <si>
    <t>Snyder BS,. The lived experience of women diagnosed with polycystic ovary syndrome. Journal of obstetric, gynecologic &amp; neonatal nursing. 2006 May 1;35(3):385-92.</t>
  </si>
  <si>
    <t>10.1055/s-0041-1727191</t>
  </si>
  <si>
    <t>10.1177/2055102915603051</t>
  </si>
  <si>
    <t>10.1177/1359105314547941</t>
  </si>
  <si>
    <t>10.1111/jan.14371</t>
  </si>
  <si>
    <t>10.1371/journal.pone.0138793</t>
  </si>
  <si>
    <t>10.1249/MSS.0b013e31818c6c0c</t>
  </si>
  <si>
    <t>10.1016/S0015-0282(16)56632-1</t>
  </si>
  <si>
    <t>10.1016/J.FERTNSTERT.2004.02.104</t>
  </si>
  <si>
    <t>10.1210/jc.2008-0461</t>
  </si>
  <si>
    <t>10.1152/ajpendo.00495.2010</t>
  </si>
  <si>
    <t>10.1111/aogs.12571</t>
  </si>
  <si>
    <t>10.1016/j.fertnstert.2011.11.010</t>
  </si>
  <si>
    <t>10.1186/1472-6882-13-131</t>
  </si>
  <si>
    <t>10.1152/ajpregu.00197.2009</t>
  </si>
  <si>
    <t>10.1016/j.jad.2019.11.025</t>
  </si>
  <si>
    <t>W3121804787</t>
  </si>
  <si>
    <t xml:space="preserve">10.3109/10253890.2014.974030 </t>
  </si>
  <si>
    <t>10.1589/jpts.27.2293</t>
  </si>
  <si>
    <t>10.1210/JC.2006-2794</t>
  </si>
  <si>
    <t>Asemi, Z., et al., Effects of DASH diet on lipid profiles and biomarkers of oxidative stress in overweight and obese women with polycystic ovary syndrome: a randomized clinical trial. Nutrition, 2014. 30(11-12): p. 1287-93.</t>
  </si>
  <si>
    <t>10.1055/s-0034-1376990</t>
  </si>
  <si>
    <t>10.1016/j.nut.2014.03.008</t>
  </si>
  <si>
    <t>10.5301/NTM.2014.12407</t>
  </si>
  <si>
    <t>10.1016/J.FERTNSTERT.2003.08.023</t>
  </si>
  <si>
    <t>10.3109/09513590.2011.579658</t>
  </si>
  <si>
    <t>10.18231/J.IJOGR.2021.011</t>
  </si>
  <si>
    <t>10.5603/GP.2019.0103</t>
  </si>
  <si>
    <t>10.1016/j.jpag.2011.11.009</t>
  </si>
  <si>
    <t>10.3109/09513590.2014.984677</t>
  </si>
  <si>
    <t>10.1016/j.ejogrb.2021.12.023</t>
  </si>
  <si>
    <t>10.3390/nu14010073</t>
  </si>
  <si>
    <t>10.3390/jcm10163469</t>
  </si>
  <si>
    <t>10.1515/JPEM.2005.18.8.761</t>
  </si>
  <si>
    <t>10.1530/EJE-17-0516</t>
  </si>
  <si>
    <t>10.1515/jpem-2014-0283</t>
  </si>
  <si>
    <t>10.1093/humrep/dez255</t>
  </si>
  <si>
    <t>10.1007/s40618-020-01349-8</t>
  </si>
  <si>
    <t>10.1016/j.fertnstert.2012.06.035</t>
  </si>
  <si>
    <t>10.1016/j.ijgo.2015.06.065</t>
  </si>
  <si>
    <t>10.2169/INTERNALMEDICINE.48.2177</t>
  </si>
  <si>
    <t>10.1016/j.tjog.2018.04.015</t>
  </si>
  <si>
    <t>10.1016/J.CONTRACEPTION.2005.09.011</t>
  </si>
  <si>
    <t>10.1097/TEN.0B013E3181A58772</t>
  </si>
  <si>
    <t>10.14310/horm.2002.1553</t>
  </si>
  <si>
    <t>10.1093/HUMREP/DEH588</t>
  </si>
  <si>
    <t>10.1016/j.jpag.2013.09.011</t>
  </si>
  <si>
    <t>10.1055/s-0033-1363261</t>
  </si>
  <si>
    <t>10.1016/j.contraception.2010.04.002</t>
  </si>
  <si>
    <t>10.36849/JDD.2021.5652</t>
  </si>
  <si>
    <t>10.1016/J.MEFS.2014.10.003</t>
  </si>
  <si>
    <t>10.1093/HUMREP/17.7.1729</t>
  </si>
  <si>
    <t>10.1016/j.fertnstert.2011.05.091</t>
  </si>
  <si>
    <t>10.3109/09513590.2015.1101441</t>
  </si>
  <si>
    <t>W3088805748</t>
  </si>
  <si>
    <t>10.1210/jc.2014-1135</t>
  </si>
  <si>
    <t>10.1007/s40618-014-0103-8</t>
  </si>
  <si>
    <t>10.1080/09513590.2018.1460343</t>
  </si>
  <si>
    <t>10.1530/EC-17-0034</t>
  </si>
  <si>
    <t>10.1080/09513590.2022.2078805</t>
  </si>
  <si>
    <t>W214894366</t>
  </si>
  <si>
    <t>10.1210/JC.2003-030424</t>
  </si>
  <si>
    <t>10.1210/JC.2003-031281</t>
  </si>
  <si>
    <t>10.1210/jendso/bvaa032</t>
  </si>
  <si>
    <t>10.1038/s41598-021-86317-9</t>
  </si>
  <si>
    <t>10.1111/ijpo.12500</t>
  </si>
  <si>
    <t>10.1016/j.jadohealth.2017.04.010</t>
  </si>
  <si>
    <t>10.1155/2018/4192940</t>
  </si>
  <si>
    <t>10.1007/s00404-014-3217-5</t>
  </si>
  <si>
    <t>10.1111/j.1365-2265.2012.04436.x</t>
  </si>
  <si>
    <t>10.3109/09513590.2015.1006188</t>
  </si>
  <si>
    <t>10.2478/s11536-009-0074-x</t>
  </si>
  <si>
    <t>10.1007/s00404-009-1051-y</t>
  </si>
  <si>
    <t>10.3109/09513590.2010.530706</t>
  </si>
  <si>
    <t>10.1016/j.contraception.2010.02.009</t>
  </si>
  <si>
    <t>10.4103/jfmpc.jfmpc_83_17</t>
  </si>
  <si>
    <t>10.1111/jog.12543</t>
  </si>
  <si>
    <t>10.1210/jc.2015-2778</t>
  </si>
  <si>
    <t>10.1111/cen.13310</t>
  </si>
  <si>
    <t>10.1210/clinem/dgaa682</t>
  </si>
  <si>
    <t>10.1016/j.fertnstert.2020.08.1396</t>
  </si>
  <si>
    <t>10.1016/j.fertnstert.2008.03.082</t>
  </si>
  <si>
    <t>10.1007/BF02873575</t>
  </si>
  <si>
    <t>10.1016/S0015-0282(02)02993-X</t>
  </si>
  <si>
    <t>10.1016/J.FERTNSTERT.2005.07.1306</t>
  </si>
  <si>
    <t>10.4103/1735-1995.177354</t>
  </si>
  <si>
    <t>10.2337/DC06-0618</t>
  </si>
  <si>
    <t>10.1160/TH17-04-0248</t>
  </si>
  <si>
    <t>10.2337/dc07-2265</t>
  </si>
  <si>
    <t>10.1007/BF03345790</t>
  </si>
  <si>
    <t>10.1016/j.dsx.2015.10.001</t>
  </si>
  <si>
    <t>10.1210/jc.2017-01186</t>
  </si>
  <si>
    <t>10.1080/13625187.2020.1736546</t>
  </si>
  <si>
    <t>10.1210/JC.2002-020997</t>
  </si>
  <si>
    <t>10.1210/JCEM.85.9.6792</t>
  </si>
  <si>
    <t>10.1210/JC.2002-021688</t>
  </si>
  <si>
    <t>10.1530/EJE.1.01840</t>
  </si>
  <si>
    <t>10.1177/1933719113488444</t>
  </si>
  <si>
    <t>10.1016/j.ijgo.2008.05.017</t>
  </si>
  <si>
    <t>10.1016/j.atherosclerosis.2007.12.054</t>
  </si>
  <si>
    <t>10.3109/09513590.2010.507283</t>
  </si>
  <si>
    <t>10.1007/s40618-019-01133-3</t>
  </si>
  <si>
    <t>10.1016/S0015-0282(03)02162-9</t>
  </si>
  <si>
    <t>10.1016/j.jogoh.2018.10.006</t>
  </si>
  <si>
    <t>10.1080/09513590.2017.1407752</t>
  </si>
  <si>
    <t>10.1007/s00404-018-4762-0</t>
  </si>
  <si>
    <t>10.1046/j.1365-2265.2000.00982.x</t>
  </si>
  <si>
    <t>10.1016/J.MEFS.2010.06.007</t>
  </si>
  <si>
    <t>10.1016/s0015-0282(99)00633-0</t>
  </si>
  <si>
    <t>10.1016/j.contraception.2011.12.011</t>
  </si>
  <si>
    <t>10.4103/0366-6999.179783</t>
  </si>
  <si>
    <t>10.1530/EJE-11-0616</t>
  </si>
  <si>
    <t>10.1080/09513590802217027</t>
  </si>
  <si>
    <t>10.3109/09513590.2015.1006187</t>
  </si>
  <si>
    <t>10.1210/jc.2016-1896</t>
  </si>
  <si>
    <t>10.1016/j.fertnstert.2019.04.013</t>
  </si>
  <si>
    <t>10.1055/s-0042-119041</t>
  </si>
  <si>
    <t>10.1016/j.mayocp.2019.06.015</t>
  </si>
  <si>
    <t>10.1001/ARCHPEDI.160.3.241</t>
  </si>
  <si>
    <t>10.1055/S-2003-39056</t>
  </si>
  <si>
    <t>10.1016/J.FERTNSTERT.2004.02.127</t>
  </si>
  <si>
    <t>10.1210/JC.2005-1994</t>
  </si>
  <si>
    <t>10.1210/JCEM.87.2.8261</t>
  </si>
  <si>
    <t>10.1210/jc.2011-3061</t>
  </si>
  <si>
    <t xml:space="preserve">10.1530/eje.0.1470217 </t>
  </si>
  <si>
    <t>10.1111/j.1471-0528.2006.00966.x</t>
  </si>
  <si>
    <t>10.1016/J.FERTNSTERT.2003.08.012</t>
  </si>
  <si>
    <t>10.1016/J.EJOGRB.2005.05.010</t>
  </si>
  <si>
    <t>10.1097/00006254-200006000-00019</t>
  </si>
  <si>
    <t>10.1210/JC.2007-0441</t>
  </si>
  <si>
    <t>10.1093/HUMREP/16.8.1625</t>
  </si>
  <si>
    <t>10.1016/j.fertnstert.2009.01.114</t>
  </si>
  <si>
    <t>10.1097/01.OGX.0000300471.31456.EA</t>
  </si>
  <si>
    <t>10.1016/j.fertnstert.2010.01.057</t>
  </si>
  <si>
    <t>10.1016/j.ijgo.2008.11.039</t>
  </si>
  <si>
    <t>10.1111/j.1447-0756.2012.02051.x</t>
  </si>
  <si>
    <t>10.3109/09513590903215581</t>
  </si>
  <si>
    <t>10.1210/JC.2004-2283</t>
  </si>
  <si>
    <t xml:space="preserve">10.1530/EC-17-0034 </t>
  </si>
  <si>
    <t xml:space="preserve">10.14310/horm.2002.1553 </t>
  </si>
  <si>
    <t>10.26355/eurrev_202205_28845</t>
  </si>
  <si>
    <t>10.1016/J.EJOGRB.2018.12.021</t>
  </si>
  <si>
    <t>10.1097/01.OGX.0000197800.07214.DC</t>
  </si>
  <si>
    <t>10.1016/j.fertnstert.2010.12.002</t>
  </si>
  <si>
    <t>10.1210/JCEM.85.8.6738</t>
  </si>
  <si>
    <t>10.1210/JC.2004-1405</t>
  </si>
  <si>
    <t>10.1155/2022/9927240</t>
  </si>
  <si>
    <t>10.1111/j.1365-2265.2004.01973.x</t>
  </si>
  <si>
    <t>W2141923412</t>
  </si>
  <si>
    <t>10.1210/JC.2005-2250</t>
  </si>
  <si>
    <t>10.1210/JC.2003-031780</t>
  </si>
  <si>
    <t>10.1210/jc.2013-1040</t>
  </si>
  <si>
    <t>10.1016/j.numecd.2013.04.016</t>
  </si>
  <si>
    <t>10.4183/AEB.2017.84</t>
  </si>
  <si>
    <t>10.1080/09513590.2020.1810657</t>
  </si>
  <si>
    <t>10.1186/s12902-017-0155-9</t>
  </si>
  <si>
    <t>10.1111/dom.14583</t>
  </si>
  <si>
    <t>10.1016/j.fertnstert.2016.09.023</t>
  </si>
  <si>
    <t>10.1111/cen.13968</t>
  </si>
  <si>
    <t>10.1016/j.fertnstert.2019.09.011</t>
  </si>
  <si>
    <t>10.1007/s13224-012-0183-3</t>
  </si>
  <si>
    <t>10.3109/01443615.2012.745839</t>
  </si>
  <si>
    <t>10.1016/j.fertnstert.2010.06.058</t>
  </si>
  <si>
    <t>10.1210/JC.2004-1965</t>
  </si>
  <si>
    <t>10.4103/2230-8210.192925</t>
  </si>
  <si>
    <t>10.29252/IJRM.14.12.743</t>
  </si>
  <si>
    <t>10.1016/J.DSX.2007.12.003</t>
  </si>
  <si>
    <t>10.1111/j.1365-2265.2008.03309.x</t>
  </si>
  <si>
    <t>10.1530/EJE-07-0857</t>
  </si>
  <si>
    <t>10.1530/EJE-08-0507</t>
  </si>
  <si>
    <t>10.1093/HUMREP/DEH700</t>
  </si>
  <si>
    <t>10.1177/193229680700100212</t>
  </si>
  <si>
    <t>10.5455/2320-1770.IJRCOG20150234</t>
  </si>
  <si>
    <t>Constantino, D., G. Minozzi, F. Minozzi, and C. Guaraldi. 2009. “Metabolic and Hormonal Effects of Myo-Inositol in Women with Polycystic Ovary Syndrome: A Double-Blind Trial.” European Review for Medical and Pharmacological Sciences 13 (2): 105–10.</t>
  </si>
  <si>
    <t>W2171177397</t>
  </si>
  <si>
    <t>W2148920675</t>
  </si>
  <si>
    <t>W2323967404</t>
  </si>
  <si>
    <t>Clayton, W. J.; Lipton, M.; Elford, J.; Rustin, M.; Sherr, L. (2005). A randomised controlled trial of laser treatment among hirsute women with polycystic ovary syndrome.  British ournal of Dermatology, 2005;152(5):986-992. Doi: 10.1111/j.1365-2133.2005.06426.x</t>
  </si>
  <si>
    <t xml:space="preserve">10.1016/0028-2243(82)90097-1 </t>
  </si>
  <si>
    <t>10.1016/S0015-0282(16)55086-9</t>
  </si>
  <si>
    <t>10.1016/S0015-0282(16)56287-6</t>
  </si>
  <si>
    <t>10.3109/10641959909009612</t>
  </si>
  <si>
    <t>10.1111/j.1479-828X.2000.tb03167.x</t>
  </si>
  <si>
    <t>10.1093/HUMREP/16.2.226</t>
  </si>
  <si>
    <t>10.1093/HUMREP/16.12.2606</t>
  </si>
  <si>
    <t>10.1159/000067719</t>
  </si>
  <si>
    <t>10.1093/HUMREP/17.10.2573</t>
  </si>
  <si>
    <t>10.1093/HUMREP/DEG289</t>
  </si>
  <si>
    <t>10.1016/S0020-7292(03)00003-1</t>
  </si>
  <si>
    <t>10.1080/09513590400007242</t>
  </si>
  <si>
    <t>W2408925727</t>
  </si>
  <si>
    <t>W1953483834</t>
  </si>
  <si>
    <t>10.1016/S1701-2163(15)30483-7</t>
  </si>
  <si>
    <t>W2147909159</t>
  </si>
  <si>
    <t>10.1016/J.MEFS.2012.12.005</t>
  </si>
  <si>
    <t>10.5152/jtgga.2014.13047</t>
  </si>
  <si>
    <t>10.1007/s00404-003-0537-2</t>
  </si>
  <si>
    <t>10.4103/0256-4947.71063</t>
  </si>
  <si>
    <t>10.1016/j.ajog.2014.03.035</t>
  </si>
  <si>
    <t>10.16948/ZKTIPB.558143</t>
  </si>
  <si>
    <t>10.1093/humrep/dep069</t>
  </si>
  <si>
    <t>10.1080/09513590.2019.1594761</t>
  </si>
  <si>
    <t>10.1007/s40618-016-0446-4</t>
  </si>
  <si>
    <t>W2981960579</t>
  </si>
  <si>
    <t xml:space="preserve">10.1016/j.ejogrb.2020.07.049 </t>
  </si>
  <si>
    <t xml:space="preserve">10.1186/s12958-018-0352-z </t>
  </si>
  <si>
    <t>10.1093/HUMREP/16.6.1086</t>
  </si>
  <si>
    <t>10.1530/REP-22-0023</t>
  </si>
  <si>
    <t>10.1007/s10815-008-9284-4</t>
  </si>
  <si>
    <t>10.1177/03000605211018600</t>
  </si>
  <si>
    <t>10.1080/gye.17.3.215.221</t>
  </si>
  <si>
    <t>10.1127/ANTHRANZ/61/2003/297</t>
  </si>
  <si>
    <t>10.22074/ijfs.2019.5422</t>
  </si>
  <si>
    <t>10.1186/s13048-018-0445-5</t>
  </si>
  <si>
    <t xml:space="preserve">10.1097/MD.0000000000012017 </t>
  </si>
  <si>
    <t>10.1016/j.ijgo.2016.03.033</t>
  </si>
  <si>
    <t>10.1007/s40618-015-0392-6</t>
  </si>
  <si>
    <t>10.1007/s11033-018-4360-z</t>
  </si>
  <si>
    <t>10.22074/IJFS.2021.135426.1006</t>
  </si>
  <si>
    <t>10.1007/s00404-018-4793-6</t>
  </si>
  <si>
    <t>10.1177/0300060519876467</t>
  </si>
  <si>
    <t>10.1111/j.1479-828X.2011.01295.x</t>
  </si>
  <si>
    <t>10.1016/j.fertnstert.2013.02.055</t>
  </si>
  <si>
    <t>10.1017/S0967199420000830</t>
  </si>
  <si>
    <t>10.1016/S1472-6483(10)61870-6</t>
  </si>
  <si>
    <t>10.1007/s10815-018-1290-6</t>
  </si>
  <si>
    <t>10.1007/s11684-017-0575-y</t>
  </si>
  <si>
    <t>10.1089/biores.2017.0040</t>
  </si>
  <si>
    <t>10.1186/s12884-019-2611-1</t>
  </si>
  <si>
    <t>10.1002/uog.7751</t>
  </si>
  <si>
    <t>10.3109/09513590.2016.1138459</t>
  </si>
  <si>
    <t>10.1093/humrep/deaa190</t>
  </si>
  <si>
    <t>10.4103/jhrs.JHRS_149_18</t>
  </si>
  <si>
    <t>10.1210/jc.2013-2193</t>
  </si>
  <si>
    <t>10.1016/j.fertnstert.2007.10.077</t>
  </si>
  <si>
    <t>10.1093/humrep/dez086</t>
  </si>
  <si>
    <t>10.1186/s12905-022-01756-4</t>
  </si>
  <si>
    <t>10.5152/jtgga.2016.15235</t>
  </si>
  <si>
    <t>10.1016/j.cyto.2016.12.020</t>
  </si>
  <si>
    <t>10.1111/cen.13919</t>
  </si>
  <si>
    <t>10.3109/09513590.2011.588749</t>
  </si>
  <si>
    <t>10.1016/j.fertnstert.2015.11.008</t>
  </si>
  <si>
    <t>10.1016/j.fertnstert.2011.05.076</t>
  </si>
  <si>
    <t>10.1007/s10815-016-0830-1</t>
  </si>
  <si>
    <t>10.1007/s10815-009-9304-z</t>
  </si>
  <si>
    <t>10.1016/j.ajog.2013.05.007</t>
  </si>
  <si>
    <t>10.1186/s12958-018-0438-7</t>
  </si>
  <si>
    <t>10.1186/1471-2393-14-11</t>
  </si>
  <si>
    <t>10.1080/09513590.2017.1292241</t>
  </si>
  <si>
    <t>10.1155/2020/6434080</t>
  </si>
  <si>
    <t>10.1177/147323000603400109</t>
  </si>
  <si>
    <t>10.1016/j.fertnstert.2007.08.044</t>
  </si>
  <si>
    <t>10.1056/NEJMoa1313517</t>
  </si>
  <si>
    <t>10.1080/09513590.2017.1332174</t>
  </si>
  <si>
    <t>10.1007/s00404-011-2091-7</t>
  </si>
  <si>
    <t xml:space="preserve">10.1007/s00404-011-2091-7 </t>
  </si>
  <si>
    <t>10.1111/j.1447-0756.2012.02072.x</t>
  </si>
  <si>
    <t>10.1007/s10815-013-0090-2</t>
  </si>
  <si>
    <t>10.1093/humrep/der154</t>
  </si>
  <si>
    <t>10.1016/S1472-6483(10)61273-4</t>
  </si>
  <si>
    <t>10.1056/NEJMOA063971</t>
  </si>
  <si>
    <t>10.5005/JP-JOURNALS-10006-1525</t>
  </si>
  <si>
    <t>10.1089/GYN.2006.22.105</t>
  </si>
  <si>
    <t>W2162847277</t>
  </si>
  <si>
    <t>10.1007/s00404-012-2348-9</t>
  </si>
  <si>
    <t>10.1007/s10815-008-9249-7</t>
  </si>
  <si>
    <t>10.1093/HUMREP/DEM033</t>
  </si>
  <si>
    <t>10.1093/humrep/dep436</t>
  </si>
  <si>
    <t>10.1080/14767050600761893</t>
  </si>
  <si>
    <t>10.1093/HUMREP/DEH248</t>
  </si>
  <si>
    <t>10.1093/HUMREP/DEL025</t>
  </si>
  <si>
    <t>included_postfulltext</t>
  </si>
  <si>
    <t>4.10.</t>
  </si>
  <si>
    <t>GDG</t>
  </si>
  <si>
    <t>10.1111/j.1365-2265.2004.02170.x</t>
  </si>
  <si>
    <t>Legro RS, Roller RL, Dodson WC, Stetter CM, Kunselman AR, Dunaif A. Associations of birthweight and gestational age with reproductive and metabolic phenotypes in women with polycystic ovarian syndrome and their first-degree relatives. J Clin Endocrinol Metab. 2010 Feb;95(2):789-99. doi: 10.1210/jc.2009-1849. Epub 2009 Dec 4. PMID: 19965924; PMCID: PMC2840854.</t>
  </si>
  <si>
    <t>Legro RS, Kunselman AR, Demers L, Wang SC, Bentley-Lewis R, Dunaif A. Elevated dehydroepiandrosterone sulfate levels as the reproductive phenotype in the brothers of women with polycystic ovary syndrome. J Clin Endocrinol Metab. 2002 May;87(5):2134-8. doi: 10.1210/jcem.87.5.8387. PMID: 11994353; PMCID: PMC4428582.</t>
  </si>
  <si>
    <t>Sam S, Sung YA, Legro RS, Dunaif A. Evidence for pancreatic beta-cell dysfunction in brothers of women with polycystic ovary syndrome. Metabolism. 2008 Jan;57(1):84-9. doi: 10.1016/j.metabol.2007.08.010. PMID: 18078863; PMCID: PMC2710887.</t>
  </si>
  <si>
    <t>Sam S, Coviello AD, Sung YA, Legro RS, Dunaif A. Metabolic phenotype in the brothers of women with polycystic ovary syndrome. Diabetes Care. 2008 Jun;31(6):1237-41. doi: 10.2337/dc07-2190. Epub 2008 Mar 10. PMID: 18332151; PMCID: PMC2897239. (primary citation)</t>
  </si>
  <si>
    <t xml:space="preserve">Kumar H, Halder A, Sharma M, Jain M, Kalsi AK.Dihydrotestosterone- A Potential Biomarker of Hyperandrogenaemia in Polycystic Ovary Syndrome: A Case-control Study from North IndiaJ Clin of Diagn Res.2022; 16(2):QC09-QC14. https://www.doi.org/10.7860/JCDR/2022/51169.15962 </t>
  </si>
  <si>
    <t>10.9790/0853-1602085156</t>
  </si>
  <si>
    <t>Dorgham, N.; Sharobim, A.; Haggag, H.; El-Kalioby, M.; Dorgham, D. (2021). Adding combined oral contraceptives or metformin to l aser treatment in polycystic ovarian syndrome hirsute patients.  Journal of drugs in dermatology: JDD 2021;20(3)302-306. Doi: 10.36849/JDD.2021.5652</t>
  </si>
  <si>
    <t xml:space="preserve">10.1515/ijamh-2013-0335 </t>
  </si>
  <si>
    <t>10.1210/jc.2013-4170</t>
  </si>
  <si>
    <t>10.1002/(SICI)1520-6661(199709/10)6:5&lt;303::AID-MFM14&gt;3.0.CO;2-L</t>
  </si>
  <si>
    <t>Leblanc, S. H., Leblanc, S., Battista, M. C., Geller, D. H., &amp; Baillargeon, J. P. (2016). Evolution of metabolic alterations 5 years after peri-pubertal years in young girls genetically predisposed to polycystic ovary syndrome compared to age-matched control girls. Endocrine Reviews, 37(2 Supplement 1). doi:https://dx.doi.org/10.1210/endo-meetings.2016.RE.5.SUN-156</t>
  </si>
  <si>
    <t>Torchen LC, Fogel NR, Brickman WJ, Paparodis R, Dunaif A. Persistent apparent pancreatic β-cell defects in premenarchal PCOS relatives. J Clin Endocrinol Metab. 2014 Oct;99(10):3855-62. doi: 10.1210/jc.2014-1474. Epub 2014 Jul 16. PMID: 25029420; PMCID: PMC4184072. (primary citation)</t>
  </si>
  <si>
    <t>Yilmaz M, Ergün MA, Karakoç A, Yurtçu E, Yetkin I, Ayvaz G, Cakir N, Arslan M. Pro12Ala polymorphism of the peroxisome proliferator-activated receptor-gamma gene in first-degree relatives of subjects with polycystic ovary syndrome. Gynecol Endocrinol. 2005 Oct;21(4):206-10. doi: 10.1080/09513590500231593. PMID: 16316841.</t>
  </si>
  <si>
    <t>Yilmaz M, Bukan N, Ersoy R, Karakoç A, Yetkin I, Ayvaz G, Cakir N, Arslan M. Glucose intolerance, insulin resistance and cardiovascular risk factors in first degree relatives of women with polycystic ovary syndrome. Hum Reprod. 2005 Sep;20(9):2414-20. doi: 10.1093/humrep/dei070. Epub 2005 May 12. PMID: 15890734. (primary citation)</t>
  </si>
  <si>
    <t>SIR-PETERMANN, T., VANTMAN, N., CONCHA, F., ECHIBURU, B., PEREIRA, C., DE GUEVARA, A. L., CRISOSTO, N. R., PEREZ-BRAVO, F. A. &amp; SANTOS, J. L. 2014. Metabolic Profile and Eating Behavior Score in Prepubertal and Early Pubertal Sons of Women with Polycystic Ovary Syndrome. Endocr. Rev., 35, 2.</t>
  </si>
  <si>
    <t>Franks S, Webber LJ, Goh M, Valentine A, White DM, Conway GS, Wiltshire S, McCarthy MI. Ovarian morphology is a marker of heritable biochemical traits in sisters with polycystic ovaries. J Clin Endocrinol Metab. 2008 Sep;93(9):3396-402. doi: 10.1210/jc.2008-0369. Epub 2008 Jun 17. PMID: 18559912.</t>
  </si>
  <si>
    <t>Subramaniam K, Tripathi A, Dabadghao P. Familial clustering of metabolic phenotype in brothers of women with polycystic ovary syndrome. Gynecol Endocrinol. 2019 Jul;35(7):601-603. doi: 10.1080/09513590.2019.1566451. Epub 2019 Feb 6. PMID: 30727783.</t>
  </si>
  <si>
    <t>Karthik, S, Vipin, VP, Kapoor, A, Tripathi, A, Shukla, M &amp; Dabadghao, P 2019, ‘Cardiovascular disease risk in the siblings of women with polycystic ovary syndrome’, Human Reproduction, vol. 34, no. 8, pp. 1559–1566.</t>
  </si>
  <si>
    <t>Crisosto N, Echiburú B, Maliqueo M, Luchsinger M, Rojas P, Recabarren S, Sir-Petermann T. Reproductive and metabolic features during puberty in sons of women with polycystic ovary syndrome. Endocr Connect. 2017 Nov;6(8):607-613. doi: 10.1530/EC-17-0218. Epub 2017 Sep 14. PMID: 28912339; PMCID: PMC5640572. (primary citation)</t>
  </si>
  <si>
    <t>Harnois-Leblanc S, Trottier A, Leblanc S, Battista MC, Geller DH, Baillargeon JP. Evolution of metabolic alterations 5 Years after early puberty in a cohort of girls predisposed to polycystic ovary syndrome. Reprod Biol Endocrinol. 2017 Jul 24;15(1):56. doi: 10.1186/s12958-017-0275-0. PMID: 28738839; PMCID: PMC5525344. (primary citation)</t>
  </si>
  <si>
    <t>Joharatnam J, Barber TM, Webber L, Conway GS, McCarthy MI, Franks S. Determinants of dyslipidaemia in probands with polycystic ovary syndrome and their sisters. Clin Endocrinol (Oxf). 2011 Jun;74(6):714-9. doi: 10.1111/j.1365-2265.2011.03983.x. PMID: 21521255; PMCID: PMC4625580. (primary citation)</t>
  </si>
  <si>
    <t>Karthik S, Vipin VP, Kapoor A, Tripathi A, Shukla M, Dabadghao P. Cardiovascular disease risk in the siblings of women with polycystic ovary syndrome. Hum Reprod. 2019 Aug 1;34(8):1559-1566. doi: 10.1093/humrep/dez104. PMID: 31299073. (primary citation)</t>
  </si>
  <si>
    <t>Li J, Cui L, Jiang X, Zhao H, Zhao S, Shi Y, Wei D, You L, Ma J, Chen ZJ. Transmission of polycystic ovary syndrome susceptibility single-nucleotide polymorphisms and their association with phenotype changes in offspring. Hum Reprod. 2020 Jul 1;35(7):1711-1718. doi: 10.1093/humrep/deaa125. PMID: 32619219. (primary citation)</t>
  </si>
  <si>
    <t>Zhang Z, Liu Y, Lv J, Zhang D, Hu K, Li J, Ma J, Cui L, Zhao H. Differential Lipidomic Characteristics of Children Born to Women with Polycystic Ovary Syndrome. Front Endocrinol (Lausanne). 2021 Aug 9;12:698734. doi: 10.3389/fendo.2021.698734. PMID: 34434168; PMCID: PMC8380809.</t>
  </si>
  <si>
    <t>Trottier, A., Battista, M. C., Carpentier, A., Simoneau-Roy, J., Geller, D., &amp; Baillargeon, J. P. (2011). Early metabolic and endocrine perturbations in pre- or peripubertal girls with a first degree relative with polycystic ovary syndrome. Fertility and sterility, 96(3), S129-S129. doi:10.1016/j.fertnstert.2011.07.502</t>
  </si>
  <si>
    <t>Trottier, A., Battista, M. C., Simoneau-Roy, J., Carpentier, A., Geller, D. H., &amp; Baillargeon, J. P. (2011). Early metabolic and endocrine perturbations in first-degree relative adolescent girls of polycystic ovary syndrome women. Endocrine Reviews, 32(3 Meeting Abstracts). </t>
  </si>
  <si>
    <t>Trottier A, Battista MC, Geller DH, Moreau B, Carpentier AC, Simoneau-Roy J, Baillargeon JP. Adipose tissue insulin resistance in peripubertal girls with first-degree family history of polycystic ovary syndrome. Fertil Steril. 2012 Dec;98(6):1627-34. doi: 10.1016/j.fertnstert.2012.08.025. Epub 2012 Sep 15. PMID: 22985947; PMCID: PMC3902032.</t>
  </si>
  <si>
    <t>Raissouni N, Kolesnikov A, Purushothaman R, Sinha S, Bhandari S, Bhangoo A, Malik S, Mathew R, Baillargeon JP, Hernandez MI, Rosenbaum M, Ten S, Geller D. Altered glucose disposition and insulin sensitivity in peri-pubertal first-degree relatives of women with polycystic ovary syndrome. Int J Pediatr Endocrinol. 2012 May 29;2012(1):14. doi: 10.1186/1687-9856-2012-14. PMID: 22643321; PMCID: PMC3477027. (primary citation)</t>
  </si>
  <si>
    <t xml:space="preserve">Recabarren SE, Smith R, Rios R, Maliqueo M, Echiburú B, Codner E, Cassorla F, Rojas P, Sir-Petermann T. Metabolic profile in sons of women with polycystic ovary syndrome. J Clin Endocrinol Metab. 2008 May;93(5):1820-6. doi: 10.1210/jc.2007-2256. Epub 2008 Jan 29. PMID: 18230657. (primary citation)
</t>
  </si>
  <si>
    <t>Recabarren SE, Sir-Petermann T, Rios R, Maliqueo M, Echiburú B, Smith R, Rojas-García P, Recabarren M, Rey RA. Pituitary and testicular function in sons of women with polycystic ovary syndrome from infancy to adulthood. J Clin Endocrinol Metab. 2008 Sep;93(9):3318-24. doi: 10.1210/jc.2008-0255. Epub 2008 Jun 10. PMID: 18544620.</t>
  </si>
  <si>
    <t>Legro RS, Driscoll D, Strauss JF 3rd, Fox J, Dunaif A. Evidence for a genetic basis for hyperandrogenemia in polycystic ovary syndrome. Proc Natl Acad Sci U S A. 1998 Dec 8;95(25):14956-60. doi: 10.1073/pnas.95.25.14956. PMID: 9843997; PMCID: PMC24557.</t>
  </si>
  <si>
    <t>Legro RS, Bentley-Lewis R, Driscoll D, Wang SC, Dunaif A. Insulin resistance in the sisters of women with polycystic ovary syndrome: association with hyperandrogenemia rather than menstrual irregularity. J Clin Endocrinol Metab. 2002 May;87(5):2128-33. doi: 10.1210/jcem.87.5.8513. PMID: 11994352; PMCID: PMC4429513.</t>
  </si>
  <si>
    <t>Sam S, Legro RS, Bentley-Lewis R, Dunaif A. Dyslipidemia and metabolic syndrome in the sisters of women with polycystic ovary syndrome. J Clin Endocrinol Metab. 2005 Aug;90(8):4797-802. doi: 10.1210/jc.2004-2217. Epub 2005 May 17. PMID: 15899949; PMCID: PMC4428585. (primary citation)</t>
  </si>
  <si>
    <t>Taylor MC, Reema Kar A, Kunselman AR, Stetter CM, Dunaif A, Legro RS. Evidence for increased cardiovascular events in the fathers but not mothers of women with polycystic ovary syndrome. Hum Reprod. 2011 Aug;26(8):2226-31. doi: 10.1093/humrep/der101. Epub 2011 Apr 19. PMID: 21505042; PMCID: PMC3137384.</t>
  </si>
  <si>
    <t>Sam S, Legro RS, Essah PA, Apridonidze T, Dunaif A. Evidence for metabolic and reproductive phenotypes in mothers of women with polycystic ovary syndrome. Proc Natl Acad Sci U S A. 2006 May 2;103(18):7030-5. doi: 10.1073/pnas.0602025103. Epub 2006 Apr 21. PMID: 16632599; PMCID: PMC1459013. (primary citation)</t>
  </si>
  <si>
    <t>Maliqueo M, Sir-Petermann T, Pérez V, Echiburú B, de Guevara AL, Gálvez C, Crisosto N, Azziz R. Adrenal function during childhood and puberty in daughters of women with polycystic ovary syndrome. J Clin Endocrinol Metab. 2009 Sep;94(9):3282-8. doi: 10.1210/jc.2009-0427. Epub 2009 Jun 30. PMID: 19567527.</t>
  </si>
  <si>
    <t>Crisosto N, Codner E, Maliqueo M, Echiburú B, Sánchez F, Cassorla F, Sir-Petermann T. Anti-Müllerian hormone levels in peripubertal daughters of women with polycystic ovary syndrome. J Clin Endocrinol Metab. 2007 Jul;92(7):2739-43. doi: 10.1210/jc.2007-0267. Epub 2007 May 8. PMID: 17488788.</t>
  </si>
  <si>
    <t>Maliqueo M, Galgani JE, Pérez-Bravo F, Echiburú B, de Guevara AL, Crisosto N, Sir-Petermann T. Relationship of serum adipocyte-derived proteins with insulin sensitivity and reproductive features in pre-pubertal and pubertal daughters of polycystic ovary syndrome women. Eur J Obstet Gynecol Reprod Biol. 2012 Mar;161(1):56-61. doi: 10.1016/j.ejogrb.2011.12.012. Epub 2012 Jan 23. PMID: 22277163.</t>
  </si>
  <si>
    <t>Sir-Petermann T, Angel B, Maliqueo M, Carvajal F, Santos JL, Pérez-Bravo F. Prevalence of Type II diabetes mellitus and insulin resistance in parents of women with polycystic ovary syndrome. Diabetologia. 2002 Jul;45(7):959-64. doi: 10.1007/s00125-002-0836-3. Epub 2002 Apr 26. PMID: 12136394.</t>
  </si>
  <si>
    <t>Sir-Petermann, T.; Angel, B.; Maliqueo, M.; Perez-Bravo, F. Glucose tolerance, insulin secretion and insulin resistance in parents of women with polycystic ovary sindrome. Diabetologia 2001;44:A86-A86.</t>
  </si>
  <si>
    <t>Sir-Petermann T, Codner E, Maliqueo M, Echiburú B, Hitschfeld C, Crisosto N, Pérez-Bravo F, Recabarren SE, Cassorla F. Increased anti-Müllerian hormone serum concentrations in prepubertal daughters of women with polycystic ovary syndrome. J Clin Endocrinol Metab. 2006 Aug;91(8):3105-9. doi: 10.1210/jc.2005-2693. Epub 2006 May 23. PMID: 16720659.</t>
  </si>
  <si>
    <t>Sir-Petermann T, Codner E, Pérez V, Echiburú B, Maliqueo M, Ladrón de Guevara A, Preisler J, Crisosto N, Sánchez F, Cassorla F, Bhasin S. Metabolic and reproductive features before and during puberty in daughters of women with polycystic ovary syndrome. J Clin Endocrinol Metab. 2009 Jun;94(6):1923-30. doi: 10.1210/jc.2008-2836. Epub 2009 Feb 17. PMID: 19223518; PMCID: PMC2730345.</t>
  </si>
  <si>
    <t>Echiburú B, Pérez-Bravo F, Maliqueo M, Ladrón de Guevara A, Gálvez C, Crisosto N, Sir-Petermann T. CAG repeat polymorphism of androgen receptor gene and X-chromosome inactivation in daughters of women with polycystic ovary syndrome (PCOS): relationship with endocrine and metabolic parameters. Gynecol Endocrinol. 2012 Jul;28(7):516-20. doi: 10.3109/09513590.2011.650744. Epub 2012 Feb 17. PMID: 22724574.</t>
  </si>
  <si>
    <t>Sir-Petermann T, Maliqueo M, Codner E, Echiburú B, Crisosto N, Pérez V, Pérez-Bravo F, Cassorla F. Early metabolic derangements in daughters of women with polycystic ovary syndrome. J Clin Endocrinol Metab. 2007 Dec;92(12):4637-42. doi: 10.1210/jc.2007-1036. Epub 2007 Sep 11. PMID: 17848407.</t>
  </si>
  <si>
    <t xml:space="preserve">Sir-Petermann T, Ladrón de Guevara A, Codner E, Preisler J, Crisosto N, Echiburú B, Maliqueo M, Sánchez F, Perez-Bravo F, Cassorla F. Relationship between anti-Müllerian hormone (AMH) and insulin levels during different tanner stages in daughters of women with polycystic ovary syndrome. Reprod Sci. 2012 Apr;19(4):383-90. doi: 10.1177/1933719111424444. Epub 2012 Feb 16. PMID: 22344736. (primary citation)
</t>
  </si>
  <si>
    <t>TORCHEN, L., FOGEL, N. R., BRICKMAN, W., PAPARODIS, R. &amp; DUNAIF, A. 2013. Persistent defects in pancreatic beta-cell function in early pubertal female relatives of women with polycystic ovary syndrome in a three year longitudinal study. Endocrine Reviews, 34.</t>
  </si>
  <si>
    <t>TORCHEN, L. C., FOGEL, N. R., BRICKMAN, W. J., MAURAS, N. &amp; DUNAIF, A. 2012. Beta-cell dysfunction and hyperandrogenemia in PCOS early pubertal female relatives. Endocrine Reviews, 33.</t>
  </si>
  <si>
    <t>10.1093/humrep/dez104</t>
  </si>
  <si>
    <t>Recabarren SE, et al. (2008) Metabolic profile in sons of women with polycystic ovary syndrome (PCOS). J Clin Endocrinol Metab doi:10.1210/jc.2007-2256.</t>
  </si>
  <si>
    <t>10.1007/BF03180172</t>
  </si>
  <si>
    <t>Jedel E, Labrie F, Oden A, Holm G, Nilsson L, Janson PO, et al. Impact of electro‐acupuncture and physical exercise on hyperandrogenism and oligo/amenorrhea in women with polycystic ovary syndrome: a randomised controlled trial. American Journal of Physiology‐Endocrinology and Metabolism 2011;300(1):E37‐45. (primary citation)</t>
  </si>
  <si>
    <t>Ribeiro, V. B., Lopes, I. P., Dos Reis, R. M., Silva, R. C., Mendes, M. C., Melo, A. S., de Souza, H., Ferriani, R. A., Kogure, G. S., &amp; Lara, L. (2021). Continuous versus intermittent aerobic exercise in the improvement of quality of life for women with polycystic ovary syndrome: A randomized controlled trial. Journal of health psychology, 26(9), 1307–1317. https://doi.org/10.1177/1359105319869806 (primary citation)</t>
  </si>
  <si>
    <t>Asemi, Z. and A. Esmaillzadeh, DASH diet, insulin resistance, and serum hs-CRP in polycystic ovary syndrome: a randomized controlled clinical trial. Hormone &amp; Metabolic Research, 2015. 47(3): p. 232-8. (primary citation)</t>
  </si>
  <si>
    <t>Kazemi, M., McBreairty, L. E., Chizen, D. R., Pierson, R. A., Chilibeck, P. D., &amp; Zello, G. A. (2018). A Comparison of a Pulse-Based Diet and the Therapeutic Lifestyle Changes Diet in Combination with Exercise and Health Counselling on the Cardio-Metabolic Risk Profile in Women with Polycystic Ovary Syndrome: A Randomized Controlled Trial. Nutrients, 10(10), 1387. https://doi.org/10.3390/nu10101387 (primary citation)</t>
  </si>
  <si>
    <t>Galletly C, Moran LJ, Noakes M, Clifton P, Tomlinson L, Norman RJ. (2007). Psychological benefits of a high-protein, low-carbohydrate diet in obese women with polycystic ovary syndrome—A pilot study. Appetite (49) 590-593. doi:10.1016/j.appet.2007.03.222</t>
  </si>
  <si>
    <t>Moran, LJ.J., Noakes, M., Clifton, P.M., Tomlinson L., Norman, R. J. (2003). Dietary Composition in Restoring Reproductive and Metabolic Physiology in Overweight Women with Polycystic Ovary Syndrome. The Journal of Clinical Endocrinology &amp; Metabolism 88(2):812–819.</t>
  </si>
  <si>
    <t xml:space="preserve">10.1210/jc.2002-020815 </t>
  </si>
  <si>
    <t>Hoover, S. E., Gower, B. A., Cedillo, Y. E., Chandler-Laney, P. C., Deemer, S. E., &amp; Goss, A. M. (2021). Changes in Ghrelin and Glucagon following a Low Glycemic Load Diet in Women with PCOS. The Journal of clinical endocrinology and metabolism, 106(5), e2151–e2161. https://doi.org/10.1210/clinem/dgab028</t>
  </si>
  <si>
    <t>Gower, B. A., Chandler-Laney, P. C., Ovalle, F., Goree, L. L., Azziz, R., Desmond, R. A., Granger, W. M., Goss, A. M., &amp; Bates, G. W. (2013). Favourable metabolic effects of a eucaloric lower-carbohydrate diet in women with PCOS. Clinical endocrinology, 79(4), 550–557. https://doi.org/10.1111/cen.12175 (primary citation)</t>
  </si>
  <si>
    <t>Lara, L.A.S., Ramos, F.K.P., Kogure, G.S., Costa, R.S., Silva de Sá, M.F., Ferriani, R.A. and dos Reis, R.M.,( 2015). Impact of Physical Resistance Training on the Sexual Function of Women with Polycystic Ovary Syndrome. J Sex Med. 2015; 12, 1584-1590. doi: 10.1111/jsm.12909</t>
  </si>
  <si>
    <t>Lopes IP, Ribeiro VB, Reis RM, Silva RC, Dutra de Souza HC, Kogure GS, Ferriani RA, Silva Lara LAD. Comparison of the Effect of Intermittent and Continuous Aerobic Physical Training on Sexual Function of Women With Polycystic Ovary Syndrome: Randomized Controlled Trial. J Sex Med. 2018 Nov;15(11):1609-1619. doi: 10.1016/j.jsxm.2018.09.002 (primary citation)</t>
  </si>
  <si>
    <t>Arusoglu G,. The Use of SenseWear Armband for Assessment of Daily Energy Expenditure and the Relation to Body Fat Distribution and Nutritional Intake in Lean Women with Polycystic Ovary Syndrome. J Nutr Metab. 2020 May 6;2020:9191505. doi: 10.1155/2020/9191505. PMID: 32455003; PMCID: PMC7225853.</t>
  </si>
  <si>
    <t>Liu, X., Zhang, Y., Zheng, S.-Y., Lin, R., Xie, Y.-J., Chen, H., . . . Gong, Y. (2017). Efficacy of exenatide on weight loss, metabolic parameters and pregnancy in overweight/obese polycystic ovary syndrome. Clinical Endocrinology, 87(6), 767-774. doi:https://dx.doi.org/10.1111/cen.13454 (primary citation)</t>
  </si>
  <si>
    <t>Nylander, M., Frossing, S., Kistorp, C., Faber, J., &amp; Skouby, S. O. (2017). Liraglutide in polycystic ovary syndrome: a randomized trial, investigating effects on thrombogenic potential. Endocrine connections, 6(2), 89-99. doi:https://dx.doi.org/10.1530/EC-16-0113 (primary citation)</t>
  </si>
  <si>
    <t>Song, J., Ruan, X., Gu, M., Wang, L., Wang, H., &amp; Mueck, A. O. (2018). Effect of orlistat or metformin in overweight and obese polycystic ovary syndrome patients with insulin resistance. Gynecological endocrinology : the official journal of the International Society of Gynecological Endocrinology, 34(5), 413-417. doi:https://dx.doi.org/10.1080/09513590.2017.1407752 (primary citation)</t>
  </si>
  <si>
    <t>Zheng, S., Zhang, Y., Long, T., Lu, J., Liu, X., Yan, J., . . . Wang, F. (2017). Short term monotherapy with exenatide is superior to metformin in weight loss, improving insulin resistance and inflammation in Chinese overweight/obese PCOS women. Obesity Medicine, 7, 15-20. doi:https://doi.org/10.1016/j.obmed.2017.06.003 (primary citation)</t>
  </si>
  <si>
    <t>Nehra, J., J. Kaushal, S.R. Singhal, and V.S. Ghalaut. 2017a. “A Comparative Study of Myo Inositol versus Metformin on Biochemical Profile in Polycystic Ovarian Syndrome in Women.” International Journal of Pharmaceutical Sciences and Research 8 (4): 1664–70. https://doi.org/10.13040/IJPSR.0975-8232.8(4).1664-70. (primary citation)</t>
  </si>
  <si>
    <t>10.1016/J.FERTNSTERT.2011.07.502</t>
  </si>
  <si>
    <t>W4253108685</t>
  </si>
  <si>
    <t>10.23751/pn.v21i1-S.5616</t>
  </si>
  <si>
    <t>title_if_unavailable</t>
  </si>
  <si>
    <t>A comparative study of GnRH antagonist and GnRH agonist in PCO patients undergoing IVF/ICSI cycles. Iranian Journal of Reproductive Medicine</t>
  </si>
  <si>
    <t>Pregnancy rate in women with pcos with high lh/fsh ratio undergoing icsi</t>
  </si>
  <si>
    <t>Aghamohammadzadeh N, Aliasgarzadeh A, Baglar L, Abdollahifard S, Bahrami A, Najafipour F, et al. Pregnancy rate in women with pcos with high lh/fsh ratio undergoing icsi. Pakistan Journal of Medical Science 2010</t>
  </si>
  <si>
    <t>Comparison of the metabolic parameters and androgen level of umbilical cord blood in newborns of mothers with polycystic ovary syndrome and controls</t>
  </si>
  <si>
    <t>Pregnancy outcome in women with the polycystic ovarian syndrome</t>
  </si>
  <si>
    <t>The effect of administration of metformin on lipid profile changes and insulin resistance in patients with polycystic ovary syndrome</t>
  </si>
  <si>
    <t>Assessment of nutritional status of PCOS women in Kerala</t>
  </si>
  <si>
    <t>Serum level of anti‐mullerian hormone after exercise training in women with polycystic ovary syndrome: a randomised controlled trial</t>
  </si>
  <si>
    <t>Efficacy of 12 weeks aerobic training on body composition, aerobic power and some women‐hormones in polycystic ovary syndrome infertile women</t>
  </si>
  <si>
    <t xml:space="preserve"> Serum level of anti‐mullerian hormone after exercise training in women with polycystic ovary syndrome: a randomised controlled trial.</t>
  </si>
  <si>
    <t>Awareness of Polycystic Ovarian Disease: Knowledge and Presence of Presenting Symptoms</t>
  </si>
  <si>
    <t>Anxiety, Depression and Ways of Coping Skills by Women with Polycystic Ovary Syndrome: A Controlled Study</t>
  </si>
  <si>
    <t>Beta-cell dysfunction and hyperandrogenemia in PCOS early pubertal female relatives</t>
  </si>
  <si>
    <t>Persistent defects in pancreatic beta-cell function in early pubertal female relatives of women with polycystic ovary syndrome in a three year longitudinal study</t>
  </si>
  <si>
    <t>Metabolic Abnormalities in Siblings of Women with Polycystic Ovary Syndrome</t>
  </si>
  <si>
    <t>Metabolic Profile and Eating Behavior Score in Prepubertal and Early Pubertal Sons of Women with Polycystic Ovary Syndrome</t>
  </si>
  <si>
    <t>Obese adolescent girls with polycystic ovary syndrome (PCOS) have more severe insulin resistance measured by HOMA-IR score than obese girls without PCOS</t>
  </si>
  <si>
    <t>Prevalence of Poly Cystic Ovary Syndrome (PCOS) in North Indian women</t>
  </si>
  <si>
    <t>3.3</t>
  </si>
  <si>
    <t>Evolution of metabolic alterations 5 years after peri-pubertal years in young girls genetically predisposed to polycystic ovary syndrome compared to age-matched control girls</t>
  </si>
  <si>
    <t>A Comparative Study of Myo Inositol versus Metformin on Biochemical Profile in Polycystic Ovarian Syndrome in Women</t>
  </si>
  <si>
    <t>Dietary glycemic index/glycemic load and their relationship with inflammatory markers in women with polycystic ovary syndrome</t>
  </si>
  <si>
    <t>Anti-Müllerianhormone (AMH) new cutoff as a possible tool for thediagnosis of polycystic ovary syndrome (PCOS)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</si>
</sst>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color rgb="FF000000"/>
      <name val="Arial Narrow"/>
      <family val="2"/>
    </font>
    <font>
      <b/>
      <sz val="11"/>
      <color theme="1"/>
      <name val="Calibri"/>
      <family val="2"/>
      <scheme val="minor"/>
    </font>
    <font>
      <u/>
      <sz val="11"/>
      <color theme="10"/>
      <name val="Calibri"/>
      <family val="2"/>
      <scheme val="minor"/>
    </font>
    <font>
      <b/>
      <u/>
      <sz val="11"/>
      <color theme="10"/>
      <name val="Calibri"/>
      <family val="2"/>
      <scheme val="minor"/>
    </font>
  </fonts>
  <fills count="2">
    <fill>
      <patternFill patternType="none"/>
    </fill>
    <fill>
      <patternFill patternType="gray125"/>
    </fill>
  </fills>
  <borders count="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3" fillId="0" borderId="0" applyNumberFormat="0" applyFill="0" applyBorder="0" applyAlignment="0" applyProtection="0"/>
  </cellStyleXfs>
  <cellXfs count="14">
    <xf numFmtId="0" fontId="0" fillId="0" borderId="0" xfId="0"/>
    <xf numFmtId="0" fontId="0" fillId="0" borderId="0" xfId="0" applyAlignment="1">
      <alignment horizontal="left"/>
    </xf>
    <xf numFmtId="0" fontId="0" fillId="0" borderId="0" xfId="0" applyAlignment="1">
      <alignment wrapText="1"/>
    </xf>
    <xf numFmtId="0" fontId="1" fillId="0" borderId="1" xfId="0" applyFont="1" applyBorder="1" applyAlignment="1">
      <alignment vertical="center" wrapText="1"/>
    </xf>
    <xf numFmtId="0" fontId="1" fillId="0" borderId="2" xfId="0" applyFont="1" applyBorder="1" applyAlignment="1">
      <alignment vertical="center" wrapText="1"/>
    </xf>
    <xf numFmtId="0" fontId="1" fillId="0" borderId="0" xfId="0" applyFont="1" applyAlignment="1">
      <alignment vertical="center" wrapText="1"/>
    </xf>
    <xf numFmtId="49" fontId="0" fillId="0" borderId="0" xfId="0" applyNumberFormat="1" applyAlignment="1">
      <alignment horizontal="left"/>
    </xf>
    <xf numFmtId="49" fontId="0" fillId="0" borderId="0" xfId="0" applyNumberFormat="1"/>
    <xf numFmtId="0" fontId="0" fillId="0" borderId="0" xfId="0" applyAlignment="1">
      <alignment horizontal="left" vertical="top" wrapText="1"/>
    </xf>
    <xf numFmtId="0" fontId="3" fillId="0" borderId="0" xfId="1" applyAlignment="1">
      <alignment horizontal="left"/>
    </xf>
    <xf numFmtId="0" fontId="2" fillId="0" borderId="0" xfId="0" applyFont="1" applyAlignment="1">
      <alignment horizontal="left"/>
    </xf>
    <xf numFmtId="0" fontId="3" fillId="0" borderId="0" xfId="1" applyAlignment="1">
      <alignment horizontal="left" vertical="center"/>
    </xf>
    <xf numFmtId="0" fontId="4" fillId="0" borderId="0" xfId="1" applyFont="1" applyAlignment="1">
      <alignment horizontal="left"/>
    </xf>
    <xf numFmtId="0" fontId="0" fillId="0" borderId="0" xfId="0" applyFont="1"/>
  </cellXfs>
  <cellStyles count="2">
    <cellStyle name="Hyperlink" xfId="1" builtinId="8"/>
    <cellStyle name="Normal" xfId="0" builtinId="0"/>
  </cellStyles>
  <dxfs count="209">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4" tint="0.79998168889431442"/>
      </font>
      <fill>
        <patternFill>
          <bgColor rgb="FF002060"/>
        </patternFill>
      </fill>
    </dxf>
    <dxf>
      <font>
        <b/>
        <i val="0"/>
        <color theme="8" tint="0.39994506668294322"/>
      </font>
      <fill>
        <patternFill>
          <bgColor theme="8" tint="-0.499984740745262"/>
        </patternFill>
      </fill>
    </dxf>
    <dxf>
      <font>
        <color theme="4" tint="0.79998168889431442"/>
      </font>
      <fill>
        <patternFill>
          <bgColor theme="8" tint="0.39994506668294322"/>
        </patternFill>
      </fill>
    </dxf>
    <dxf>
      <font>
        <color theme="4" tint="0.79998168889431442"/>
      </font>
      <fill>
        <patternFill>
          <bgColor theme="8"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theme="4" tint="0.79998168889431442"/>
      </font>
      <fill>
        <patternFill>
          <bgColor theme="8" tint="0.39994506668294322"/>
        </patternFill>
      </fill>
    </dxf>
    <dxf>
      <fill>
        <patternFill>
          <bgColor theme="8" tint="0.7999816888943144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doi.org/10.1186/s12902-021-00848-w" TargetMode="External"/><Relationship Id="rId299" Type="http://schemas.openxmlformats.org/officeDocument/2006/relationships/hyperlink" Target="https://doi.org/10.1016/j.fertnstert.2011.05.091" TargetMode="External"/><Relationship Id="rId21" Type="http://schemas.openxmlformats.org/officeDocument/2006/relationships/hyperlink" Target="https://doi.org/10.1016/j.metabol.2008.08.002" TargetMode="External"/><Relationship Id="rId63" Type="http://schemas.openxmlformats.org/officeDocument/2006/relationships/hyperlink" Target="https://doi.org/10.2147/PPA.S119180" TargetMode="External"/><Relationship Id="rId159" Type="http://schemas.openxmlformats.org/officeDocument/2006/relationships/hyperlink" Target="https://doi.org/10.1093/inthealth%2Fihac028" TargetMode="External"/><Relationship Id="rId324" Type="http://schemas.openxmlformats.org/officeDocument/2006/relationships/hyperlink" Target="https://doi.org/10.1515/JPEM.2005.18.8.761" TargetMode="External"/><Relationship Id="rId366" Type="http://schemas.openxmlformats.org/officeDocument/2006/relationships/hyperlink" Target="https://doi.org/10.1530/EJE-08-0507" TargetMode="External"/><Relationship Id="rId170" Type="http://schemas.openxmlformats.org/officeDocument/2006/relationships/hyperlink" Target="https://doi.org/10.1111/j.1552-6909.2011.01299.x" TargetMode="External"/><Relationship Id="rId226" Type="http://schemas.openxmlformats.org/officeDocument/2006/relationships/hyperlink" Target="https://doi.org/10.1016/j.jadohealth.2017.04.010" TargetMode="External"/><Relationship Id="rId433" Type="http://schemas.openxmlformats.org/officeDocument/2006/relationships/hyperlink" Target="https://doi.org/10.1016/j.fertnstert.2015.11.008" TargetMode="External"/><Relationship Id="rId268" Type="http://schemas.openxmlformats.org/officeDocument/2006/relationships/hyperlink" Target="https://doi.org/10.1016/j.mayocp.2019.06.015" TargetMode="External"/><Relationship Id="rId475" Type="http://schemas.openxmlformats.org/officeDocument/2006/relationships/hyperlink" Target="https://doi.org/10.1016/J.FERTNSTERT.2011.07.502" TargetMode="External"/><Relationship Id="rId32" Type="http://schemas.openxmlformats.org/officeDocument/2006/relationships/hyperlink" Target="https://doi.org/10.1111/j.1600-0412.2012.01417.x" TargetMode="External"/><Relationship Id="rId74" Type="http://schemas.openxmlformats.org/officeDocument/2006/relationships/hyperlink" Target="https://doi.org/10.1007/s00404-014-3423-1" TargetMode="External"/><Relationship Id="rId128" Type="http://schemas.openxmlformats.org/officeDocument/2006/relationships/hyperlink" Target="https://doi.org/10.1186/s12905-020-01090-7" TargetMode="External"/><Relationship Id="rId335" Type="http://schemas.openxmlformats.org/officeDocument/2006/relationships/hyperlink" Target="https://doi.org/10.1210/jendso%2Fbvaa032" TargetMode="External"/><Relationship Id="rId377" Type="http://schemas.openxmlformats.org/officeDocument/2006/relationships/hyperlink" Target="https://doi.org/10.1111/j.1479-828X.2000.tb03167.x" TargetMode="External"/><Relationship Id="rId5" Type="http://schemas.openxmlformats.org/officeDocument/2006/relationships/hyperlink" Target="https://doi.org/10.4274/jcp.2021.22599" TargetMode="External"/><Relationship Id="rId181" Type="http://schemas.openxmlformats.org/officeDocument/2006/relationships/hyperlink" Target="https://doi.org/10.1016/j.fertnstert.2011.11.010" TargetMode="External"/><Relationship Id="rId237" Type="http://schemas.openxmlformats.org/officeDocument/2006/relationships/hyperlink" Target="https://doi.org/10.1016/j.fertnstert.2008.03.082" TargetMode="External"/><Relationship Id="rId402" Type="http://schemas.openxmlformats.org/officeDocument/2006/relationships/hyperlink" Target="https://doi.org/10.1080/gye.17.3.215.221" TargetMode="External"/><Relationship Id="rId279" Type="http://schemas.openxmlformats.org/officeDocument/2006/relationships/hyperlink" Target="https://doi.org/10.1097/00006254-200006000-00019" TargetMode="External"/><Relationship Id="rId444" Type="http://schemas.openxmlformats.org/officeDocument/2006/relationships/hyperlink" Target="https://doi.org/10.1056/NEJMoa1313517" TargetMode="External"/><Relationship Id="rId43" Type="http://schemas.openxmlformats.org/officeDocument/2006/relationships/hyperlink" Target="https://doi.org/10.1016/S0015-0282%2801%2901937-9" TargetMode="External"/><Relationship Id="rId139" Type="http://schemas.openxmlformats.org/officeDocument/2006/relationships/hyperlink" Target="https://doi.org/10.1016/j.fertnstert.2018.04.028" TargetMode="External"/><Relationship Id="rId290" Type="http://schemas.openxmlformats.org/officeDocument/2006/relationships/hyperlink" Target="https://doi.org/10.1080/09513590.2018.1460343" TargetMode="External"/><Relationship Id="rId304" Type="http://schemas.openxmlformats.org/officeDocument/2006/relationships/hyperlink" Target="https://doi.org/10.1093/HUMREP%2F17.7.1729" TargetMode="External"/><Relationship Id="rId346" Type="http://schemas.openxmlformats.org/officeDocument/2006/relationships/hyperlink" Target="https://doi.org/10.1210/JC.2003-031780" TargetMode="External"/><Relationship Id="rId388" Type="http://schemas.openxmlformats.org/officeDocument/2006/relationships/hyperlink" Target="https://doi.org/10.5152/jtgga.2014.13047" TargetMode="External"/><Relationship Id="rId85" Type="http://schemas.openxmlformats.org/officeDocument/2006/relationships/hyperlink" Target="https://doi.org/10.1001/ARCHPEDI.156.6.556" TargetMode="External"/><Relationship Id="rId150" Type="http://schemas.openxmlformats.org/officeDocument/2006/relationships/hyperlink" Target="https://doi.org/10.29252/IJRM.15.9.553" TargetMode="External"/><Relationship Id="rId192" Type="http://schemas.openxmlformats.org/officeDocument/2006/relationships/hyperlink" Target="https://doi.org/10.18231/J.IJOGR.2021.011" TargetMode="External"/><Relationship Id="rId206" Type="http://schemas.openxmlformats.org/officeDocument/2006/relationships/hyperlink" Target="https://doi.org/10.1093/HUMREP%2FDEH588" TargetMode="External"/><Relationship Id="rId413" Type="http://schemas.openxmlformats.org/officeDocument/2006/relationships/hyperlink" Target="https://doi.org/10.1016/j.fertnstert.2013.02.055" TargetMode="External"/><Relationship Id="rId248" Type="http://schemas.openxmlformats.org/officeDocument/2006/relationships/hyperlink" Target="https://doi.org/10.1210/JC.2002-021688" TargetMode="External"/><Relationship Id="rId455" Type="http://schemas.openxmlformats.org/officeDocument/2006/relationships/hyperlink" Target="https://doi.org/10.1056/NEJMoa1313517" TargetMode="External"/><Relationship Id="rId12" Type="http://schemas.openxmlformats.org/officeDocument/2006/relationships/hyperlink" Target="https://doi.org/10.4183/aeb.2022.417" TargetMode="External"/><Relationship Id="rId108" Type="http://schemas.openxmlformats.org/officeDocument/2006/relationships/hyperlink" Target="https://doi.org/10.1016/j.fertnstert.2019.03.027" TargetMode="External"/><Relationship Id="rId315" Type="http://schemas.openxmlformats.org/officeDocument/2006/relationships/hyperlink" Target="https://doi.org/10.1080/09513590802217027" TargetMode="External"/><Relationship Id="rId357" Type="http://schemas.openxmlformats.org/officeDocument/2006/relationships/hyperlink" Target="https://doi.org/10.1007/s13224-012-0183-3" TargetMode="External"/><Relationship Id="rId54" Type="http://schemas.openxmlformats.org/officeDocument/2006/relationships/hyperlink" Target="https://doi.org/10.1016/j.jpag.2019.07.008" TargetMode="External"/><Relationship Id="rId96" Type="http://schemas.openxmlformats.org/officeDocument/2006/relationships/hyperlink" Target="https://doi.org/10.1016/J.FERTNSTERT.2006.11.039" TargetMode="External"/><Relationship Id="rId161" Type="http://schemas.openxmlformats.org/officeDocument/2006/relationships/hyperlink" Target="https://doi.org/10.1016/S0277-9536%2801%2900034-X" TargetMode="External"/><Relationship Id="rId217" Type="http://schemas.openxmlformats.org/officeDocument/2006/relationships/hyperlink" Target="https://doi.org/10.1530/EC-17-0034" TargetMode="External"/><Relationship Id="rId399" Type="http://schemas.openxmlformats.org/officeDocument/2006/relationships/hyperlink" Target="https://doi.org/10.1530/REP-22-0023" TargetMode="External"/><Relationship Id="rId259" Type="http://schemas.openxmlformats.org/officeDocument/2006/relationships/hyperlink" Target="https://doi.org/10.1016/J.MEFS.2010.06.007" TargetMode="External"/><Relationship Id="rId424" Type="http://schemas.openxmlformats.org/officeDocument/2006/relationships/hyperlink" Target="https://doi.org/10.1210/jc.2013-2193" TargetMode="External"/><Relationship Id="rId466" Type="http://schemas.openxmlformats.org/officeDocument/2006/relationships/hyperlink" Target="https://doi.org/10.1093/humrep%2Fdep436" TargetMode="External"/><Relationship Id="rId23" Type="http://schemas.openxmlformats.org/officeDocument/2006/relationships/hyperlink" Target="https://doi.org/10.1016/j.jadohealth.2009.10.008" TargetMode="External"/><Relationship Id="rId119" Type="http://schemas.openxmlformats.org/officeDocument/2006/relationships/hyperlink" Target="https://doi.org/10.1016/j.rbmo.2013.01.009" TargetMode="External"/><Relationship Id="rId270" Type="http://schemas.openxmlformats.org/officeDocument/2006/relationships/hyperlink" Target="https://doi.org/10.1055/S-2003-39056" TargetMode="External"/><Relationship Id="rId326" Type="http://schemas.openxmlformats.org/officeDocument/2006/relationships/hyperlink" Target="https://doi.org/10.1097/01.OGX.0000197800.07214.DC" TargetMode="External"/><Relationship Id="rId65" Type="http://schemas.openxmlformats.org/officeDocument/2006/relationships/hyperlink" Target="https://doi.org/10.1080/03630242.2019.1587664" TargetMode="External"/><Relationship Id="rId130" Type="http://schemas.openxmlformats.org/officeDocument/2006/relationships/hyperlink" Target="https://doi.org/10.1210/jc.2016-2963" TargetMode="External"/><Relationship Id="rId368" Type="http://schemas.openxmlformats.org/officeDocument/2006/relationships/hyperlink" Target="https://doi.org/10.1177/193229680700100212" TargetMode="External"/><Relationship Id="rId172" Type="http://schemas.openxmlformats.org/officeDocument/2006/relationships/hyperlink" Target="https://doi.org/10.1177/1359105314547941" TargetMode="External"/><Relationship Id="rId228" Type="http://schemas.openxmlformats.org/officeDocument/2006/relationships/hyperlink" Target="https://doi.org/10.1007/s00404-014-3217-5" TargetMode="External"/><Relationship Id="rId435" Type="http://schemas.openxmlformats.org/officeDocument/2006/relationships/hyperlink" Target="https://doi.org/10.1007/s10815-009-9304-z" TargetMode="External"/><Relationship Id="rId477" Type="http://schemas.openxmlformats.org/officeDocument/2006/relationships/hyperlink" Target="https://doi.org/10.23751/pn.v21i1-S.5616" TargetMode="External"/><Relationship Id="rId281" Type="http://schemas.openxmlformats.org/officeDocument/2006/relationships/hyperlink" Target="https://doi.org/10.1093/HUMREP%2F16.8.1625" TargetMode="External"/><Relationship Id="rId337" Type="http://schemas.openxmlformats.org/officeDocument/2006/relationships/hyperlink" Target="https://doi.org/10.1016/j.jadohealth.2017.04.010" TargetMode="External"/><Relationship Id="rId34" Type="http://schemas.openxmlformats.org/officeDocument/2006/relationships/hyperlink" Target="https://doi.org/10.1007/s10815-009-9297-7" TargetMode="External"/><Relationship Id="rId76" Type="http://schemas.openxmlformats.org/officeDocument/2006/relationships/hyperlink" Target="https://openalex.org/W2115750705" TargetMode="External"/><Relationship Id="rId141" Type="http://schemas.openxmlformats.org/officeDocument/2006/relationships/hyperlink" Target="https://doi.org/10.1016/j.pec.2021.01.036" TargetMode="External"/><Relationship Id="rId379" Type="http://schemas.openxmlformats.org/officeDocument/2006/relationships/hyperlink" Target="https://doi.org/10.1093/HUMREP%2F16.12.2606" TargetMode="External"/><Relationship Id="rId7" Type="http://schemas.openxmlformats.org/officeDocument/2006/relationships/hyperlink" Target="https://doi.org/10.1016/j.tjog.2018.06.004" TargetMode="External"/><Relationship Id="rId183" Type="http://schemas.openxmlformats.org/officeDocument/2006/relationships/hyperlink" Target="https://doi.org/10.1152/ajpregu.00197.2009" TargetMode="External"/><Relationship Id="rId239" Type="http://schemas.openxmlformats.org/officeDocument/2006/relationships/hyperlink" Target="https://doi.org/10.2337/DC06-0618" TargetMode="External"/><Relationship Id="rId390" Type="http://schemas.openxmlformats.org/officeDocument/2006/relationships/hyperlink" Target="https://doi.org/10.4103/0256-4947.71063" TargetMode="External"/><Relationship Id="rId404" Type="http://schemas.openxmlformats.org/officeDocument/2006/relationships/hyperlink" Target="https://doi.org/10.22074/ijfs.2019.5422" TargetMode="External"/><Relationship Id="rId446" Type="http://schemas.openxmlformats.org/officeDocument/2006/relationships/hyperlink" Target="https://doi.org/10.1007/s00404-011-2091-7" TargetMode="External"/><Relationship Id="rId250" Type="http://schemas.openxmlformats.org/officeDocument/2006/relationships/hyperlink" Target="https://doi.org/10.1177/1933719113488444" TargetMode="External"/><Relationship Id="rId292" Type="http://schemas.openxmlformats.org/officeDocument/2006/relationships/hyperlink" Target="https://doi.org/10.1530/ec-17-0034" TargetMode="External"/><Relationship Id="rId306" Type="http://schemas.openxmlformats.org/officeDocument/2006/relationships/hyperlink" Target="https://doi.org/10.2169/INTERNALMEDICINE.48.2177" TargetMode="External"/><Relationship Id="rId45" Type="http://schemas.openxmlformats.org/officeDocument/2006/relationships/hyperlink" Target="https://doi.org/10.1210/jc.2004-1045" TargetMode="External"/><Relationship Id="rId87" Type="http://schemas.openxmlformats.org/officeDocument/2006/relationships/hyperlink" Target="https://doi.org/10.1016/j.fertnstert.2019.06.018" TargetMode="External"/><Relationship Id="rId110" Type="http://schemas.openxmlformats.org/officeDocument/2006/relationships/hyperlink" Target="https://pubmed.ncbi.nlm.nih.gov/26592060" TargetMode="External"/><Relationship Id="rId348" Type="http://schemas.openxmlformats.org/officeDocument/2006/relationships/hyperlink" Target="https://doi.org/10.1016/j.numecd.2013.04.016" TargetMode="External"/><Relationship Id="rId152" Type="http://schemas.openxmlformats.org/officeDocument/2006/relationships/hyperlink" Target="https://doi.org/10.1177/0898010111429092" TargetMode="External"/><Relationship Id="rId194" Type="http://schemas.openxmlformats.org/officeDocument/2006/relationships/hyperlink" Target="https://doi.org/10.1016/j.jpag.2011.11.009" TargetMode="External"/><Relationship Id="rId208" Type="http://schemas.openxmlformats.org/officeDocument/2006/relationships/hyperlink" Target="https://doi.org/10.1055/s-0033-1363261" TargetMode="External"/><Relationship Id="rId415" Type="http://schemas.openxmlformats.org/officeDocument/2006/relationships/hyperlink" Target="https://doi.org/10.1016/S1472-6483%2810%2961870-6" TargetMode="External"/><Relationship Id="rId457" Type="http://schemas.openxmlformats.org/officeDocument/2006/relationships/hyperlink" Target="https://doi.org/10.1111/j.1447-0756.2012.02072.x" TargetMode="External"/><Relationship Id="rId261" Type="http://schemas.openxmlformats.org/officeDocument/2006/relationships/hyperlink" Target="https://doi.org/10.1016/j.contraception.2011.12.011" TargetMode="External"/><Relationship Id="rId14" Type="http://schemas.openxmlformats.org/officeDocument/2006/relationships/hyperlink" Target="https://doi.org/10.1016/j.ijgo.2008.11.031" TargetMode="External"/><Relationship Id="rId56" Type="http://schemas.openxmlformats.org/officeDocument/2006/relationships/hyperlink" Target="https://doi.org/10.22159/ajpcr.2019.v12i11.34426" TargetMode="External"/><Relationship Id="rId317" Type="http://schemas.openxmlformats.org/officeDocument/2006/relationships/hyperlink" Target="https://doi.org/10.3109/09513590.2010.507283" TargetMode="External"/><Relationship Id="rId359" Type="http://schemas.openxmlformats.org/officeDocument/2006/relationships/hyperlink" Target="https://doi.org/10.1016/j.fertnstert.2010.06.058" TargetMode="External"/><Relationship Id="rId98" Type="http://schemas.openxmlformats.org/officeDocument/2006/relationships/hyperlink" Target="https://doi.org/10.1016/J.FERTNSTERT.2013.07.631" TargetMode="External"/><Relationship Id="rId121" Type="http://schemas.openxmlformats.org/officeDocument/2006/relationships/hyperlink" Target="https://doi.org/10.37506/IJFMT.V14I4.12337" TargetMode="External"/><Relationship Id="rId163" Type="http://schemas.openxmlformats.org/officeDocument/2006/relationships/hyperlink" Target="https://doi.org/10.1055/s-0041-1735575" TargetMode="External"/><Relationship Id="rId219" Type="http://schemas.openxmlformats.org/officeDocument/2006/relationships/hyperlink" Target="https://doi.org/10.1210/JC.2003-030424" TargetMode="External"/><Relationship Id="rId370" Type="http://schemas.openxmlformats.org/officeDocument/2006/relationships/hyperlink" Target="https://doi.org/10.5455/2320-1770.IJRCOG20150234" TargetMode="External"/><Relationship Id="rId426" Type="http://schemas.openxmlformats.org/officeDocument/2006/relationships/hyperlink" Target="https://doi.org/10.1210/jc.2011-3061" TargetMode="External"/><Relationship Id="rId230" Type="http://schemas.openxmlformats.org/officeDocument/2006/relationships/hyperlink" Target="https://doi.org/10.3109/09513590.2010.530706" TargetMode="External"/><Relationship Id="rId468" Type="http://schemas.openxmlformats.org/officeDocument/2006/relationships/hyperlink" Target="https://doi.org/10.1093/HUMREP%2FDEH248" TargetMode="External"/><Relationship Id="rId25" Type="http://schemas.openxmlformats.org/officeDocument/2006/relationships/hyperlink" Target="https://doi.org/10.3109/00365521.2010.539251" TargetMode="External"/><Relationship Id="rId67" Type="http://schemas.openxmlformats.org/officeDocument/2006/relationships/hyperlink" Target="https://doi.org/10.3390/nu13103526" TargetMode="External"/><Relationship Id="rId272" Type="http://schemas.openxmlformats.org/officeDocument/2006/relationships/hyperlink" Target="https://doi.org/10.1210/JCEM.87.2.8261" TargetMode="External"/><Relationship Id="rId328" Type="http://schemas.openxmlformats.org/officeDocument/2006/relationships/hyperlink" Target="https://doi.org/10.1210/JCEM.85.8.6738" TargetMode="External"/><Relationship Id="rId132" Type="http://schemas.openxmlformats.org/officeDocument/2006/relationships/hyperlink" Target="https://doi.org/10.3399/bjgp20X708881" TargetMode="External"/><Relationship Id="rId174" Type="http://schemas.openxmlformats.org/officeDocument/2006/relationships/hyperlink" Target="https://doi.org/10.1371/journal.pone.0138793" TargetMode="External"/><Relationship Id="rId381" Type="http://schemas.openxmlformats.org/officeDocument/2006/relationships/hyperlink" Target="https://doi.org/10.1093/HUMREP%2F17.10.2573" TargetMode="External"/><Relationship Id="rId241" Type="http://schemas.openxmlformats.org/officeDocument/2006/relationships/hyperlink" Target="https://doi.org/10.2337/dc07-2265" TargetMode="External"/><Relationship Id="rId437" Type="http://schemas.openxmlformats.org/officeDocument/2006/relationships/hyperlink" Target="https://doi.org/10.1093/HUMREP%2F16.12.2606" TargetMode="External"/><Relationship Id="rId36" Type="http://schemas.openxmlformats.org/officeDocument/2006/relationships/hyperlink" Target="https://doi.org/10.1016/j.ajog.2012.07.023" TargetMode="External"/><Relationship Id="rId283" Type="http://schemas.openxmlformats.org/officeDocument/2006/relationships/hyperlink" Target="https://doi.org/10.1097/01.OGX.0000300471.31456.EA" TargetMode="External"/><Relationship Id="rId339" Type="http://schemas.openxmlformats.org/officeDocument/2006/relationships/hyperlink" Target="https://doi.org/10.36849/JDD.2021.5652" TargetMode="External"/><Relationship Id="rId78" Type="http://schemas.openxmlformats.org/officeDocument/2006/relationships/hyperlink" Target="https://doi.org/10.1530/EJE.1.02024" TargetMode="External"/><Relationship Id="rId101" Type="http://schemas.openxmlformats.org/officeDocument/2006/relationships/hyperlink" Target="https://doi.org/10.1016/J.FERTNSTERT.2016.07.750" TargetMode="External"/><Relationship Id="rId143" Type="http://schemas.openxmlformats.org/officeDocument/2006/relationships/hyperlink" Target="https://doi.org/10.1186/1472-6874-1-3" TargetMode="External"/><Relationship Id="rId185" Type="http://schemas.openxmlformats.org/officeDocument/2006/relationships/hyperlink" Target="https://doi.org/10.3109/10253890.2014.974030" TargetMode="External"/><Relationship Id="rId350" Type="http://schemas.openxmlformats.org/officeDocument/2006/relationships/hyperlink" Target="https://doi.org/10.1080/09513590.2020.1810657" TargetMode="External"/><Relationship Id="rId406" Type="http://schemas.openxmlformats.org/officeDocument/2006/relationships/hyperlink" Target="https://doi.org/10.1097/md.0000000000012017" TargetMode="External"/><Relationship Id="rId9" Type="http://schemas.openxmlformats.org/officeDocument/2006/relationships/hyperlink" Target="https://doi.org/10.22074/ijfs.2010.45808" TargetMode="External"/><Relationship Id="rId210" Type="http://schemas.openxmlformats.org/officeDocument/2006/relationships/hyperlink" Target="https://doi.org/10.1016/J.MEFS.2014.10.003" TargetMode="External"/><Relationship Id="rId392" Type="http://schemas.openxmlformats.org/officeDocument/2006/relationships/hyperlink" Target="https://doi.org/10.16948/ZKTIPB.558143" TargetMode="External"/><Relationship Id="rId448" Type="http://schemas.openxmlformats.org/officeDocument/2006/relationships/hyperlink" Target="https://doi.org/10.1177/147323000603400109" TargetMode="External"/><Relationship Id="rId252" Type="http://schemas.openxmlformats.org/officeDocument/2006/relationships/hyperlink" Target="https://doi.org/10.1016/j.atherosclerosis.2007.12.054" TargetMode="External"/><Relationship Id="rId294" Type="http://schemas.openxmlformats.org/officeDocument/2006/relationships/hyperlink" Target="https://doi.org/10.1210/jc.2014-1135" TargetMode="External"/><Relationship Id="rId308" Type="http://schemas.openxmlformats.org/officeDocument/2006/relationships/hyperlink" Target="https://doi.org/10.4103/jfmpc.jfmpc_83_17" TargetMode="External"/><Relationship Id="rId47" Type="http://schemas.openxmlformats.org/officeDocument/2006/relationships/hyperlink" Target="https://doi.org/10.1093/humrep%2Fdet255" TargetMode="External"/><Relationship Id="rId89" Type="http://schemas.openxmlformats.org/officeDocument/2006/relationships/hyperlink" Target="https://doi.org/10.1007/s11325-019-01946-9" TargetMode="External"/><Relationship Id="rId112" Type="http://schemas.openxmlformats.org/officeDocument/2006/relationships/hyperlink" Target="https://doi.org/10.1093/humrep%2Fdeaa005" TargetMode="External"/><Relationship Id="rId154" Type="http://schemas.openxmlformats.org/officeDocument/2006/relationships/hyperlink" Target="https://doi.org/10.1530/EC-17-0053" TargetMode="External"/><Relationship Id="rId361" Type="http://schemas.openxmlformats.org/officeDocument/2006/relationships/hyperlink" Target="https://doi.org/10.4103/2230-8210.192925" TargetMode="External"/><Relationship Id="rId196" Type="http://schemas.openxmlformats.org/officeDocument/2006/relationships/hyperlink" Target="https://doi.org/10.3390/nu14010073" TargetMode="External"/><Relationship Id="rId417" Type="http://schemas.openxmlformats.org/officeDocument/2006/relationships/hyperlink" Target="https://doi.org/10.1007/s11684-017-0575-y" TargetMode="External"/><Relationship Id="rId459" Type="http://schemas.openxmlformats.org/officeDocument/2006/relationships/hyperlink" Target="https://doi.org/10.1016/S1472-6483%2810%2961273-4" TargetMode="External"/><Relationship Id="rId16" Type="http://schemas.openxmlformats.org/officeDocument/2006/relationships/hyperlink" Target="https://doi.org/10.1111/imj.12910" TargetMode="External"/><Relationship Id="rId221" Type="http://schemas.openxmlformats.org/officeDocument/2006/relationships/hyperlink" Target="https://doi.org/10.1210/JC.2003-031281" TargetMode="External"/><Relationship Id="rId263" Type="http://schemas.openxmlformats.org/officeDocument/2006/relationships/hyperlink" Target="https://doi.org/10.1530/EJE-11-0616" TargetMode="External"/><Relationship Id="rId319" Type="http://schemas.openxmlformats.org/officeDocument/2006/relationships/hyperlink" Target="https://doi.org/10.2478/s11536-009-0074-x" TargetMode="External"/><Relationship Id="rId470" Type="http://schemas.openxmlformats.org/officeDocument/2006/relationships/hyperlink" Target="https://doi.org/10.1093/HUMREP%2FDEL025" TargetMode="External"/><Relationship Id="rId58" Type="http://schemas.openxmlformats.org/officeDocument/2006/relationships/hyperlink" Target="https://doi.org/10.1210/clinem%2Fdgz256" TargetMode="External"/><Relationship Id="rId123" Type="http://schemas.openxmlformats.org/officeDocument/2006/relationships/hyperlink" Target="https://doi.org/10.1016/j.ando.2020.07.1110" TargetMode="External"/><Relationship Id="rId330" Type="http://schemas.openxmlformats.org/officeDocument/2006/relationships/hyperlink" Target="https://doi.org/10.1210/JC.2003-031281" TargetMode="External"/><Relationship Id="rId165" Type="http://schemas.openxmlformats.org/officeDocument/2006/relationships/hyperlink" Target="https://doi.org/10.1016/J.CEGH.2017.09.001" TargetMode="External"/><Relationship Id="rId372" Type="http://schemas.openxmlformats.org/officeDocument/2006/relationships/hyperlink" Target="https://pubmed.ncbi.nlm.nih.gov/21608442" TargetMode="External"/><Relationship Id="rId428" Type="http://schemas.openxmlformats.org/officeDocument/2006/relationships/hyperlink" Target="https://doi.org/10.1186/s12905-022-01756-4" TargetMode="External"/><Relationship Id="rId232" Type="http://schemas.openxmlformats.org/officeDocument/2006/relationships/hyperlink" Target="https://doi.org/10.4103/jfmpc.jfmpc_83_17" TargetMode="External"/><Relationship Id="rId274" Type="http://schemas.openxmlformats.org/officeDocument/2006/relationships/hyperlink" Target="https://doi.org/10.1210/jc.2008-0461" TargetMode="External"/><Relationship Id="rId27" Type="http://schemas.openxmlformats.org/officeDocument/2006/relationships/hyperlink" Target="https://doi.org/10.1093/humrep%2Fder065" TargetMode="External"/><Relationship Id="rId69" Type="http://schemas.openxmlformats.org/officeDocument/2006/relationships/hyperlink" Target="https://doi.org/10.1080/09513590.2019.1670788" TargetMode="External"/><Relationship Id="rId134" Type="http://schemas.openxmlformats.org/officeDocument/2006/relationships/hyperlink" Target="https://doi.org/10.2196/16541" TargetMode="External"/><Relationship Id="rId80" Type="http://schemas.openxmlformats.org/officeDocument/2006/relationships/hyperlink" Target="https://doi.org/10.1080/09513590.2016.1254610" TargetMode="External"/><Relationship Id="rId176" Type="http://schemas.openxmlformats.org/officeDocument/2006/relationships/hyperlink" Target="https://doi.org/10.1016/S0015-0282%2816%2956632-1" TargetMode="External"/><Relationship Id="rId341" Type="http://schemas.openxmlformats.org/officeDocument/2006/relationships/hyperlink" Target="https://doi.org/10.1080/09513590.2017.1407752" TargetMode="External"/><Relationship Id="rId383" Type="http://schemas.openxmlformats.org/officeDocument/2006/relationships/hyperlink" Target="https://doi.org/10.1016/S0020-7292%2803%2900003-1" TargetMode="External"/><Relationship Id="rId439" Type="http://schemas.openxmlformats.org/officeDocument/2006/relationships/hyperlink" Target="https://doi.org/10.1186/1471-2393-14-11" TargetMode="External"/><Relationship Id="rId201" Type="http://schemas.openxmlformats.org/officeDocument/2006/relationships/hyperlink" Target="https://doi.org/10.2169/INTERNALMEDICINE.48.2177" TargetMode="External"/><Relationship Id="rId243" Type="http://schemas.openxmlformats.org/officeDocument/2006/relationships/hyperlink" Target="https://doi.org/10.1016/j.dsx.2015.10.001" TargetMode="External"/><Relationship Id="rId285" Type="http://schemas.openxmlformats.org/officeDocument/2006/relationships/hyperlink" Target="https://doi.org/10.1016/j.ijgo.2008.11.039" TargetMode="External"/><Relationship Id="rId450" Type="http://schemas.openxmlformats.org/officeDocument/2006/relationships/hyperlink" Target="https://doi.org/10.1111/j.1447-0756.2012.02072.x" TargetMode="External"/><Relationship Id="rId38" Type="http://schemas.openxmlformats.org/officeDocument/2006/relationships/hyperlink" Target="https://doi.org/10.1210/JC.2003-031888" TargetMode="External"/><Relationship Id="rId103" Type="http://schemas.openxmlformats.org/officeDocument/2006/relationships/hyperlink" Target="https://doi.org/10.1097/01.JIM.0000446834.90599.5d" TargetMode="External"/><Relationship Id="rId310" Type="http://schemas.openxmlformats.org/officeDocument/2006/relationships/hyperlink" Target="https://doi.org/10.1007/BF03345790" TargetMode="External"/><Relationship Id="rId91" Type="http://schemas.openxmlformats.org/officeDocument/2006/relationships/hyperlink" Target="https://doi.org/10.1177/1359105306065021" TargetMode="External"/><Relationship Id="rId145" Type="http://schemas.openxmlformats.org/officeDocument/2006/relationships/hyperlink" Target="https://doi.org/10.1016/S1083-3188%2802%2900205-X" TargetMode="External"/><Relationship Id="rId187" Type="http://schemas.openxmlformats.org/officeDocument/2006/relationships/hyperlink" Target="https://doi.org/10.1210/JC.2006-2794" TargetMode="External"/><Relationship Id="rId352" Type="http://schemas.openxmlformats.org/officeDocument/2006/relationships/hyperlink" Target="https://doi.org/10.1111/dom.14583" TargetMode="External"/><Relationship Id="rId394" Type="http://schemas.openxmlformats.org/officeDocument/2006/relationships/hyperlink" Target="https://doi.org/10.1080/09513590.2019.1594761" TargetMode="External"/><Relationship Id="rId408" Type="http://schemas.openxmlformats.org/officeDocument/2006/relationships/hyperlink" Target="https://doi.org/10.1007/s40618-015-0392-6" TargetMode="External"/><Relationship Id="rId212" Type="http://schemas.openxmlformats.org/officeDocument/2006/relationships/hyperlink" Target="https://doi.org/10.1016/j.fertnstert.2011.05.091" TargetMode="External"/><Relationship Id="rId254" Type="http://schemas.openxmlformats.org/officeDocument/2006/relationships/hyperlink" Target="https://doi.org/10.1007/s40618-019-01133-3" TargetMode="External"/><Relationship Id="rId49" Type="http://schemas.openxmlformats.org/officeDocument/2006/relationships/hyperlink" Target="https://doi.org/10.1016/j.fertnstert.2011.08.035" TargetMode="External"/><Relationship Id="rId114" Type="http://schemas.openxmlformats.org/officeDocument/2006/relationships/hyperlink" Target="https://doi.org/10.1007/s00404-011-2014-7" TargetMode="External"/><Relationship Id="rId296" Type="http://schemas.openxmlformats.org/officeDocument/2006/relationships/hyperlink" Target="https://doi.org/10.3109/09513590.2015.1006188" TargetMode="External"/><Relationship Id="rId461" Type="http://schemas.openxmlformats.org/officeDocument/2006/relationships/hyperlink" Target="https://doi.org/10.1089/GYN.2006.22.105" TargetMode="External"/><Relationship Id="rId60" Type="http://schemas.openxmlformats.org/officeDocument/2006/relationships/hyperlink" Target="https://doi.org/10.31083/j.ceog4903057" TargetMode="External"/><Relationship Id="rId156" Type="http://schemas.openxmlformats.org/officeDocument/2006/relationships/hyperlink" Target="https://doi.org/10.3399/bjgp20X708881" TargetMode="External"/><Relationship Id="rId198" Type="http://schemas.openxmlformats.org/officeDocument/2006/relationships/hyperlink" Target="https://doi.org/10.1515/JPEM.2005.18.8.761" TargetMode="External"/><Relationship Id="rId321" Type="http://schemas.openxmlformats.org/officeDocument/2006/relationships/hyperlink" Target="https://doi.org/10.4103/1735-1995.177354" TargetMode="External"/><Relationship Id="rId363" Type="http://schemas.openxmlformats.org/officeDocument/2006/relationships/hyperlink" Target="https://doi.org/10.1016/J.DSX.2007.12.003" TargetMode="External"/><Relationship Id="rId419" Type="http://schemas.openxmlformats.org/officeDocument/2006/relationships/hyperlink" Target="https://doi.org/10.1186/s12884-019-2611-1" TargetMode="External"/><Relationship Id="rId223" Type="http://schemas.openxmlformats.org/officeDocument/2006/relationships/hyperlink" Target="https://doi.org/10.1210/jendso%2Fbvaa032" TargetMode="External"/><Relationship Id="rId430" Type="http://schemas.openxmlformats.org/officeDocument/2006/relationships/hyperlink" Target="https://doi.org/10.1016/j.cyto.2016.12.020" TargetMode="External"/><Relationship Id="rId18" Type="http://schemas.openxmlformats.org/officeDocument/2006/relationships/hyperlink" Target="https://doi.org/10.1093/HUMREP%2F15.4.785" TargetMode="External"/><Relationship Id="rId265" Type="http://schemas.openxmlformats.org/officeDocument/2006/relationships/hyperlink" Target="https://doi.org/10.3109/09513590.2015.1006187" TargetMode="External"/><Relationship Id="rId472" Type="http://schemas.openxmlformats.org/officeDocument/2006/relationships/hyperlink" Target="https://doi.org/10.9790/0853-1602085156" TargetMode="External"/><Relationship Id="rId125" Type="http://schemas.openxmlformats.org/officeDocument/2006/relationships/hyperlink" Target="https://doi.org/10.1177/1043659619856670" TargetMode="External"/><Relationship Id="rId167" Type="http://schemas.openxmlformats.org/officeDocument/2006/relationships/hyperlink" Target="https://doi.org/10.1111/J.1552-6909.2006.00047.X" TargetMode="External"/><Relationship Id="rId332" Type="http://schemas.openxmlformats.org/officeDocument/2006/relationships/hyperlink" Target="https://doi.org/10.1160/TH17-04-0248" TargetMode="External"/><Relationship Id="rId374" Type="http://schemas.openxmlformats.org/officeDocument/2006/relationships/hyperlink" Target="https://doi.org/10.1016/S0015-0282%2816%2955086-9" TargetMode="External"/><Relationship Id="rId71" Type="http://schemas.openxmlformats.org/officeDocument/2006/relationships/hyperlink" Target="https://doi.org/10.1111/jpc.15097" TargetMode="External"/><Relationship Id="rId234" Type="http://schemas.openxmlformats.org/officeDocument/2006/relationships/hyperlink" Target="https://doi.org/10.1111/cen.13310" TargetMode="External"/><Relationship Id="rId2" Type="http://schemas.openxmlformats.org/officeDocument/2006/relationships/hyperlink" Target="https://doi.org/10.53350/pjmhs22165612" TargetMode="External"/><Relationship Id="rId29" Type="http://schemas.openxmlformats.org/officeDocument/2006/relationships/hyperlink" Target="https://doi.org/10.1210/JC.2005-1707" TargetMode="External"/><Relationship Id="rId276" Type="http://schemas.openxmlformats.org/officeDocument/2006/relationships/hyperlink" Target="https://doi.org/10.1111/j.1471-0528.2006.00966.x" TargetMode="External"/><Relationship Id="rId441" Type="http://schemas.openxmlformats.org/officeDocument/2006/relationships/hyperlink" Target="https://doi.org/10.1155/2020%2F6434080" TargetMode="External"/><Relationship Id="rId40" Type="http://schemas.openxmlformats.org/officeDocument/2006/relationships/hyperlink" Target="https://openalex.org/W96216759" TargetMode="External"/><Relationship Id="rId136" Type="http://schemas.openxmlformats.org/officeDocument/2006/relationships/hyperlink" Target="https://doi.org/10.1186/s12905-022-01734-w" TargetMode="External"/><Relationship Id="rId178" Type="http://schemas.openxmlformats.org/officeDocument/2006/relationships/hyperlink" Target="https://doi.org/10.1210/jc.2008-0461" TargetMode="External"/><Relationship Id="rId301" Type="http://schemas.openxmlformats.org/officeDocument/2006/relationships/hyperlink" Target="https://doi.org/10.1530/EJE.1.01840" TargetMode="External"/><Relationship Id="rId343" Type="http://schemas.openxmlformats.org/officeDocument/2006/relationships/hyperlink" Target="https://doi.org/10.1111/j.1365-2265.2004.01973.x" TargetMode="External"/><Relationship Id="rId82" Type="http://schemas.openxmlformats.org/officeDocument/2006/relationships/hyperlink" Target="https://doi.org/10.1055/s-0036-1585457" TargetMode="External"/><Relationship Id="rId203" Type="http://schemas.openxmlformats.org/officeDocument/2006/relationships/hyperlink" Target="https://doi.org/10.1016/J.CONTRACEPTION.2005.09.011" TargetMode="External"/><Relationship Id="rId385" Type="http://schemas.openxmlformats.org/officeDocument/2006/relationships/hyperlink" Target="https://pubmed.ncbi.nlm.nih.gov/24971127" TargetMode="External"/><Relationship Id="rId245" Type="http://schemas.openxmlformats.org/officeDocument/2006/relationships/hyperlink" Target="https://doi.org/10.1080/13625187.2020.1736546" TargetMode="External"/><Relationship Id="rId287" Type="http://schemas.openxmlformats.org/officeDocument/2006/relationships/hyperlink" Target="https://doi.org/10.1111/j.1447-0756.2012.02051.x" TargetMode="External"/><Relationship Id="rId410" Type="http://schemas.openxmlformats.org/officeDocument/2006/relationships/hyperlink" Target="https://doi.org/10.22074/IJFS.2021.135426.1006" TargetMode="External"/><Relationship Id="rId452" Type="http://schemas.openxmlformats.org/officeDocument/2006/relationships/hyperlink" Target="https://doi.org/10.1093/humrep%2Fder154" TargetMode="External"/><Relationship Id="rId105" Type="http://schemas.openxmlformats.org/officeDocument/2006/relationships/hyperlink" Target="https://doi.org/10.1096/fasebj.31.1_supplement.lb374" TargetMode="External"/><Relationship Id="rId147" Type="http://schemas.openxmlformats.org/officeDocument/2006/relationships/hyperlink" Target="https://doi.org/10.3390/jpm11100952" TargetMode="External"/><Relationship Id="rId312" Type="http://schemas.openxmlformats.org/officeDocument/2006/relationships/hyperlink" Target="https://doi.org/10.2337/DC06-0618" TargetMode="External"/><Relationship Id="rId354" Type="http://schemas.openxmlformats.org/officeDocument/2006/relationships/hyperlink" Target="https://doi.org/10.1111/cen.13968" TargetMode="External"/><Relationship Id="rId51" Type="http://schemas.openxmlformats.org/officeDocument/2006/relationships/hyperlink" Target="https://doi.org/10.1016/j.jpag.2019.06.004" TargetMode="External"/><Relationship Id="rId72" Type="http://schemas.openxmlformats.org/officeDocument/2006/relationships/hyperlink" Target="https://doi.org/10.1007/s00737-020-01043-x" TargetMode="External"/><Relationship Id="rId93" Type="http://schemas.openxmlformats.org/officeDocument/2006/relationships/hyperlink" Target="https://doi.org/10.1111/jsm.12284" TargetMode="External"/><Relationship Id="rId189" Type="http://schemas.openxmlformats.org/officeDocument/2006/relationships/hyperlink" Target="https://doi.org/10.1016/j.nut.2014.03.008" TargetMode="External"/><Relationship Id="rId375" Type="http://schemas.openxmlformats.org/officeDocument/2006/relationships/hyperlink" Target="https://doi.org/10.1016/S0015-0282%2816%2956287-6" TargetMode="External"/><Relationship Id="rId396" Type="http://schemas.openxmlformats.org/officeDocument/2006/relationships/hyperlink" Target="https://doi.org/10.1016/j.ejogrb.2020.07.049" TargetMode="External"/><Relationship Id="rId3" Type="http://schemas.openxmlformats.org/officeDocument/2006/relationships/hyperlink" Target="https://doi.org/10.21608/ajnsa.2019.3711.1087" TargetMode="External"/><Relationship Id="rId214" Type="http://schemas.openxmlformats.org/officeDocument/2006/relationships/hyperlink" Target="https://doi.org/10.1210/jc.2014-1135" TargetMode="External"/><Relationship Id="rId235" Type="http://schemas.openxmlformats.org/officeDocument/2006/relationships/hyperlink" Target="https://doi.org/10.1210/clinem%2Fdgaa682" TargetMode="External"/><Relationship Id="rId256" Type="http://schemas.openxmlformats.org/officeDocument/2006/relationships/hyperlink" Target="https://doi.org/10.1016/j.jogoh.2018.10.006" TargetMode="External"/><Relationship Id="rId277" Type="http://schemas.openxmlformats.org/officeDocument/2006/relationships/hyperlink" Target="https://doi.org/10.1016/J.FERTNSTERT.2003.08.012" TargetMode="External"/><Relationship Id="rId298" Type="http://schemas.openxmlformats.org/officeDocument/2006/relationships/hyperlink" Target="https://doi.org/10.1210/JC.2002-021688" TargetMode="External"/><Relationship Id="rId400" Type="http://schemas.openxmlformats.org/officeDocument/2006/relationships/hyperlink" Target="https://doi.org/10.1007/s10815-008-9284-4" TargetMode="External"/><Relationship Id="rId421" Type="http://schemas.openxmlformats.org/officeDocument/2006/relationships/hyperlink" Target="https://doi.org/10.3109/09513590.2016.1138459" TargetMode="External"/><Relationship Id="rId442" Type="http://schemas.openxmlformats.org/officeDocument/2006/relationships/hyperlink" Target="https://doi.org/10.1177/147323000603400109" TargetMode="External"/><Relationship Id="rId463" Type="http://schemas.openxmlformats.org/officeDocument/2006/relationships/hyperlink" Target="https://doi.org/10.1007/s00404-012-2348-9" TargetMode="External"/><Relationship Id="rId116" Type="http://schemas.openxmlformats.org/officeDocument/2006/relationships/hyperlink" Target="https://doi.org/10.1055/s-0038-1667155" TargetMode="External"/><Relationship Id="rId137" Type="http://schemas.openxmlformats.org/officeDocument/2006/relationships/hyperlink" Target="https://doi.org/10.1093/inthealth%2Fihac028" TargetMode="External"/><Relationship Id="rId158" Type="http://schemas.openxmlformats.org/officeDocument/2006/relationships/hyperlink" Target="https://doi.org/10.1186/s12905-022-01734-w" TargetMode="External"/><Relationship Id="rId302" Type="http://schemas.openxmlformats.org/officeDocument/2006/relationships/hyperlink" Target="https://doi.org/10.14310/horm.2002.1553" TargetMode="External"/><Relationship Id="rId323" Type="http://schemas.openxmlformats.org/officeDocument/2006/relationships/hyperlink" Target="https://doi.org/10.1055/s-0033-1363261" TargetMode="External"/><Relationship Id="rId344" Type="http://schemas.openxmlformats.org/officeDocument/2006/relationships/hyperlink" Target="https://pubmed.ncbi.nlm.nih.gov/25473629" TargetMode="External"/><Relationship Id="rId20" Type="http://schemas.openxmlformats.org/officeDocument/2006/relationships/hyperlink" Target="https://doi.org/10.1152/AJPENDO.2001.281.2.E392" TargetMode="External"/><Relationship Id="rId41" Type="http://schemas.openxmlformats.org/officeDocument/2006/relationships/hyperlink" Target="https://doi.org/10.1016/J.NUT.2004.08.017" TargetMode="External"/><Relationship Id="rId62" Type="http://schemas.openxmlformats.org/officeDocument/2006/relationships/hyperlink" Target="https://doi.org/10.3390/ijerph15020376" TargetMode="External"/><Relationship Id="rId83" Type="http://schemas.openxmlformats.org/officeDocument/2006/relationships/hyperlink" Target="https://pubmed.ncbi.nlm.nih.gov/27648099" TargetMode="External"/><Relationship Id="rId179" Type="http://schemas.openxmlformats.org/officeDocument/2006/relationships/hyperlink" Target="https://doi.org/10.1152/ajpendo.00495.2010" TargetMode="External"/><Relationship Id="rId365" Type="http://schemas.openxmlformats.org/officeDocument/2006/relationships/hyperlink" Target="https://doi.org/10.1530/EJE-07-0857" TargetMode="External"/><Relationship Id="rId386" Type="http://schemas.openxmlformats.org/officeDocument/2006/relationships/hyperlink" Target="https://doi.org/10.1016/S1701-2163%2815%2930483-7" TargetMode="External"/><Relationship Id="rId190" Type="http://schemas.openxmlformats.org/officeDocument/2006/relationships/hyperlink" Target="https://doi.org/10.5301/NTM.2014.12407" TargetMode="External"/><Relationship Id="rId204" Type="http://schemas.openxmlformats.org/officeDocument/2006/relationships/hyperlink" Target="https://doi.org/10.1097/TEN.0B013E3181A58772" TargetMode="External"/><Relationship Id="rId225" Type="http://schemas.openxmlformats.org/officeDocument/2006/relationships/hyperlink" Target="https://doi.org/10.1111/ijpo.12500" TargetMode="External"/><Relationship Id="rId246" Type="http://schemas.openxmlformats.org/officeDocument/2006/relationships/hyperlink" Target="https://doi.org/10.1210/JC.2002-020997" TargetMode="External"/><Relationship Id="rId267" Type="http://schemas.openxmlformats.org/officeDocument/2006/relationships/hyperlink" Target="https://doi.org/10.1055/s-0042-119041" TargetMode="External"/><Relationship Id="rId288" Type="http://schemas.openxmlformats.org/officeDocument/2006/relationships/hyperlink" Target="https://doi.org/10.3109/09513590903215581" TargetMode="External"/><Relationship Id="rId411" Type="http://schemas.openxmlformats.org/officeDocument/2006/relationships/hyperlink" Target="https://doi.org/10.1177/0300060519876467" TargetMode="External"/><Relationship Id="rId432" Type="http://schemas.openxmlformats.org/officeDocument/2006/relationships/hyperlink" Target="https://doi.org/10.3109/09513590.2011.588749" TargetMode="External"/><Relationship Id="rId453" Type="http://schemas.openxmlformats.org/officeDocument/2006/relationships/hyperlink" Target="https://doi.org/10.1016/S1472-6483%2810%2961273-4" TargetMode="External"/><Relationship Id="rId474" Type="http://schemas.openxmlformats.org/officeDocument/2006/relationships/hyperlink" Target="https://doi.org/10.1177/2055102915603051" TargetMode="External"/><Relationship Id="rId106" Type="http://schemas.openxmlformats.org/officeDocument/2006/relationships/hyperlink" Target="https://doi.org/10.31083/j.ceog4903057" TargetMode="External"/><Relationship Id="rId127" Type="http://schemas.openxmlformats.org/officeDocument/2006/relationships/hyperlink" Target="https://doi.org/10.1177/0898010111398660" TargetMode="External"/><Relationship Id="rId313" Type="http://schemas.openxmlformats.org/officeDocument/2006/relationships/hyperlink" Target="https://doi.org/10.1210/JC.2002-020997" TargetMode="External"/><Relationship Id="rId10" Type="http://schemas.openxmlformats.org/officeDocument/2006/relationships/hyperlink" Target="https://openalex.org/W2221924240" TargetMode="External"/><Relationship Id="rId31" Type="http://schemas.openxmlformats.org/officeDocument/2006/relationships/hyperlink" Target="https://doi.org/10.1016/j.jpag.2012.07.006" TargetMode="External"/><Relationship Id="rId52" Type="http://schemas.openxmlformats.org/officeDocument/2006/relationships/hyperlink" Target="https://doi.org/10.1186/s12905-020-00994-8" TargetMode="External"/><Relationship Id="rId73" Type="http://schemas.openxmlformats.org/officeDocument/2006/relationships/hyperlink" Target="https://doi.org/10.1155/2013%2F851815" TargetMode="External"/><Relationship Id="rId94" Type="http://schemas.openxmlformats.org/officeDocument/2006/relationships/hyperlink" Target="https://doi.org/10.1016/j.jpsychores.2011.02.005" TargetMode="External"/><Relationship Id="rId148" Type="http://schemas.openxmlformats.org/officeDocument/2006/relationships/hyperlink" Target="https://doi.org/10.1016/j.ando.2020.07.1110" TargetMode="External"/><Relationship Id="rId169" Type="http://schemas.openxmlformats.org/officeDocument/2006/relationships/hyperlink" Target="https://doi.org/10.1111/jan.13300" TargetMode="External"/><Relationship Id="rId334" Type="http://schemas.openxmlformats.org/officeDocument/2006/relationships/hyperlink" Target="https://doi.org/10.1038/s41598-021-86317-9" TargetMode="External"/><Relationship Id="rId355" Type="http://schemas.openxmlformats.org/officeDocument/2006/relationships/hyperlink" Target="https://doi.org/10.1016/j.fertnstert.2019.09.011" TargetMode="External"/><Relationship Id="rId376" Type="http://schemas.openxmlformats.org/officeDocument/2006/relationships/hyperlink" Target="https://doi.org/10.3109/10641959909009612" TargetMode="External"/><Relationship Id="rId397" Type="http://schemas.openxmlformats.org/officeDocument/2006/relationships/hyperlink" Target="https://doi.org/10.1186/s12958-018-0352-z" TargetMode="External"/><Relationship Id="rId4" Type="http://schemas.openxmlformats.org/officeDocument/2006/relationships/hyperlink" Target="https://doi.org/10.3889/oamjms.2018.260" TargetMode="External"/><Relationship Id="rId180" Type="http://schemas.openxmlformats.org/officeDocument/2006/relationships/hyperlink" Target="https://doi.org/10.1111/aogs.12571" TargetMode="External"/><Relationship Id="rId215" Type="http://schemas.openxmlformats.org/officeDocument/2006/relationships/hyperlink" Target="https://doi.org/10.1007/s40618-014-0103-8" TargetMode="External"/><Relationship Id="rId236" Type="http://schemas.openxmlformats.org/officeDocument/2006/relationships/hyperlink" Target="https://doi.org/10.1016/j.fertnstert.2020.08.1396" TargetMode="External"/><Relationship Id="rId257" Type="http://schemas.openxmlformats.org/officeDocument/2006/relationships/hyperlink" Target="https://doi.org/10.1007/s00404-018-4762-0" TargetMode="External"/><Relationship Id="rId278" Type="http://schemas.openxmlformats.org/officeDocument/2006/relationships/hyperlink" Target="https://doi.org/10.1016/J.EJOGRB.2005.05.010" TargetMode="External"/><Relationship Id="rId401" Type="http://schemas.openxmlformats.org/officeDocument/2006/relationships/hyperlink" Target="https://doi.org/10.1177/03000605211018600" TargetMode="External"/><Relationship Id="rId422" Type="http://schemas.openxmlformats.org/officeDocument/2006/relationships/hyperlink" Target="https://doi.org/10.1093/humrep%2Fdeaa190" TargetMode="External"/><Relationship Id="rId443" Type="http://schemas.openxmlformats.org/officeDocument/2006/relationships/hyperlink" Target="https://doi.org/10.1016/j.fertnstert.2007.08.044" TargetMode="External"/><Relationship Id="rId464" Type="http://schemas.openxmlformats.org/officeDocument/2006/relationships/hyperlink" Target="https://doi.org/10.1007/s10815-008-9249-7" TargetMode="External"/><Relationship Id="rId303" Type="http://schemas.openxmlformats.org/officeDocument/2006/relationships/hyperlink" Target="https://doi.org/10.1016/J.MEFS.2014.10.003" TargetMode="External"/><Relationship Id="rId42" Type="http://schemas.openxmlformats.org/officeDocument/2006/relationships/hyperlink" Target="https://doi.org/10.1186/s13098-015-0040-5" TargetMode="External"/><Relationship Id="rId84" Type="http://schemas.openxmlformats.org/officeDocument/2006/relationships/hyperlink" Target="https://doi.org/10.1371/journal.pone.0162911" TargetMode="External"/><Relationship Id="rId138" Type="http://schemas.openxmlformats.org/officeDocument/2006/relationships/hyperlink" Target="https://doi.org/10.1371/journal.pone.0255830" TargetMode="External"/><Relationship Id="rId345" Type="http://schemas.openxmlformats.org/officeDocument/2006/relationships/hyperlink" Target="https://doi.org/10.1210/JC.2005-2250" TargetMode="External"/><Relationship Id="rId387" Type="http://schemas.openxmlformats.org/officeDocument/2006/relationships/hyperlink" Target="https://doi.org/10.1016/J.MEFS.2012.12.005" TargetMode="External"/><Relationship Id="rId191" Type="http://schemas.openxmlformats.org/officeDocument/2006/relationships/hyperlink" Target="https://doi.org/10.1016/J.FERTNSTERT.2003.08.023" TargetMode="External"/><Relationship Id="rId205" Type="http://schemas.openxmlformats.org/officeDocument/2006/relationships/hyperlink" Target="https://doi.org/10.14310/horm.2002.1553" TargetMode="External"/><Relationship Id="rId247" Type="http://schemas.openxmlformats.org/officeDocument/2006/relationships/hyperlink" Target="https://doi.org/10.1210/JCEM.85.9.6792" TargetMode="External"/><Relationship Id="rId412" Type="http://schemas.openxmlformats.org/officeDocument/2006/relationships/hyperlink" Target="https://doi.org/10.1111/j.1479-828X.2011.01295.x" TargetMode="External"/><Relationship Id="rId107" Type="http://schemas.openxmlformats.org/officeDocument/2006/relationships/hyperlink" Target="https://doi.org/10.3390/jcm8101682" TargetMode="External"/><Relationship Id="rId289" Type="http://schemas.openxmlformats.org/officeDocument/2006/relationships/hyperlink" Target="https://doi.org/10.1210/JC.2004-2283" TargetMode="External"/><Relationship Id="rId454" Type="http://schemas.openxmlformats.org/officeDocument/2006/relationships/hyperlink" Target="https://doi.org/10.1056/NEJMOA063971" TargetMode="External"/><Relationship Id="rId11" Type="http://schemas.openxmlformats.org/officeDocument/2006/relationships/hyperlink" Target="https://doi.org/10.1210/jc.2013-4170" TargetMode="External"/><Relationship Id="rId53" Type="http://schemas.openxmlformats.org/officeDocument/2006/relationships/hyperlink" Target="https://doi.org/10.1080/0167482X.2017.1311319" TargetMode="External"/><Relationship Id="rId149" Type="http://schemas.openxmlformats.org/officeDocument/2006/relationships/hyperlink" Target="https://doi.org/10.1186/1472-6874-7-9" TargetMode="External"/><Relationship Id="rId314" Type="http://schemas.openxmlformats.org/officeDocument/2006/relationships/hyperlink" Target="https://doi.org/10.1016/j.atherosclerosis.2007.12.054" TargetMode="External"/><Relationship Id="rId356" Type="http://schemas.openxmlformats.org/officeDocument/2006/relationships/hyperlink" Target="https://doi.org/10.1097/TEN.0B013E3181A58772" TargetMode="External"/><Relationship Id="rId398" Type="http://schemas.openxmlformats.org/officeDocument/2006/relationships/hyperlink" Target="https://doi.org/10.1093/HUMREP%2F16.6.1086" TargetMode="External"/><Relationship Id="rId95" Type="http://schemas.openxmlformats.org/officeDocument/2006/relationships/hyperlink" Target="https://doi.org/10.1080/0167482X.2018.1530210" TargetMode="External"/><Relationship Id="rId160" Type="http://schemas.openxmlformats.org/officeDocument/2006/relationships/hyperlink" Target="https://doi.org/10.1371/journal.pone.0255830" TargetMode="External"/><Relationship Id="rId216" Type="http://schemas.openxmlformats.org/officeDocument/2006/relationships/hyperlink" Target="https://doi.org/10.1080/09513590.2018.1460343" TargetMode="External"/><Relationship Id="rId423" Type="http://schemas.openxmlformats.org/officeDocument/2006/relationships/hyperlink" Target="https://doi.org/10.4103/jhrs.JHRS_149_18" TargetMode="External"/><Relationship Id="rId258" Type="http://schemas.openxmlformats.org/officeDocument/2006/relationships/hyperlink" Target="https://doi.org/10.1046/j.1365-2265.2000.00982.x" TargetMode="External"/><Relationship Id="rId465" Type="http://schemas.openxmlformats.org/officeDocument/2006/relationships/hyperlink" Target="https://doi.org/10.1093/HUMREP%2FDEM033" TargetMode="External"/><Relationship Id="rId22" Type="http://schemas.openxmlformats.org/officeDocument/2006/relationships/hyperlink" Target="https://doi.org/10.1007/BF03345285" TargetMode="External"/><Relationship Id="rId64" Type="http://schemas.openxmlformats.org/officeDocument/2006/relationships/hyperlink" Target="https://doi.org/10.1186/s12955-020-01484-z" TargetMode="External"/><Relationship Id="rId118" Type="http://schemas.openxmlformats.org/officeDocument/2006/relationships/hyperlink" Target="https://doi.org/10.1016/j.jand.2021.11.013" TargetMode="External"/><Relationship Id="rId325" Type="http://schemas.openxmlformats.org/officeDocument/2006/relationships/hyperlink" Target="https://doi.org/10.1016/J.EJOGRB.2018.12.021" TargetMode="External"/><Relationship Id="rId367" Type="http://schemas.openxmlformats.org/officeDocument/2006/relationships/hyperlink" Target="https://doi.org/10.1093/HUMREP%2FDEH700" TargetMode="External"/><Relationship Id="rId171" Type="http://schemas.openxmlformats.org/officeDocument/2006/relationships/hyperlink" Target="https://doi.org/10.1177/2055102915603051" TargetMode="External"/><Relationship Id="rId227" Type="http://schemas.openxmlformats.org/officeDocument/2006/relationships/hyperlink" Target="https://doi.org/10.1155/2018%2F4192940" TargetMode="External"/><Relationship Id="rId269" Type="http://schemas.openxmlformats.org/officeDocument/2006/relationships/hyperlink" Target="https://doi.org/10.1001/ARCHPEDI.160.3.241" TargetMode="External"/><Relationship Id="rId434" Type="http://schemas.openxmlformats.org/officeDocument/2006/relationships/hyperlink" Target="https://doi.org/10.1016/j.fertnstert.2011.05.076" TargetMode="External"/><Relationship Id="rId476" Type="http://schemas.openxmlformats.org/officeDocument/2006/relationships/hyperlink" Target="https://openalex.org/W4253108685" TargetMode="External"/><Relationship Id="rId33" Type="http://schemas.openxmlformats.org/officeDocument/2006/relationships/hyperlink" Target="https://doi.org/10.1016/j.cca.2008.07.028" TargetMode="External"/><Relationship Id="rId129" Type="http://schemas.openxmlformats.org/officeDocument/2006/relationships/hyperlink" Target="https://doi.org/10.1093/fampra/cmu028" TargetMode="External"/><Relationship Id="rId280" Type="http://schemas.openxmlformats.org/officeDocument/2006/relationships/hyperlink" Target="https://doi.org/10.1210/JC.2007-0441" TargetMode="External"/><Relationship Id="rId336" Type="http://schemas.openxmlformats.org/officeDocument/2006/relationships/hyperlink" Target="https://doi.org/10.1155/2018%2F4192940" TargetMode="External"/><Relationship Id="rId75" Type="http://schemas.openxmlformats.org/officeDocument/2006/relationships/hyperlink" Target="https://doi.org/10.1016/j.bbi.2007.07.003" TargetMode="External"/><Relationship Id="rId140" Type="http://schemas.openxmlformats.org/officeDocument/2006/relationships/hyperlink" Target="https://doi.org/10.1111/cen.14604" TargetMode="External"/><Relationship Id="rId182" Type="http://schemas.openxmlformats.org/officeDocument/2006/relationships/hyperlink" Target="https://doi.org/10.1186/1472-6882-13-131" TargetMode="External"/><Relationship Id="rId378" Type="http://schemas.openxmlformats.org/officeDocument/2006/relationships/hyperlink" Target="https://doi.org/10.1093/HUMREP%2F16.2.226" TargetMode="External"/><Relationship Id="rId403" Type="http://schemas.openxmlformats.org/officeDocument/2006/relationships/hyperlink" Target="https://doi.org/10.1127/ANTHRANZ%2F61%2F2003%2F297" TargetMode="External"/><Relationship Id="rId6" Type="http://schemas.openxmlformats.org/officeDocument/2006/relationships/hyperlink" Target="https://doi.org/10.1016/j.fertnstert.2019.03.002" TargetMode="External"/><Relationship Id="rId238" Type="http://schemas.openxmlformats.org/officeDocument/2006/relationships/hyperlink" Target="https://doi.org/10.4103/1735-1995.177354" TargetMode="External"/><Relationship Id="rId445" Type="http://schemas.openxmlformats.org/officeDocument/2006/relationships/hyperlink" Target="https://doi.org/10.1080/09513590.2017.1332174" TargetMode="External"/><Relationship Id="rId291" Type="http://schemas.openxmlformats.org/officeDocument/2006/relationships/hyperlink" Target="https://doi.org/10.1016/j.tjog.2018.04.015" TargetMode="External"/><Relationship Id="rId305" Type="http://schemas.openxmlformats.org/officeDocument/2006/relationships/hyperlink" Target="https://doi.org/10.1210/JC.2003-030424" TargetMode="External"/><Relationship Id="rId347" Type="http://schemas.openxmlformats.org/officeDocument/2006/relationships/hyperlink" Target="https://doi.org/10.1210/jc.2013-1040" TargetMode="External"/><Relationship Id="rId44" Type="http://schemas.openxmlformats.org/officeDocument/2006/relationships/hyperlink" Target="https://doi.org/10.1016/j.ijgo.2009.09.021" TargetMode="External"/><Relationship Id="rId86" Type="http://schemas.openxmlformats.org/officeDocument/2006/relationships/hyperlink" Target="https://doi.org/10.4274/jtsm.galenos.2021.85057" TargetMode="External"/><Relationship Id="rId151" Type="http://schemas.openxmlformats.org/officeDocument/2006/relationships/hyperlink" Target="https://doi.org/10.1016/j.pec.2021.05.038" TargetMode="External"/><Relationship Id="rId389" Type="http://schemas.openxmlformats.org/officeDocument/2006/relationships/hyperlink" Target="https://doi.org/10.1007/s00404-003-0537-2" TargetMode="External"/><Relationship Id="rId193" Type="http://schemas.openxmlformats.org/officeDocument/2006/relationships/hyperlink" Target="https://doi.org/10.5603/GP.2019.0103" TargetMode="External"/><Relationship Id="rId207" Type="http://schemas.openxmlformats.org/officeDocument/2006/relationships/hyperlink" Target="https://doi.org/10.1016/j.jpag.2013.09.011" TargetMode="External"/><Relationship Id="rId249" Type="http://schemas.openxmlformats.org/officeDocument/2006/relationships/hyperlink" Target="https://doi.org/10.1530/EJE.1.01840" TargetMode="External"/><Relationship Id="rId414" Type="http://schemas.openxmlformats.org/officeDocument/2006/relationships/hyperlink" Target="https://doi.org/10.1017/S0967199420000830" TargetMode="External"/><Relationship Id="rId456" Type="http://schemas.openxmlformats.org/officeDocument/2006/relationships/hyperlink" Target="https://doi.org/10.1007/s00404-011-2091-7" TargetMode="External"/><Relationship Id="rId13" Type="http://schemas.openxmlformats.org/officeDocument/2006/relationships/hyperlink" Target="https://doi.org/10.1016/j.bbrc.2008.06.039" TargetMode="External"/><Relationship Id="rId109" Type="http://schemas.openxmlformats.org/officeDocument/2006/relationships/hyperlink" Target="https://doi.org/10.1016/j.sjbs.2020.08.039" TargetMode="External"/><Relationship Id="rId260" Type="http://schemas.openxmlformats.org/officeDocument/2006/relationships/hyperlink" Target="https://doi.org/10.1016/s0015-0282%2899%2900633-0" TargetMode="External"/><Relationship Id="rId316" Type="http://schemas.openxmlformats.org/officeDocument/2006/relationships/hyperlink" Target="https://doi.org/10.1210/JCEM.85.9.6792" TargetMode="External"/><Relationship Id="rId55" Type="http://schemas.openxmlformats.org/officeDocument/2006/relationships/hyperlink" Target="https://doi.org/10.1297/cpe.2022-0010" TargetMode="External"/><Relationship Id="rId97" Type="http://schemas.openxmlformats.org/officeDocument/2006/relationships/hyperlink" Target="https://doi.org/10.1016/j.psyneuen.2008.06.003" TargetMode="External"/><Relationship Id="rId120" Type="http://schemas.openxmlformats.org/officeDocument/2006/relationships/hyperlink" Target="https://doi.org/10.1371/journal.pone.0226074" TargetMode="External"/><Relationship Id="rId358" Type="http://schemas.openxmlformats.org/officeDocument/2006/relationships/hyperlink" Target="https://doi.org/10.3109/01443615.2012.745839" TargetMode="External"/><Relationship Id="rId162" Type="http://schemas.openxmlformats.org/officeDocument/2006/relationships/hyperlink" Target="https://doi.org/10.1002/hpja.349" TargetMode="External"/><Relationship Id="rId218" Type="http://schemas.openxmlformats.org/officeDocument/2006/relationships/hyperlink" Target="https://doi.org/10.1080/09513590.2022.2078805" TargetMode="External"/><Relationship Id="rId425" Type="http://schemas.openxmlformats.org/officeDocument/2006/relationships/hyperlink" Target="https://doi.org/10.1016/j.fertnstert.2007.10.077" TargetMode="External"/><Relationship Id="rId467" Type="http://schemas.openxmlformats.org/officeDocument/2006/relationships/hyperlink" Target="https://doi.org/10.1080/14767050600761893" TargetMode="External"/><Relationship Id="rId271" Type="http://schemas.openxmlformats.org/officeDocument/2006/relationships/hyperlink" Target="https://doi.org/10.1210/JC.2005-1994" TargetMode="External"/><Relationship Id="rId24" Type="http://schemas.openxmlformats.org/officeDocument/2006/relationships/hyperlink" Target="https://doi.org/10.1530/EJE-14-1108" TargetMode="External"/><Relationship Id="rId66" Type="http://schemas.openxmlformats.org/officeDocument/2006/relationships/hyperlink" Target="https://doi.org/10.4103/0366-6999.198916" TargetMode="External"/><Relationship Id="rId131" Type="http://schemas.openxmlformats.org/officeDocument/2006/relationships/hyperlink" Target="https://doi.org/10.1530/EC-17-0053" TargetMode="External"/><Relationship Id="rId327" Type="http://schemas.openxmlformats.org/officeDocument/2006/relationships/hyperlink" Target="https://doi.org/10.1016/j.fertnstert.2010.12.002" TargetMode="External"/><Relationship Id="rId369" Type="http://schemas.openxmlformats.org/officeDocument/2006/relationships/hyperlink" Target="https://pubmed.ncbi.nlm.nih.gov/25473629" TargetMode="External"/><Relationship Id="rId173" Type="http://schemas.openxmlformats.org/officeDocument/2006/relationships/hyperlink" Target="https://doi.org/10.1111/jan.14371" TargetMode="External"/><Relationship Id="rId229" Type="http://schemas.openxmlformats.org/officeDocument/2006/relationships/hyperlink" Target="https://doi.org/10.1111/j.1365-2265.2012.04436.x" TargetMode="External"/><Relationship Id="rId380" Type="http://schemas.openxmlformats.org/officeDocument/2006/relationships/hyperlink" Target="https://doi.org/10.1159/000067719" TargetMode="External"/><Relationship Id="rId436" Type="http://schemas.openxmlformats.org/officeDocument/2006/relationships/hyperlink" Target="https://doi.org/10.1016/j.ajog.2013.05.007" TargetMode="External"/><Relationship Id="rId240" Type="http://schemas.openxmlformats.org/officeDocument/2006/relationships/hyperlink" Target="https://doi.org/10.1160/TH17-04-0248" TargetMode="External"/><Relationship Id="rId478" Type="http://schemas.openxmlformats.org/officeDocument/2006/relationships/printerSettings" Target="../printerSettings/printerSettings2.bin"/><Relationship Id="rId35" Type="http://schemas.openxmlformats.org/officeDocument/2006/relationships/hyperlink" Target="https://doi.org/10.1542/peds.2008-2050" TargetMode="External"/><Relationship Id="rId77" Type="http://schemas.openxmlformats.org/officeDocument/2006/relationships/hyperlink" Target="https://doi.org/10.1210/JC.2003-030562" TargetMode="External"/><Relationship Id="rId100" Type="http://schemas.openxmlformats.org/officeDocument/2006/relationships/hyperlink" Target="https://doi.org/10.1016/j.clnu.2015.02.006" TargetMode="External"/><Relationship Id="rId282" Type="http://schemas.openxmlformats.org/officeDocument/2006/relationships/hyperlink" Target="https://doi.org/10.1016/j.fertnstert.2009.01.114" TargetMode="External"/><Relationship Id="rId338" Type="http://schemas.openxmlformats.org/officeDocument/2006/relationships/hyperlink" Target="https://doi.org/10.1111/ijpo.12500" TargetMode="External"/><Relationship Id="rId8" Type="http://schemas.openxmlformats.org/officeDocument/2006/relationships/hyperlink" Target="https://doi.org/10.1371/journal.pone.0203129" TargetMode="External"/><Relationship Id="rId142" Type="http://schemas.openxmlformats.org/officeDocument/2006/relationships/hyperlink" Target="https://doi.org/10.1111/1747-0080.12670" TargetMode="External"/><Relationship Id="rId184" Type="http://schemas.openxmlformats.org/officeDocument/2006/relationships/hyperlink" Target="https://doi.org/10.1016/j.jad.2019.11.025" TargetMode="External"/><Relationship Id="rId391" Type="http://schemas.openxmlformats.org/officeDocument/2006/relationships/hyperlink" Target="https://doi.org/10.1016/j.ajog.2014.03.035" TargetMode="External"/><Relationship Id="rId405" Type="http://schemas.openxmlformats.org/officeDocument/2006/relationships/hyperlink" Target="https://doi.org/10.1186/s13048-018-0445-5" TargetMode="External"/><Relationship Id="rId447" Type="http://schemas.openxmlformats.org/officeDocument/2006/relationships/hyperlink" Target="https://doi.org/10.1007/s00404-011-2091-7" TargetMode="External"/><Relationship Id="rId251" Type="http://schemas.openxmlformats.org/officeDocument/2006/relationships/hyperlink" Target="https://doi.org/10.1016/j.ijgo.2008.05.017" TargetMode="External"/><Relationship Id="rId46" Type="http://schemas.openxmlformats.org/officeDocument/2006/relationships/hyperlink" Target="https://doi.org/10.1210/jendso%2Fbvab048.891" TargetMode="External"/><Relationship Id="rId293" Type="http://schemas.openxmlformats.org/officeDocument/2006/relationships/hyperlink" Target="https://doi.org/10.1016/j.jogoh.2018.10.006" TargetMode="External"/><Relationship Id="rId307" Type="http://schemas.openxmlformats.org/officeDocument/2006/relationships/hyperlink" Target="https://doi.org/10.3109/09513590.2010.530706" TargetMode="External"/><Relationship Id="rId349" Type="http://schemas.openxmlformats.org/officeDocument/2006/relationships/hyperlink" Target="https://doi.org/10.4183/AEB.2017.84" TargetMode="External"/><Relationship Id="rId88" Type="http://schemas.openxmlformats.org/officeDocument/2006/relationships/hyperlink" Target="https://doi.org/10.4274/npa.y6778" TargetMode="External"/><Relationship Id="rId111" Type="http://schemas.openxmlformats.org/officeDocument/2006/relationships/hyperlink" Target="https://doi.org/10.1080/09513590.2020.1746761" TargetMode="External"/><Relationship Id="rId153" Type="http://schemas.openxmlformats.org/officeDocument/2006/relationships/hyperlink" Target="https://doi.org/10.1055/s-0038-1668086" TargetMode="External"/><Relationship Id="rId195" Type="http://schemas.openxmlformats.org/officeDocument/2006/relationships/hyperlink" Target="https://doi.org/10.1016/j.ejogrb.2021.12.023" TargetMode="External"/><Relationship Id="rId209" Type="http://schemas.openxmlformats.org/officeDocument/2006/relationships/hyperlink" Target="https://doi.org/10.1016/j.contraception.2010.04.002" TargetMode="External"/><Relationship Id="rId360" Type="http://schemas.openxmlformats.org/officeDocument/2006/relationships/hyperlink" Target="https://doi.org/10.1210/JC.2004-1965" TargetMode="External"/><Relationship Id="rId416" Type="http://schemas.openxmlformats.org/officeDocument/2006/relationships/hyperlink" Target="https://doi.org/10.1007/s10815-018-1290-6" TargetMode="External"/><Relationship Id="rId220" Type="http://schemas.openxmlformats.org/officeDocument/2006/relationships/hyperlink" Target="https://doi.org/10.1210/jc.2008-0461" TargetMode="External"/><Relationship Id="rId458" Type="http://schemas.openxmlformats.org/officeDocument/2006/relationships/hyperlink" Target="https://doi.org/10.1007/s10815-013-0090-2" TargetMode="External"/><Relationship Id="rId15" Type="http://schemas.openxmlformats.org/officeDocument/2006/relationships/hyperlink" Target="https://doi.org/10.1007/s11892-006-0056-1" TargetMode="External"/><Relationship Id="rId57" Type="http://schemas.openxmlformats.org/officeDocument/2006/relationships/hyperlink" Target="https://doi.org/10.1530/EC-21-0257" TargetMode="External"/><Relationship Id="rId262" Type="http://schemas.openxmlformats.org/officeDocument/2006/relationships/hyperlink" Target="https://doi.org/10.4103/0366-6999.179783" TargetMode="External"/><Relationship Id="rId318" Type="http://schemas.openxmlformats.org/officeDocument/2006/relationships/hyperlink" Target="https://doi.org/10.2337/dc07-2265" TargetMode="External"/><Relationship Id="rId99" Type="http://schemas.openxmlformats.org/officeDocument/2006/relationships/hyperlink" Target="https://doi.org/10.1016/j.jpag.2013.08.003" TargetMode="External"/><Relationship Id="rId122" Type="http://schemas.openxmlformats.org/officeDocument/2006/relationships/hyperlink" Target="https://doi.org/10.1186/s13048-021-00780-6" TargetMode="External"/><Relationship Id="rId164" Type="http://schemas.openxmlformats.org/officeDocument/2006/relationships/hyperlink" Target="https://doi.org/10.1111/1747-0080.12670" TargetMode="External"/><Relationship Id="rId371" Type="http://schemas.openxmlformats.org/officeDocument/2006/relationships/hyperlink" Target="https://pubmed.ncbi.nlm.nih.gov/19499845" TargetMode="External"/><Relationship Id="rId427" Type="http://schemas.openxmlformats.org/officeDocument/2006/relationships/hyperlink" Target="https://doi.org/10.1093/humrep%2Fdez086" TargetMode="External"/><Relationship Id="rId469" Type="http://schemas.openxmlformats.org/officeDocument/2006/relationships/hyperlink" Target="https://doi.org/10.1093/humrep%2Fder154" TargetMode="External"/><Relationship Id="rId26" Type="http://schemas.openxmlformats.org/officeDocument/2006/relationships/hyperlink" Target="https://doi.org/10.1186/1477-7827-8-142" TargetMode="External"/><Relationship Id="rId231" Type="http://schemas.openxmlformats.org/officeDocument/2006/relationships/hyperlink" Target="https://doi.org/10.1016/j.contraception.2010.02.009" TargetMode="External"/><Relationship Id="rId273" Type="http://schemas.openxmlformats.org/officeDocument/2006/relationships/hyperlink" Target="https://doi.org/10.1210/jc.2011-3061" TargetMode="External"/><Relationship Id="rId329" Type="http://schemas.openxmlformats.org/officeDocument/2006/relationships/hyperlink" Target="https://doi.org/10.1530/EJE-17-0516" TargetMode="External"/><Relationship Id="rId68" Type="http://schemas.openxmlformats.org/officeDocument/2006/relationships/hyperlink" Target="https://doi.org/10.2147/IJWH.S165794" TargetMode="External"/><Relationship Id="rId133" Type="http://schemas.openxmlformats.org/officeDocument/2006/relationships/hyperlink" Target="https://doi.org/10.1186/1472-6874-13-51" TargetMode="External"/><Relationship Id="rId175" Type="http://schemas.openxmlformats.org/officeDocument/2006/relationships/hyperlink" Target="https://doi.org/10.1249/MSS.0b013e31818c6c0c" TargetMode="External"/><Relationship Id="rId340" Type="http://schemas.openxmlformats.org/officeDocument/2006/relationships/hyperlink" Target="https://doi.org/10.1007/s00404-018-4762-0" TargetMode="External"/><Relationship Id="rId200" Type="http://schemas.openxmlformats.org/officeDocument/2006/relationships/hyperlink" Target="https://doi.org/10.1016/j.ijgo.2015.06.065" TargetMode="External"/><Relationship Id="rId382" Type="http://schemas.openxmlformats.org/officeDocument/2006/relationships/hyperlink" Target="https://doi.org/10.1093/HUMREP%2FDEG289" TargetMode="External"/><Relationship Id="rId438" Type="http://schemas.openxmlformats.org/officeDocument/2006/relationships/hyperlink" Target="https://doi.org/10.1186/s12958-018-0438-7" TargetMode="External"/><Relationship Id="rId242" Type="http://schemas.openxmlformats.org/officeDocument/2006/relationships/hyperlink" Target="https://doi.org/10.1007/BF03345790" TargetMode="External"/><Relationship Id="rId284" Type="http://schemas.openxmlformats.org/officeDocument/2006/relationships/hyperlink" Target="https://doi.org/10.1016/j.fertnstert.2010.01.057" TargetMode="External"/><Relationship Id="rId37" Type="http://schemas.openxmlformats.org/officeDocument/2006/relationships/hyperlink" Target="https://doi.org/10.17772/GP%2F59131" TargetMode="External"/><Relationship Id="rId79" Type="http://schemas.openxmlformats.org/officeDocument/2006/relationships/hyperlink" Target="https://doi.org/10.1111/j.1471-0528.2010.02799.x" TargetMode="External"/><Relationship Id="rId102" Type="http://schemas.openxmlformats.org/officeDocument/2006/relationships/hyperlink" Target="https://doi.org/10.1016/j.appet.2016.11.010" TargetMode="External"/><Relationship Id="rId144" Type="http://schemas.openxmlformats.org/officeDocument/2006/relationships/hyperlink" Target="https://doi.org/10.1111/jan.13300" TargetMode="External"/><Relationship Id="rId90" Type="http://schemas.openxmlformats.org/officeDocument/2006/relationships/hyperlink" Target="https://doi.org/10.1093/humrep%2Fder071" TargetMode="External"/><Relationship Id="rId186" Type="http://schemas.openxmlformats.org/officeDocument/2006/relationships/hyperlink" Target="https://doi.org/10.1589/jpts.27.2293" TargetMode="External"/><Relationship Id="rId351" Type="http://schemas.openxmlformats.org/officeDocument/2006/relationships/hyperlink" Target="https://doi.org/10.1186/s12902-017-0155-9" TargetMode="External"/><Relationship Id="rId393" Type="http://schemas.openxmlformats.org/officeDocument/2006/relationships/hyperlink" Target="https://doi.org/10.1093/humrep%2Fdep069" TargetMode="External"/><Relationship Id="rId407" Type="http://schemas.openxmlformats.org/officeDocument/2006/relationships/hyperlink" Target="https://doi.org/10.1016/j.ijgo.2016.03.033" TargetMode="External"/><Relationship Id="rId449" Type="http://schemas.openxmlformats.org/officeDocument/2006/relationships/hyperlink" Target="https://doi.org/10.1016/j.fertnstert.2007.08.044" TargetMode="External"/><Relationship Id="rId211" Type="http://schemas.openxmlformats.org/officeDocument/2006/relationships/hyperlink" Target="https://doi.org/10.1093/HUMREP%2F17.7.1729" TargetMode="External"/><Relationship Id="rId253" Type="http://schemas.openxmlformats.org/officeDocument/2006/relationships/hyperlink" Target="https://doi.org/10.3109/09513590.2010.507283" TargetMode="External"/><Relationship Id="rId295" Type="http://schemas.openxmlformats.org/officeDocument/2006/relationships/hyperlink" Target="https://doi.org/10.1007/s40618-014-0103-8" TargetMode="External"/><Relationship Id="rId309" Type="http://schemas.openxmlformats.org/officeDocument/2006/relationships/hyperlink" Target="https://doi.org/10.1016/j.dsx.2015.10.001" TargetMode="External"/><Relationship Id="rId460" Type="http://schemas.openxmlformats.org/officeDocument/2006/relationships/hyperlink" Target="https://doi.org/10.5005/JP-JOURNALS-10006-1525" TargetMode="External"/><Relationship Id="rId48" Type="http://schemas.openxmlformats.org/officeDocument/2006/relationships/hyperlink" Target="https://doi.org/10.1093/humrep%2Fdev166" TargetMode="External"/><Relationship Id="rId113" Type="http://schemas.openxmlformats.org/officeDocument/2006/relationships/hyperlink" Target="https://doi.org/10.1016/j.fertnstert.2017.04.011" TargetMode="External"/><Relationship Id="rId320" Type="http://schemas.openxmlformats.org/officeDocument/2006/relationships/hyperlink" Target="https://doi.org/10.1016/j.fertnstert.2008.03.082" TargetMode="External"/><Relationship Id="rId155" Type="http://schemas.openxmlformats.org/officeDocument/2006/relationships/hyperlink" Target="https://doi.org/10.1186/s12913-022-08334-2" TargetMode="External"/><Relationship Id="rId197" Type="http://schemas.openxmlformats.org/officeDocument/2006/relationships/hyperlink" Target="https://doi.org/10.3390/jcm10163469" TargetMode="External"/><Relationship Id="rId362" Type="http://schemas.openxmlformats.org/officeDocument/2006/relationships/hyperlink" Target="https://doi.org/10.29252/IJRM.14.12.743" TargetMode="External"/><Relationship Id="rId418" Type="http://schemas.openxmlformats.org/officeDocument/2006/relationships/hyperlink" Target="https://doi.org/10.1089/biores.2017.0040" TargetMode="External"/><Relationship Id="rId222" Type="http://schemas.openxmlformats.org/officeDocument/2006/relationships/hyperlink" Target="https://doi.org/10.1210/JC.2003-031281" TargetMode="External"/><Relationship Id="rId264" Type="http://schemas.openxmlformats.org/officeDocument/2006/relationships/hyperlink" Target="https://doi.org/10.1080/09513590802217027" TargetMode="External"/><Relationship Id="rId471" Type="http://schemas.openxmlformats.org/officeDocument/2006/relationships/hyperlink" Target="https://openalex.org/W2115750705" TargetMode="External"/><Relationship Id="rId17" Type="http://schemas.openxmlformats.org/officeDocument/2006/relationships/hyperlink" Target="https://doi.org/10.1016/j.fertnstert.2013.12.050" TargetMode="External"/><Relationship Id="rId59" Type="http://schemas.openxmlformats.org/officeDocument/2006/relationships/hyperlink" Target="https://doi.org/10.1111/jocd.13563" TargetMode="External"/><Relationship Id="rId124" Type="http://schemas.openxmlformats.org/officeDocument/2006/relationships/hyperlink" Target="https://doi.org/10.1186/1472-6874-7-9" TargetMode="External"/><Relationship Id="rId70" Type="http://schemas.openxmlformats.org/officeDocument/2006/relationships/hyperlink" Target="https://doi.org/10.1016/j.fertnstert.2018.01.038" TargetMode="External"/><Relationship Id="rId166" Type="http://schemas.openxmlformats.org/officeDocument/2006/relationships/hyperlink" Target="https://doi.org/10.1177/1049732320971235" TargetMode="External"/><Relationship Id="rId331" Type="http://schemas.openxmlformats.org/officeDocument/2006/relationships/hyperlink" Target="https://doi.org/10.1210/JC.2004-1405" TargetMode="External"/><Relationship Id="rId373" Type="http://schemas.openxmlformats.org/officeDocument/2006/relationships/hyperlink" Target="https://doi.org/10.1016/0028-2243(82)90097-1" TargetMode="External"/><Relationship Id="rId429" Type="http://schemas.openxmlformats.org/officeDocument/2006/relationships/hyperlink" Target="https://doi.org/10.5152/jtgga.2016.15235" TargetMode="External"/><Relationship Id="rId1" Type="http://schemas.openxmlformats.org/officeDocument/2006/relationships/hyperlink" Target="https://dx.doi.org/10.13005/bpj/2056" TargetMode="External"/><Relationship Id="rId233" Type="http://schemas.openxmlformats.org/officeDocument/2006/relationships/hyperlink" Target="https://doi.org/10.1111/jog.12543" TargetMode="External"/><Relationship Id="rId440" Type="http://schemas.openxmlformats.org/officeDocument/2006/relationships/hyperlink" Target="https://doi.org/10.1080/09513590.2017.1292241" TargetMode="External"/><Relationship Id="rId28" Type="http://schemas.openxmlformats.org/officeDocument/2006/relationships/hyperlink" Target="https://doi.org/10.1210/JC.2004-1843" TargetMode="External"/><Relationship Id="rId275" Type="http://schemas.openxmlformats.org/officeDocument/2006/relationships/hyperlink" Target="https://doi.org/10.1530/eje.0.1470217" TargetMode="External"/><Relationship Id="rId300" Type="http://schemas.openxmlformats.org/officeDocument/2006/relationships/hyperlink" Target="https://doi.org/10.3109/09513590.2015.1101441" TargetMode="External"/><Relationship Id="rId81" Type="http://schemas.openxmlformats.org/officeDocument/2006/relationships/hyperlink" Target="https://doi.org/10.3109/09513590.2015.1018162" TargetMode="External"/><Relationship Id="rId135" Type="http://schemas.openxmlformats.org/officeDocument/2006/relationships/hyperlink" Target="https://doi.org/10.1177/1466424008092230" TargetMode="External"/><Relationship Id="rId177" Type="http://schemas.openxmlformats.org/officeDocument/2006/relationships/hyperlink" Target="https://doi.org/10.1016/J.FERTNSTERT.2004.02.104" TargetMode="External"/><Relationship Id="rId342" Type="http://schemas.openxmlformats.org/officeDocument/2006/relationships/hyperlink" Target="https://doi.org/10.1155/2022%2F9927240" TargetMode="External"/><Relationship Id="rId384" Type="http://schemas.openxmlformats.org/officeDocument/2006/relationships/hyperlink" Target="https://doi.org/10.1080/09513590400007242" TargetMode="External"/><Relationship Id="rId202" Type="http://schemas.openxmlformats.org/officeDocument/2006/relationships/hyperlink" Target="https://doi.org/10.1016/j.tjog.2018.04.015" TargetMode="External"/><Relationship Id="rId244" Type="http://schemas.openxmlformats.org/officeDocument/2006/relationships/hyperlink" Target="https://doi.org/10.1210/jc.2017-01186" TargetMode="External"/><Relationship Id="rId39" Type="http://schemas.openxmlformats.org/officeDocument/2006/relationships/hyperlink" Target="https://doi.org/10.1046/j.1365-2265.1996.658474.x" TargetMode="External"/><Relationship Id="rId286" Type="http://schemas.openxmlformats.org/officeDocument/2006/relationships/hyperlink" Target="https://doi.org/10.1177/1933719113488444" TargetMode="External"/><Relationship Id="rId451" Type="http://schemas.openxmlformats.org/officeDocument/2006/relationships/hyperlink" Target="https://doi.org/10.1007/s10815-013-0090-2" TargetMode="External"/><Relationship Id="rId50" Type="http://schemas.openxmlformats.org/officeDocument/2006/relationships/hyperlink" Target="https://doi.org/10.12891/ceog16312014" TargetMode="External"/><Relationship Id="rId104" Type="http://schemas.openxmlformats.org/officeDocument/2006/relationships/hyperlink" Target="https://doi.org/10.1016/j.psyneuen.2016.08.005" TargetMode="External"/><Relationship Id="rId146" Type="http://schemas.openxmlformats.org/officeDocument/2006/relationships/hyperlink" Target="https://doi.org/10.1111/j.1552-6909.2011.01299.x" TargetMode="External"/><Relationship Id="rId188" Type="http://schemas.openxmlformats.org/officeDocument/2006/relationships/hyperlink" Target="https://doi.org/10.1055/s-0034-1376990" TargetMode="External"/><Relationship Id="rId311" Type="http://schemas.openxmlformats.org/officeDocument/2006/relationships/hyperlink" Target="https://doi.org/10.1007/BF02873575" TargetMode="External"/><Relationship Id="rId353" Type="http://schemas.openxmlformats.org/officeDocument/2006/relationships/hyperlink" Target="https://doi.org/10.1016/j.fertnstert.2016.09.023" TargetMode="External"/><Relationship Id="rId395" Type="http://schemas.openxmlformats.org/officeDocument/2006/relationships/hyperlink" Target="https://doi.org/10.1007/s40618-016-0446-4" TargetMode="External"/><Relationship Id="rId409" Type="http://schemas.openxmlformats.org/officeDocument/2006/relationships/hyperlink" Target="https://doi.org/10.1007/s11033-018-4360-z" TargetMode="External"/><Relationship Id="rId92" Type="http://schemas.openxmlformats.org/officeDocument/2006/relationships/hyperlink" Target="https://doi.org/10.1016/j.jpag.2013.08.003" TargetMode="External"/><Relationship Id="rId213" Type="http://schemas.openxmlformats.org/officeDocument/2006/relationships/hyperlink" Target="https://doi.org/10.3109/09513590.2015.1101441" TargetMode="External"/><Relationship Id="rId420" Type="http://schemas.openxmlformats.org/officeDocument/2006/relationships/hyperlink" Target="https://doi.org/10.1002/uog.7751" TargetMode="External"/><Relationship Id="rId255" Type="http://schemas.openxmlformats.org/officeDocument/2006/relationships/hyperlink" Target="https://doi.org/10.1016/S0015-0282%2803%2902162-9" TargetMode="External"/><Relationship Id="rId297" Type="http://schemas.openxmlformats.org/officeDocument/2006/relationships/hyperlink" Target="https://doi.org/10.1111/j.1365-2265.2012.04436.x" TargetMode="External"/><Relationship Id="rId462" Type="http://schemas.openxmlformats.org/officeDocument/2006/relationships/hyperlink" Target="https://doi.org/10.5005/JP-JOURNALS-10006-1525" TargetMode="External"/><Relationship Id="rId115" Type="http://schemas.openxmlformats.org/officeDocument/2006/relationships/hyperlink" Target="https://doi.org/10.17925/USE.2020.16.2.74" TargetMode="External"/><Relationship Id="rId157" Type="http://schemas.openxmlformats.org/officeDocument/2006/relationships/hyperlink" Target="https://doi.org/10.1186/1472-6874-13-51" TargetMode="External"/><Relationship Id="rId322" Type="http://schemas.openxmlformats.org/officeDocument/2006/relationships/hyperlink" Target="https://doi.org/10.1530/EJE-11-0616" TargetMode="External"/><Relationship Id="rId364" Type="http://schemas.openxmlformats.org/officeDocument/2006/relationships/hyperlink" Target="https://doi.org/10.1111/j.1365-2265.2008.03309.x" TargetMode="External"/><Relationship Id="rId61" Type="http://schemas.openxmlformats.org/officeDocument/2006/relationships/hyperlink" Target="https://doi.org/10.1080/09513590.2016.1254610" TargetMode="External"/><Relationship Id="rId199" Type="http://schemas.openxmlformats.org/officeDocument/2006/relationships/hyperlink" Target="https://doi.org/10.1016/j.fertnstert.2012.06.035" TargetMode="External"/><Relationship Id="rId19" Type="http://schemas.openxmlformats.org/officeDocument/2006/relationships/hyperlink" Target="https://doi.org/10.3109/09513599509160190" TargetMode="External"/><Relationship Id="rId224" Type="http://schemas.openxmlformats.org/officeDocument/2006/relationships/hyperlink" Target="https://doi.org/10.1038/s41598-021-86317-9" TargetMode="External"/><Relationship Id="rId266" Type="http://schemas.openxmlformats.org/officeDocument/2006/relationships/hyperlink" Target="https://doi.org/10.1210/jc.2016-1896" TargetMode="External"/><Relationship Id="rId431" Type="http://schemas.openxmlformats.org/officeDocument/2006/relationships/hyperlink" Target="https://doi.org/10.1111/cen.13919" TargetMode="External"/><Relationship Id="rId473" Type="http://schemas.openxmlformats.org/officeDocument/2006/relationships/hyperlink" Target="https://doi.org/10.1515/ijamh-2013-0335" TargetMode="External"/><Relationship Id="rId30" Type="http://schemas.openxmlformats.org/officeDocument/2006/relationships/hyperlink" Target="https://doi.org/10.1530/EJE-11-0614" TargetMode="External"/><Relationship Id="rId126" Type="http://schemas.openxmlformats.org/officeDocument/2006/relationships/hyperlink" Target="https://doi.org/10.1111/j.1365-2265.2007.02742.x" TargetMode="External"/><Relationship Id="rId168" Type="http://schemas.openxmlformats.org/officeDocument/2006/relationships/hyperlink" Target="https://doi.org/10.1055/s-0041-1727191" TargetMode="External"/><Relationship Id="rId333" Type="http://schemas.openxmlformats.org/officeDocument/2006/relationships/hyperlink" Target="https://doi.org/10.1007/s00404-009-1051-y"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Z55"/>
  <sheetViews>
    <sheetView workbookViewId="0">
      <pane ySplit="1" topLeftCell="A8" activePane="bottomLeft" state="frozen"/>
      <selection pane="bottomLeft" activeCell="F63" sqref="F63"/>
    </sheetView>
  </sheetViews>
  <sheetFormatPr defaultColWidth="9.140625" defaultRowHeight="15" x14ac:dyDescent="0.25"/>
  <cols>
    <col min="1" max="1" width="9.140625" style="7"/>
    <col min="2" max="2" width="10.28515625" style="6" bestFit="1" customWidth="1"/>
    <col min="3" max="3" width="28.7109375" hidden="1" customWidth="1"/>
    <col min="4" max="4" width="101" hidden="1" customWidth="1"/>
    <col min="5" max="5" width="30.28515625" customWidth="1"/>
    <col min="6" max="7" width="13.85546875" customWidth="1"/>
    <col min="8" max="8" width="13.85546875" bestFit="1" customWidth="1"/>
    <col min="9" max="9" width="20.85546875" bestFit="1" customWidth="1"/>
    <col min="10" max="11" width="15.42578125" customWidth="1"/>
    <col min="12" max="13" width="24.28515625" customWidth="1"/>
    <col min="14" max="14" width="19" bestFit="1" customWidth="1"/>
    <col min="15" max="15" width="20.5703125" bestFit="1" customWidth="1"/>
    <col min="16" max="16" width="18.140625" customWidth="1"/>
    <col min="17" max="17" width="23.42578125" customWidth="1"/>
    <col min="18" max="18" width="15.42578125" bestFit="1" customWidth="1"/>
    <col min="19" max="19" width="18" bestFit="1" customWidth="1"/>
    <col min="20" max="20" width="18.85546875" customWidth="1"/>
    <col min="21" max="21" width="26" bestFit="1" customWidth="1"/>
    <col min="22" max="22" width="20.7109375" bestFit="1" customWidth="1"/>
    <col min="23" max="23" width="24.42578125" bestFit="1" customWidth="1"/>
    <col min="24" max="24" width="26.28515625" bestFit="1" customWidth="1"/>
    <col min="25" max="25" width="27.28515625" bestFit="1" customWidth="1"/>
  </cols>
  <sheetData>
    <row r="1" spans="1:26" x14ac:dyDescent="0.25">
      <c r="A1" s="7" t="s">
        <v>1915</v>
      </c>
      <c r="B1" s="6" t="s">
        <v>0</v>
      </c>
      <c r="C1" t="s">
        <v>52</v>
      </c>
      <c r="D1" t="s">
        <v>1</v>
      </c>
      <c r="E1" t="s">
        <v>64</v>
      </c>
      <c r="F1" t="s">
        <v>71</v>
      </c>
      <c r="G1" t="s">
        <v>103</v>
      </c>
      <c r="H1" t="s">
        <v>59</v>
      </c>
      <c r="I1" t="s">
        <v>69</v>
      </c>
      <c r="J1" t="s">
        <v>70</v>
      </c>
      <c r="K1" t="s">
        <v>235</v>
      </c>
      <c r="L1" t="s">
        <v>78</v>
      </c>
      <c r="M1" t="s">
        <v>142</v>
      </c>
      <c r="N1" t="s">
        <v>80</v>
      </c>
      <c r="O1" t="s">
        <v>81</v>
      </c>
      <c r="P1" t="s">
        <v>79</v>
      </c>
      <c r="Q1" t="s">
        <v>85</v>
      </c>
      <c r="R1" t="s">
        <v>88</v>
      </c>
      <c r="S1" t="s">
        <v>89</v>
      </c>
      <c r="T1" t="s">
        <v>90</v>
      </c>
      <c r="U1" t="s">
        <v>124</v>
      </c>
      <c r="V1" t="s">
        <v>125</v>
      </c>
      <c r="W1" t="s">
        <v>139</v>
      </c>
      <c r="X1" t="s">
        <v>116</v>
      </c>
      <c r="Y1" t="s">
        <v>113</v>
      </c>
      <c r="Z1" t="s">
        <v>114</v>
      </c>
    </row>
    <row r="2" spans="1:26" hidden="1" x14ac:dyDescent="0.25">
      <c r="A2" s="7">
        <v>1</v>
      </c>
      <c r="B2" s="6">
        <v>1.1000000000000001</v>
      </c>
      <c r="C2" t="s">
        <v>53</v>
      </c>
      <c r="D2" t="s">
        <v>12</v>
      </c>
      <c r="E2" t="s">
        <v>65</v>
      </c>
      <c r="F2" t="s">
        <v>72</v>
      </c>
      <c r="G2" t="s">
        <v>73</v>
      </c>
      <c r="H2">
        <v>0</v>
      </c>
      <c r="I2">
        <v>2017</v>
      </c>
      <c r="J2">
        <v>2022</v>
      </c>
      <c r="L2" t="s">
        <v>75</v>
      </c>
      <c r="N2" t="s">
        <v>105</v>
      </c>
      <c r="O2" t="s">
        <v>105</v>
      </c>
      <c r="P2" t="s">
        <v>76</v>
      </c>
      <c r="Q2" t="s">
        <v>105</v>
      </c>
      <c r="X2" t="s">
        <v>72</v>
      </c>
    </row>
    <row r="3" spans="1:26" hidden="1" x14ac:dyDescent="0.25">
      <c r="A3" s="7">
        <v>1</v>
      </c>
      <c r="B3" s="6">
        <v>1.2</v>
      </c>
      <c r="C3" t="s">
        <v>53</v>
      </c>
      <c r="D3" t="s">
        <v>13</v>
      </c>
      <c r="E3" t="s">
        <v>65</v>
      </c>
      <c r="F3" t="s">
        <v>72</v>
      </c>
      <c r="G3" t="s">
        <v>73</v>
      </c>
      <c r="H3">
        <v>16</v>
      </c>
      <c r="I3">
        <v>2017</v>
      </c>
      <c r="J3">
        <v>2022</v>
      </c>
      <c r="L3" t="s">
        <v>77</v>
      </c>
      <c r="N3" t="s">
        <v>77</v>
      </c>
      <c r="O3" t="s">
        <v>77</v>
      </c>
      <c r="P3" t="s">
        <v>92</v>
      </c>
      <c r="Q3" t="s">
        <v>77</v>
      </c>
      <c r="X3" t="s">
        <v>72</v>
      </c>
    </row>
    <row r="4" spans="1:26" hidden="1" x14ac:dyDescent="0.25">
      <c r="A4" s="7">
        <v>1</v>
      </c>
      <c r="B4" s="6">
        <v>1.3</v>
      </c>
      <c r="C4" t="s">
        <v>53</v>
      </c>
      <c r="D4" t="s">
        <v>14</v>
      </c>
      <c r="E4" t="s">
        <v>65</v>
      </c>
      <c r="F4" t="s">
        <v>72</v>
      </c>
      <c r="G4" t="s">
        <v>73</v>
      </c>
      <c r="H4">
        <v>7</v>
      </c>
      <c r="I4">
        <v>2017</v>
      </c>
      <c r="J4">
        <v>2022</v>
      </c>
      <c r="L4" t="s">
        <v>91</v>
      </c>
      <c r="N4" t="s">
        <v>82</v>
      </c>
      <c r="O4" t="s">
        <v>83</v>
      </c>
      <c r="P4" t="s">
        <v>84</v>
      </c>
      <c r="Q4" t="s">
        <v>86</v>
      </c>
      <c r="X4" t="s">
        <v>72</v>
      </c>
    </row>
    <row r="5" spans="1:26" hidden="1" x14ac:dyDescent="0.25">
      <c r="A5" s="7">
        <v>1</v>
      </c>
      <c r="B5" s="6" t="s">
        <v>60</v>
      </c>
      <c r="C5" t="s">
        <v>53</v>
      </c>
      <c r="D5" t="s">
        <v>61</v>
      </c>
      <c r="E5" t="s">
        <v>65</v>
      </c>
      <c r="F5" t="s">
        <v>72</v>
      </c>
      <c r="G5" t="s">
        <v>73</v>
      </c>
      <c r="H5">
        <v>27</v>
      </c>
      <c r="I5">
        <v>1990</v>
      </c>
      <c r="J5">
        <v>2022</v>
      </c>
      <c r="L5" t="s">
        <v>87</v>
      </c>
      <c r="P5" t="s">
        <v>92</v>
      </c>
      <c r="R5" t="s">
        <v>92</v>
      </c>
      <c r="S5" t="s">
        <v>92</v>
      </c>
      <c r="T5" t="s">
        <v>92</v>
      </c>
      <c r="X5" t="s">
        <v>72</v>
      </c>
    </row>
    <row r="6" spans="1:26" hidden="1" x14ac:dyDescent="0.25">
      <c r="A6" s="7">
        <v>1</v>
      </c>
      <c r="B6" s="6" t="s">
        <v>63</v>
      </c>
      <c r="C6" t="s">
        <v>53</v>
      </c>
      <c r="D6" t="s">
        <v>62</v>
      </c>
      <c r="E6" t="s">
        <v>65</v>
      </c>
      <c r="F6" t="s">
        <v>72</v>
      </c>
      <c r="G6" t="s">
        <v>73</v>
      </c>
      <c r="H6">
        <v>53</v>
      </c>
      <c r="I6">
        <v>2017</v>
      </c>
      <c r="J6">
        <v>2022</v>
      </c>
      <c r="L6" t="s">
        <v>94</v>
      </c>
      <c r="N6" t="s">
        <v>95</v>
      </c>
      <c r="O6" t="s">
        <v>98</v>
      </c>
      <c r="P6" t="s">
        <v>97</v>
      </c>
      <c r="R6" t="s">
        <v>93</v>
      </c>
      <c r="T6" t="s">
        <v>96</v>
      </c>
      <c r="X6" t="s">
        <v>72</v>
      </c>
    </row>
    <row r="7" spans="1:26" hidden="1" x14ac:dyDescent="0.25">
      <c r="A7" s="7">
        <v>1</v>
      </c>
      <c r="B7" s="6">
        <v>1.6</v>
      </c>
      <c r="C7" t="s">
        <v>53</v>
      </c>
      <c r="D7" t="s">
        <v>2</v>
      </c>
      <c r="E7" t="s">
        <v>65</v>
      </c>
      <c r="F7" t="s">
        <v>73</v>
      </c>
      <c r="G7" t="s">
        <v>72</v>
      </c>
      <c r="H7">
        <v>47</v>
      </c>
      <c r="I7">
        <v>1990</v>
      </c>
      <c r="J7">
        <v>2022</v>
      </c>
      <c r="L7" t="s">
        <v>99</v>
      </c>
      <c r="N7" t="s">
        <v>100</v>
      </c>
      <c r="O7" t="s">
        <v>102</v>
      </c>
      <c r="Q7" t="s">
        <v>101</v>
      </c>
      <c r="X7" t="s">
        <v>72</v>
      </c>
    </row>
    <row r="8" spans="1:26" x14ac:dyDescent="0.25">
      <c r="A8" s="7">
        <v>1</v>
      </c>
      <c r="B8" s="6">
        <v>1.7</v>
      </c>
      <c r="C8" t="s">
        <v>53</v>
      </c>
      <c r="D8" t="s">
        <v>15</v>
      </c>
      <c r="E8" t="s">
        <v>66</v>
      </c>
      <c r="H8">
        <v>0</v>
      </c>
      <c r="X8" t="s">
        <v>72</v>
      </c>
    </row>
    <row r="9" spans="1:26" hidden="1" x14ac:dyDescent="0.25">
      <c r="A9" s="7">
        <v>1</v>
      </c>
      <c r="B9" s="6">
        <v>1.8</v>
      </c>
      <c r="C9" t="s">
        <v>53</v>
      </c>
      <c r="D9" t="s">
        <v>3</v>
      </c>
      <c r="E9" t="s">
        <v>65</v>
      </c>
      <c r="F9" t="s">
        <v>72</v>
      </c>
      <c r="G9" t="s">
        <v>73</v>
      </c>
      <c r="H9">
        <v>20</v>
      </c>
      <c r="I9">
        <v>2017</v>
      </c>
      <c r="J9">
        <v>2022</v>
      </c>
      <c r="L9" t="s">
        <v>104</v>
      </c>
      <c r="N9" t="s">
        <v>105</v>
      </c>
      <c r="O9" t="s">
        <v>105</v>
      </c>
      <c r="P9" t="s">
        <v>106</v>
      </c>
      <c r="Q9" t="s">
        <v>105</v>
      </c>
      <c r="X9" t="s">
        <v>72</v>
      </c>
    </row>
    <row r="10" spans="1:26" hidden="1" x14ac:dyDescent="0.25">
      <c r="A10" s="7">
        <v>1</v>
      </c>
      <c r="B10" s="6" t="s">
        <v>16</v>
      </c>
      <c r="C10" t="s">
        <v>53</v>
      </c>
      <c r="D10" t="s">
        <v>17</v>
      </c>
      <c r="E10" t="s">
        <v>65</v>
      </c>
      <c r="F10" t="s">
        <v>72</v>
      </c>
      <c r="G10" t="s">
        <v>73</v>
      </c>
      <c r="H10">
        <v>18</v>
      </c>
      <c r="I10">
        <v>2016</v>
      </c>
      <c r="J10">
        <v>2022</v>
      </c>
      <c r="L10" t="s">
        <v>107</v>
      </c>
      <c r="N10" t="s">
        <v>105</v>
      </c>
      <c r="O10" t="s">
        <v>105</v>
      </c>
      <c r="P10" t="s">
        <v>108</v>
      </c>
      <c r="Q10" t="s">
        <v>105</v>
      </c>
      <c r="X10" t="s">
        <v>72</v>
      </c>
      <c r="Y10" t="s">
        <v>72</v>
      </c>
    </row>
    <row r="11" spans="1:26" hidden="1" x14ac:dyDescent="0.25">
      <c r="A11" s="7">
        <v>1</v>
      </c>
      <c r="B11" s="6" t="s">
        <v>19</v>
      </c>
      <c r="C11" t="s">
        <v>53</v>
      </c>
      <c r="D11" t="s">
        <v>18</v>
      </c>
      <c r="E11" t="s">
        <v>65</v>
      </c>
      <c r="F11" t="s">
        <v>72</v>
      </c>
      <c r="G11" t="s">
        <v>73</v>
      </c>
      <c r="H11">
        <v>6</v>
      </c>
      <c r="I11">
        <v>2017</v>
      </c>
      <c r="J11">
        <v>2022</v>
      </c>
      <c r="L11" t="s">
        <v>109</v>
      </c>
      <c r="N11" t="s">
        <v>112</v>
      </c>
      <c r="O11" t="s">
        <v>111</v>
      </c>
      <c r="P11" t="s">
        <v>115</v>
      </c>
      <c r="Q11" t="s">
        <v>110</v>
      </c>
      <c r="Z11" t="s">
        <v>72</v>
      </c>
    </row>
    <row r="12" spans="1:26" hidden="1" x14ac:dyDescent="0.25">
      <c r="A12" s="7">
        <v>1</v>
      </c>
      <c r="B12" s="6" t="s">
        <v>22</v>
      </c>
      <c r="C12" t="s">
        <v>53</v>
      </c>
      <c r="D12" t="s">
        <v>20</v>
      </c>
      <c r="E12" t="s">
        <v>65</v>
      </c>
      <c r="F12" t="s">
        <v>72</v>
      </c>
      <c r="G12" t="s">
        <v>73</v>
      </c>
      <c r="H12">
        <v>10</v>
      </c>
      <c r="J12">
        <v>2022</v>
      </c>
      <c r="L12" t="s">
        <v>117</v>
      </c>
      <c r="N12" t="s">
        <v>105</v>
      </c>
      <c r="O12" t="s">
        <v>105</v>
      </c>
      <c r="P12" t="s">
        <v>118</v>
      </c>
      <c r="Q12" t="s">
        <v>105</v>
      </c>
    </row>
    <row r="13" spans="1:26" hidden="1" x14ac:dyDescent="0.25">
      <c r="A13" s="7">
        <v>1</v>
      </c>
      <c r="B13" s="6">
        <v>1.1100000000000001</v>
      </c>
      <c r="C13" t="s">
        <v>53</v>
      </c>
      <c r="D13" t="s">
        <v>21</v>
      </c>
      <c r="E13" t="s">
        <v>65</v>
      </c>
      <c r="F13" t="s">
        <v>73</v>
      </c>
      <c r="G13" t="s">
        <v>72</v>
      </c>
      <c r="H13">
        <v>23</v>
      </c>
      <c r="J13">
        <v>2022</v>
      </c>
      <c r="L13" t="s">
        <v>120</v>
      </c>
      <c r="N13" t="s">
        <v>105</v>
      </c>
      <c r="O13" t="s">
        <v>105</v>
      </c>
      <c r="P13" t="s">
        <v>119</v>
      </c>
      <c r="Q13" t="s">
        <v>105</v>
      </c>
    </row>
    <row r="14" spans="1:26" hidden="1" x14ac:dyDescent="0.25">
      <c r="A14" s="7">
        <v>1</v>
      </c>
      <c r="B14" s="6">
        <v>1.1200000000000001</v>
      </c>
      <c r="C14" t="s">
        <v>53</v>
      </c>
      <c r="D14" t="s">
        <v>23</v>
      </c>
      <c r="E14" t="s">
        <v>65</v>
      </c>
      <c r="F14" t="s">
        <v>73</v>
      </c>
      <c r="G14" t="s">
        <v>72</v>
      </c>
      <c r="H14">
        <v>60</v>
      </c>
      <c r="J14">
        <v>2022</v>
      </c>
      <c r="L14" t="s">
        <v>121</v>
      </c>
      <c r="N14" t="s">
        <v>122</v>
      </c>
      <c r="O14" t="s">
        <v>105</v>
      </c>
      <c r="Q14" t="s">
        <v>105</v>
      </c>
      <c r="R14" t="s">
        <v>123</v>
      </c>
      <c r="U14" t="s">
        <v>126</v>
      </c>
      <c r="V14" t="s">
        <v>127</v>
      </c>
    </row>
    <row r="15" spans="1:26" hidden="1" x14ac:dyDescent="0.25">
      <c r="A15" s="7">
        <v>2</v>
      </c>
      <c r="B15" s="6" t="s">
        <v>67</v>
      </c>
      <c r="C15" t="s">
        <v>54</v>
      </c>
      <c r="D15" t="s">
        <v>68</v>
      </c>
      <c r="E15" t="s">
        <v>65</v>
      </c>
      <c r="F15" t="s">
        <v>72</v>
      </c>
      <c r="G15" t="s">
        <v>73</v>
      </c>
      <c r="H15">
        <v>36</v>
      </c>
      <c r="I15">
        <v>2017</v>
      </c>
      <c r="J15">
        <v>2022</v>
      </c>
      <c r="L15" t="s">
        <v>128</v>
      </c>
      <c r="N15" t="s">
        <v>105</v>
      </c>
      <c r="O15" t="s">
        <v>105</v>
      </c>
      <c r="P15" t="s">
        <v>129</v>
      </c>
      <c r="Q15" t="s">
        <v>105</v>
      </c>
    </row>
    <row r="16" spans="1:26" hidden="1" x14ac:dyDescent="0.25">
      <c r="A16" s="7">
        <v>2</v>
      </c>
      <c r="B16" s="6">
        <v>2.2000000000000002</v>
      </c>
      <c r="C16" t="s">
        <v>54</v>
      </c>
      <c r="D16" t="s">
        <v>24</v>
      </c>
      <c r="E16" t="s">
        <v>65</v>
      </c>
      <c r="F16" t="s">
        <v>72</v>
      </c>
      <c r="G16" t="s">
        <v>73</v>
      </c>
      <c r="H16">
        <v>80</v>
      </c>
      <c r="I16">
        <v>2016</v>
      </c>
      <c r="J16">
        <v>2022</v>
      </c>
      <c r="L16" t="s">
        <v>130</v>
      </c>
      <c r="N16" t="s">
        <v>131</v>
      </c>
      <c r="O16" t="s">
        <v>132</v>
      </c>
      <c r="Q16" t="s">
        <v>130</v>
      </c>
    </row>
    <row r="17" spans="1:26" hidden="1" x14ac:dyDescent="0.25">
      <c r="A17" s="7">
        <v>2</v>
      </c>
      <c r="B17" s="6">
        <v>2.2999999999999998</v>
      </c>
      <c r="C17" t="s">
        <v>54</v>
      </c>
      <c r="D17" t="s">
        <v>25</v>
      </c>
      <c r="E17" t="s">
        <v>65</v>
      </c>
      <c r="F17" t="s">
        <v>73</v>
      </c>
      <c r="G17" t="s">
        <v>72</v>
      </c>
      <c r="H17">
        <v>29</v>
      </c>
      <c r="J17">
        <v>2022</v>
      </c>
      <c r="L17" t="s">
        <v>134</v>
      </c>
      <c r="N17" t="s">
        <v>133</v>
      </c>
      <c r="O17" t="s">
        <v>138</v>
      </c>
      <c r="P17" t="s">
        <v>137</v>
      </c>
      <c r="R17" t="s">
        <v>135</v>
      </c>
      <c r="S17" t="s">
        <v>136</v>
      </c>
      <c r="T17" t="s">
        <v>146</v>
      </c>
      <c r="W17" t="s">
        <v>140</v>
      </c>
    </row>
    <row r="18" spans="1:26" hidden="1" x14ac:dyDescent="0.25">
      <c r="A18" s="7">
        <v>2</v>
      </c>
      <c r="B18" s="6">
        <v>2.4</v>
      </c>
      <c r="C18" t="s">
        <v>54</v>
      </c>
      <c r="D18" t="s">
        <v>26</v>
      </c>
      <c r="E18" t="s">
        <v>65</v>
      </c>
      <c r="F18" t="s">
        <v>73</v>
      </c>
      <c r="G18" t="s">
        <v>72</v>
      </c>
      <c r="H18">
        <v>9</v>
      </c>
      <c r="J18">
        <v>2022</v>
      </c>
      <c r="L18" t="s">
        <v>141</v>
      </c>
      <c r="M18" t="s">
        <v>143</v>
      </c>
      <c r="N18" t="s">
        <v>105</v>
      </c>
      <c r="O18" t="s">
        <v>105</v>
      </c>
      <c r="R18" t="s">
        <v>144</v>
      </c>
      <c r="T18" t="s">
        <v>145</v>
      </c>
    </row>
    <row r="19" spans="1:26" ht="409.5" hidden="1" x14ac:dyDescent="0.25">
      <c r="A19" s="7">
        <v>2</v>
      </c>
      <c r="B19" s="6">
        <v>2.5</v>
      </c>
      <c r="C19" t="s">
        <v>54</v>
      </c>
      <c r="D19" t="s">
        <v>27</v>
      </c>
      <c r="E19" t="s">
        <v>65</v>
      </c>
      <c r="F19" t="s">
        <v>73</v>
      </c>
      <c r="G19" t="s">
        <v>72</v>
      </c>
      <c r="H19">
        <v>14</v>
      </c>
      <c r="J19">
        <v>2022</v>
      </c>
      <c r="L19" s="2" t="s">
        <v>147</v>
      </c>
      <c r="N19" t="s">
        <v>148</v>
      </c>
      <c r="O19" t="s">
        <v>150</v>
      </c>
      <c r="Q19" t="s">
        <v>149</v>
      </c>
      <c r="Y19" t="s">
        <v>72</v>
      </c>
    </row>
    <row r="20" spans="1:26" ht="409.5" hidden="1" x14ac:dyDescent="0.25">
      <c r="A20" s="7">
        <v>2</v>
      </c>
      <c r="B20" s="6" t="s">
        <v>29</v>
      </c>
      <c r="C20" t="s">
        <v>54</v>
      </c>
      <c r="D20" t="s">
        <v>28</v>
      </c>
      <c r="E20" t="s">
        <v>65</v>
      </c>
      <c r="F20" t="s">
        <v>73</v>
      </c>
      <c r="G20" t="s">
        <v>72</v>
      </c>
      <c r="H20">
        <v>41</v>
      </c>
      <c r="I20">
        <v>1990</v>
      </c>
      <c r="J20">
        <v>2022</v>
      </c>
      <c r="L20" s="2" t="s">
        <v>156</v>
      </c>
      <c r="O20" t="s">
        <v>151</v>
      </c>
      <c r="P20" t="s">
        <v>153</v>
      </c>
      <c r="Q20" t="s">
        <v>152</v>
      </c>
    </row>
    <row r="21" spans="1:26" ht="409.5" hidden="1" x14ac:dyDescent="0.25">
      <c r="A21" s="7">
        <v>2</v>
      </c>
      <c r="B21" s="6" t="s">
        <v>10</v>
      </c>
      <c r="C21" t="s">
        <v>54</v>
      </c>
      <c r="D21" t="s">
        <v>4</v>
      </c>
      <c r="E21" t="s">
        <v>65</v>
      </c>
      <c r="F21" t="s">
        <v>73</v>
      </c>
      <c r="G21" t="s">
        <v>72</v>
      </c>
      <c r="H21">
        <v>5</v>
      </c>
      <c r="J21">
        <v>2022</v>
      </c>
      <c r="L21" s="2" t="s">
        <v>154</v>
      </c>
      <c r="N21" t="s">
        <v>105</v>
      </c>
      <c r="P21" t="s">
        <v>155</v>
      </c>
      <c r="Q21" t="s">
        <v>105</v>
      </c>
    </row>
    <row r="22" spans="1:26" x14ac:dyDescent="0.25">
      <c r="A22" s="7">
        <v>2</v>
      </c>
      <c r="B22" s="6" t="s">
        <v>31</v>
      </c>
      <c r="C22" t="s">
        <v>54</v>
      </c>
      <c r="D22" t="s">
        <v>30</v>
      </c>
      <c r="E22" t="s">
        <v>66</v>
      </c>
      <c r="H22">
        <v>0</v>
      </c>
    </row>
    <row r="23" spans="1:26" ht="409.5" hidden="1" x14ac:dyDescent="0.25">
      <c r="A23" s="7">
        <v>2</v>
      </c>
      <c r="B23" s="6" t="s">
        <v>33</v>
      </c>
      <c r="C23" t="s">
        <v>54</v>
      </c>
      <c r="D23" t="s">
        <v>32</v>
      </c>
      <c r="E23" t="s">
        <v>65</v>
      </c>
      <c r="F23" t="s">
        <v>73</v>
      </c>
      <c r="G23" t="s">
        <v>72</v>
      </c>
      <c r="H23">
        <v>28</v>
      </c>
      <c r="I23">
        <v>1990</v>
      </c>
      <c r="J23">
        <v>2022</v>
      </c>
      <c r="L23" s="2" t="s">
        <v>156</v>
      </c>
      <c r="O23" t="s">
        <v>151</v>
      </c>
      <c r="P23" t="s">
        <v>153</v>
      </c>
      <c r="Q23" t="s">
        <v>152</v>
      </c>
    </row>
    <row r="24" spans="1:26" x14ac:dyDescent="0.25">
      <c r="A24" s="7">
        <v>2</v>
      </c>
      <c r="B24" s="6">
        <v>2.7</v>
      </c>
      <c r="C24" t="s">
        <v>54</v>
      </c>
      <c r="D24" t="s">
        <v>34</v>
      </c>
      <c r="E24" t="s">
        <v>66</v>
      </c>
      <c r="H24">
        <v>0</v>
      </c>
    </row>
    <row r="25" spans="1:26" ht="409.5" hidden="1" x14ac:dyDescent="0.25">
      <c r="A25" s="7">
        <v>2</v>
      </c>
      <c r="B25" s="6">
        <v>2.8</v>
      </c>
      <c r="C25" t="s">
        <v>54</v>
      </c>
      <c r="D25" t="s">
        <v>35</v>
      </c>
      <c r="E25" t="s">
        <v>65</v>
      </c>
      <c r="F25" t="s">
        <v>72</v>
      </c>
      <c r="G25" t="s">
        <v>73</v>
      </c>
      <c r="H25">
        <v>1</v>
      </c>
      <c r="I25">
        <v>2017</v>
      </c>
      <c r="J25">
        <v>2022</v>
      </c>
      <c r="L25" s="2" t="s">
        <v>157</v>
      </c>
      <c r="N25" t="s">
        <v>105</v>
      </c>
      <c r="O25" t="s">
        <v>162</v>
      </c>
      <c r="P25" t="s">
        <v>158</v>
      </c>
      <c r="Q25" t="s">
        <v>105</v>
      </c>
    </row>
    <row r="26" spans="1:26" hidden="1" x14ac:dyDescent="0.25">
      <c r="A26" s="7">
        <v>3</v>
      </c>
      <c r="B26" s="6">
        <v>3.1</v>
      </c>
      <c r="C26" t="s">
        <v>55</v>
      </c>
      <c r="D26" t="s">
        <v>39</v>
      </c>
      <c r="E26" t="s">
        <v>65</v>
      </c>
      <c r="F26" t="s">
        <v>72</v>
      </c>
      <c r="G26" t="s">
        <v>73</v>
      </c>
      <c r="H26">
        <v>18</v>
      </c>
      <c r="I26">
        <v>2018</v>
      </c>
      <c r="J26">
        <v>2022</v>
      </c>
      <c r="L26" t="s">
        <v>159</v>
      </c>
      <c r="N26" t="s">
        <v>105</v>
      </c>
      <c r="O26" t="s">
        <v>105</v>
      </c>
      <c r="P26" t="s">
        <v>161</v>
      </c>
      <c r="Q26" t="s">
        <v>160</v>
      </c>
    </row>
    <row r="27" spans="1:26" hidden="1" x14ac:dyDescent="0.25">
      <c r="A27" s="7">
        <v>3</v>
      </c>
      <c r="B27" s="6">
        <v>3.2</v>
      </c>
      <c r="C27" t="s">
        <v>55</v>
      </c>
      <c r="D27" t="s">
        <v>40</v>
      </c>
      <c r="E27" t="s">
        <v>65</v>
      </c>
      <c r="F27" t="s">
        <v>73</v>
      </c>
      <c r="G27" t="s">
        <v>72</v>
      </c>
      <c r="H27">
        <v>0</v>
      </c>
      <c r="J27">
        <v>2022</v>
      </c>
      <c r="L27" t="s">
        <v>164</v>
      </c>
      <c r="N27" t="s">
        <v>163</v>
      </c>
      <c r="R27" t="s">
        <v>166</v>
      </c>
      <c r="T27" t="s">
        <v>165</v>
      </c>
      <c r="W27" t="s">
        <v>167</v>
      </c>
    </row>
    <row r="28" spans="1:26" hidden="1" x14ac:dyDescent="0.25">
      <c r="A28" s="7">
        <v>3</v>
      </c>
      <c r="B28" s="6">
        <v>3.3</v>
      </c>
      <c r="C28" t="s">
        <v>55</v>
      </c>
      <c r="D28" t="s">
        <v>38</v>
      </c>
      <c r="E28" t="s">
        <v>65</v>
      </c>
      <c r="F28" t="s">
        <v>72</v>
      </c>
      <c r="G28" t="s">
        <v>73</v>
      </c>
      <c r="H28">
        <v>12</v>
      </c>
      <c r="I28">
        <v>2017</v>
      </c>
      <c r="J28">
        <v>2022</v>
      </c>
      <c r="L28" t="s">
        <v>168</v>
      </c>
      <c r="N28" t="s">
        <v>105</v>
      </c>
      <c r="O28" t="s">
        <v>105</v>
      </c>
      <c r="P28" t="s">
        <v>161</v>
      </c>
      <c r="Q28" t="s">
        <v>169</v>
      </c>
      <c r="Y28" t="s">
        <v>72</v>
      </c>
    </row>
    <row r="29" spans="1:26" hidden="1" x14ac:dyDescent="0.25">
      <c r="A29" s="7">
        <v>3</v>
      </c>
      <c r="B29" s="6">
        <v>3.4</v>
      </c>
      <c r="C29" t="s">
        <v>55</v>
      </c>
      <c r="D29" t="s">
        <v>37</v>
      </c>
      <c r="E29" t="s">
        <v>65</v>
      </c>
      <c r="F29" t="s">
        <v>72</v>
      </c>
      <c r="G29" t="s">
        <v>73</v>
      </c>
      <c r="H29">
        <v>5</v>
      </c>
      <c r="I29">
        <v>2017</v>
      </c>
      <c r="J29">
        <v>2022</v>
      </c>
      <c r="L29" t="s">
        <v>179</v>
      </c>
      <c r="N29" t="s">
        <v>105</v>
      </c>
      <c r="O29" t="s">
        <v>105</v>
      </c>
      <c r="P29" t="s">
        <v>180</v>
      </c>
      <c r="Q29" t="s">
        <v>105</v>
      </c>
    </row>
    <row r="30" spans="1:26" hidden="1" x14ac:dyDescent="0.25">
      <c r="A30" s="7">
        <v>3</v>
      </c>
      <c r="B30" s="6">
        <v>3.5</v>
      </c>
      <c r="C30" t="s">
        <v>55</v>
      </c>
      <c r="D30" t="s">
        <v>36</v>
      </c>
      <c r="E30" t="s">
        <v>65</v>
      </c>
      <c r="F30" t="s">
        <v>73</v>
      </c>
      <c r="G30" t="s">
        <v>72</v>
      </c>
      <c r="H30">
        <v>70</v>
      </c>
      <c r="J30">
        <v>2022</v>
      </c>
      <c r="L30" t="s">
        <v>237</v>
      </c>
      <c r="P30" t="s">
        <v>92</v>
      </c>
      <c r="R30" t="s">
        <v>92</v>
      </c>
      <c r="S30" t="s">
        <v>92</v>
      </c>
    </row>
    <row r="31" spans="1:26" hidden="1" x14ac:dyDescent="0.25">
      <c r="A31" s="7">
        <v>3</v>
      </c>
      <c r="B31" s="6">
        <v>3.6</v>
      </c>
      <c r="C31" t="s">
        <v>55</v>
      </c>
      <c r="D31" t="s">
        <v>5</v>
      </c>
      <c r="E31" t="s">
        <v>65</v>
      </c>
      <c r="F31" t="s">
        <v>72</v>
      </c>
      <c r="G31" t="s">
        <v>73</v>
      </c>
      <c r="H31">
        <v>7</v>
      </c>
      <c r="J31">
        <v>2022</v>
      </c>
      <c r="K31" t="s">
        <v>236</v>
      </c>
      <c r="L31" t="s">
        <v>238</v>
      </c>
      <c r="N31" t="s">
        <v>240</v>
      </c>
      <c r="O31" t="s">
        <v>240</v>
      </c>
      <c r="P31" t="s">
        <v>240</v>
      </c>
      <c r="Q31" t="s">
        <v>239</v>
      </c>
      <c r="Y31" t="s">
        <v>72</v>
      </c>
    </row>
    <row r="32" spans="1:26" ht="409.5" hidden="1" x14ac:dyDescent="0.25">
      <c r="A32" s="7">
        <v>4</v>
      </c>
      <c r="B32" s="6" t="s">
        <v>241</v>
      </c>
      <c r="C32" t="s">
        <v>56</v>
      </c>
      <c r="D32" t="s">
        <v>41</v>
      </c>
      <c r="E32" t="s">
        <v>65</v>
      </c>
      <c r="F32" t="s">
        <v>73</v>
      </c>
      <c r="G32" t="s">
        <v>72</v>
      </c>
      <c r="H32">
        <v>85</v>
      </c>
      <c r="K32" t="s">
        <v>245</v>
      </c>
      <c r="L32" s="2" t="s">
        <v>242</v>
      </c>
      <c r="N32" t="s">
        <v>105</v>
      </c>
      <c r="O32" t="s">
        <v>105</v>
      </c>
      <c r="P32" t="s">
        <v>243</v>
      </c>
      <c r="Q32" t="s">
        <v>105</v>
      </c>
      <c r="Z32" t="s">
        <v>72</v>
      </c>
    </row>
    <row r="33" spans="1:26" ht="409.5" hidden="1" x14ac:dyDescent="0.25">
      <c r="A33" s="7">
        <v>4</v>
      </c>
      <c r="B33" s="6">
        <v>4.4000000000000004</v>
      </c>
      <c r="C33" t="s">
        <v>56</v>
      </c>
      <c r="D33" t="s">
        <v>42</v>
      </c>
      <c r="E33" t="s">
        <v>65</v>
      </c>
      <c r="F33" t="s">
        <v>73</v>
      </c>
      <c r="G33" t="s">
        <v>72</v>
      </c>
      <c r="H33">
        <v>111</v>
      </c>
      <c r="I33">
        <v>2017</v>
      </c>
      <c r="J33">
        <v>2022</v>
      </c>
      <c r="K33" t="s">
        <v>245</v>
      </c>
      <c r="L33" s="2" t="s">
        <v>242</v>
      </c>
      <c r="N33" t="s">
        <v>105</v>
      </c>
      <c r="O33" t="s">
        <v>105</v>
      </c>
      <c r="P33" t="s">
        <v>243</v>
      </c>
      <c r="Q33" t="s">
        <v>105</v>
      </c>
      <c r="Z33" t="s">
        <v>72</v>
      </c>
    </row>
    <row r="34" spans="1:26" ht="409.5" hidden="1" x14ac:dyDescent="0.25">
      <c r="A34" s="7">
        <v>4</v>
      </c>
      <c r="B34" s="6">
        <v>4.5</v>
      </c>
      <c r="C34" t="s">
        <v>56</v>
      </c>
      <c r="D34" t="s">
        <v>6</v>
      </c>
      <c r="E34" t="s">
        <v>65</v>
      </c>
      <c r="F34" t="s">
        <v>73</v>
      </c>
      <c r="G34" t="s">
        <v>72</v>
      </c>
      <c r="H34">
        <v>17</v>
      </c>
      <c r="I34">
        <v>2012</v>
      </c>
      <c r="J34">
        <v>2022</v>
      </c>
      <c r="K34" t="s">
        <v>246</v>
      </c>
      <c r="L34" s="2" t="s">
        <v>244</v>
      </c>
      <c r="N34" t="s">
        <v>105</v>
      </c>
      <c r="O34" t="s">
        <v>161</v>
      </c>
      <c r="P34" t="s">
        <v>161</v>
      </c>
      <c r="Y34" t="s">
        <v>72</v>
      </c>
    </row>
    <row r="35" spans="1:26" hidden="1" x14ac:dyDescent="0.25">
      <c r="A35" s="7">
        <v>4</v>
      </c>
      <c r="B35" s="6">
        <v>4.5999999999999996</v>
      </c>
      <c r="C35" t="s">
        <v>56</v>
      </c>
      <c r="D35" t="s">
        <v>43</v>
      </c>
      <c r="E35" t="s">
        <v>65</v>
      </c>
      <c r="F35" t="s">
        <v>72</v>
      </c>
      <c r="G35" t="s">
        <v>73</v>
      </c>
      <c r="H35">
        <v>26</v>
      </c>
      <c r="I35">
        <v>2017</v>
      </c>
      <c r="J35">
        <v>2022</v>
      </c>
      <c r="K35" t="s">
        <v>245</v>
      </c>
      <c r="L35" t="s">
        <v>242</v>
      </c>
      <c r="N35" t="s">
        <v>105</v>
      </c>
      <c r="O35" t="s">
        <v>105</v>
      </c>
      <c r="P35" t="s">
        <v>243</v>
      </c>
      <c r="Q35" t="s">
        <v>105</v>
      </c>
      <c r="Z35" t="s">
        <v>72</v>
      </c>
    </row>
    <row r="36" spans="1:26" hidden="1" x14ac:dyDescent="0.25">
      <c r="A36" s="7">
        <v>4</v>
      </c>
      <c r="B36" s="6">
        <v>4.7</v>
      </c>
      <c r="C36" t="s">
        <v>56</v>
      </c>
      <c r="D36" t="s">
        <v>7</v>
      </c>
      <c r="E36" t="s">
        <v>65</v>
      </c>
      <c r="F36" t="s">
        <v>73</v>
      </c>
      <c r="G36" t="s">
        <v>72</v>
      </c>
      <c r="H36">
        <v>29</v>
      </c>
      <c r="J36">
        <v>2022</v>
      </c>
      <c r="L36" t="s">
        <v>247</v>
      </c>
      <c r="N36" t="s">
        <v>250</v>
      </c>
      <c r="O36" t="s">
        <v>248</v>
      </c>
      <c r="Q36" t="s">
        <v>249</v>
      </c>
      <c r="Y36" t="s">
        <v>72</v>
      </c>
      <c r="Z36" t="s">
        <v>72</v>
      </c>
    </row>
    <row r="37" spans="1:26" hidden="1" x14ac:dyDescent="0.25">
      <c r="A37" s="7">
        <v>4</v>
      </c>
      <c r="B37" s="6">
        <v>4.8</v>
      </c>
      <c r="C37" t="s">
        <v>56</v>
      </c>
      <c r="D37" t="s">
        <v>44</v>
      </c>
      <c r="E37" t="s">
        <v>65</v>
      </c>
      <c r="F37" t="s">
        <v>73</v>
      </c>
      <c r="G37" t="s">
        <v>72</v>
      </c>
      <c r="H37">
        <v>8</v>
      </c>
      <c r="J37">
        <v>2022</v>
      </c>
      <c r="L37" t="s">
        <v>237</v>
      </c>
      <c r="N37" t="s">
        <v>105</v>
      </c>
      <c r="O37" t="s">
        <v>105</v>
      </c>
      <c r="P37" t="s">
        <v>92</v>
      </c>
      <c r="Q37" t="s">
        <v>105</v>
      </c>
    </row>
    <row r="38" spans="1:26" hidden="1" x14ac:dyDescent="0.25">
      <c r="A38" s="7">
        <v>4</v>
      </c>
      <c r="B38" s="6">
        <v>4.9000000000000004</v>
      </c>
      <c r="C38" t="s">
        <v>56</v>
      </c>
      <c r="D38" t="s">
        <v>8</v>
      </c>
      <c r="E38" t="s">
        <v>65</v>
      </c>
      <c r="F38" t="s">
        <v>73</v>
      </c>
      <c r="G38" t="s">
        <v>72</v>
      </c>
      <c r="H38">
        <v>10</v>
      </c>
      <c r="J38">
        <v>2022</v>
      </c>
      <c r="L38" t="s">
        <v>280</v>
      </c>
      <c r="N38" t="s">
        <v>105</v>
      </c>
      <c r="O38" t="s">
        <v>105</v>
      </c>
      <c r="P38" t="s">
        <v>161</v>
      </c>
      <c r="Q38" t="s">
        <v>105</v>
      </c>
    </row>
    <row r="39" spans="1:26" hidden="1" x14ac:dyDescent="0.25">
      <c r="A39" s="7">
        <v>4</v>
      </c>
      <c r="B39" s="6" t="s">
        <v>1914</v>
      </c>
      <c r="C39" t="s">
        <v>56</v>
      </c>
      <c r="D39" t="s">
        <v>45</v>
      </c>
      <c r="E39" t="s">
        <v>65</v>
      </c>
      <c r="F39" t="s">
        <v>72</v>
      </c>
      <c r="G39" t="s">
        <v>73</v>
      </c>
      <c r="H39">
        <v>109</v>
      </c>
      <c r="I39">
        <v>2017</v>
      </c>
      <c r="J39">
        <v>2022</v>
      </c>
      <c r="L39" t="s">
        <v>281</v>
      </c>
      <c r="N39" t="s">
        <v>105</v>
      </c>
      <c r="O39" t="s">
        <v>105</v>
      </c>
      <c r="Q39" t="s">
        <v>105</v>
      </c>
    </row>
    <row r="40" spans="1:26" hidden="1" x14ac:dyDescent="0.25">
      <c r="A40" s="7">
        <v>4</v>
      </c>
      <c r="B40" s="6">
        <v>4.1100000000000003</v>
      </c>
      <c r="C40" t="s">
        <v>56</v>
      </c>
      <c r="D40" t="s">
        <v>46</v>
      </c>
      <c r="E40" t="s">
        <v>65</v>
      </c>
      <c r="F40" t="s">
        <v>73</v>
      </c>
      <c r="G40" t="s">
        <v>72</v>
      </c>
      <c r="H40">
        <v>7</v>
      </c>
      <c r="J40">
        <v>2022</v>
      </c>
      <c r="L40" t="s">
        <v>282</v>
      </c>
      <c r="N40" t="s">
        <v>105</v>
      </c>
      <c r="Q40" t="s">
        <v>105</v>
      </c>
    </row>
    <row r="41" spans="1:26" hidden="1" x14ac:dyDescent="0.25">
      <c r="A41" s="7">
        <v>5</v>
      </c>
      <c r="B41" s="6">
        <v>5.0999999999999996</v>
      </c>
      <c r="C41" t="s">
        <v>57</v>
      </c>
      <c r="D41" t="s">
        <v>9</v>
      </c>
      <c r="E41" t="s">
        <v>65</v>
      </c>
      <c r="F41" t="s">
        <v>73</v>
      </c>
      <c r="G41" t="s">
        <v>72</v>
      </c>
      <c r="H41">
        <v>65</v>
      </c>
      <c r="I41">
        <v>2000</v>
      </c>
      <c r="J41">
        <v>2022</v>
      </c>
      <c r="L41" t="s">
        <v>283</v>
      </c>
      <c r="N41" t="s">
        <v>105</v>
      </c>
      <c r="P41" t="s">
        <v>285</v>
      </c>
      <c r="Q41" t="s">
        <v>105</v>
      </c>
      <c r="Y41" t="s">
        <v>72</v>
      </c>
    </row>
    <row r="42" spans="1:26" hidden="1" x14ac:dyDescent="0.25">
      <c r="A42" s="7">
        <v>5</v>
      </c>
      <c r="B42" s="6">
        <v>5.2</v>
      </c>
      <c r="C42" t="s">
        <v>57</v>
      </c>
      <c r="D42" t="s">
        <v>50</v>
      </c>
      <c r="E42" t="s">
        <v>65</v>
      </c>
      <c r="F42" t="s">
        <v>72</v>
      </c>
      <c r="G42" t="s">
        <v>73</v>
      </c>
      <c r="H42">
        <v>0</v>
      </c>
      <c r="I42">
        <v>1990</v>
      </c>
      <c r="J42">
        <v>2022</v>
      </c>
      <c r="L42" t="s">
        <v>284</v>
      </c>
      <c r="N42" t="s">
        <v>105</v>
      </c>
      <c r="O42" t="s">
        <v>105</v>
      </c>
      <c r="P42" t="s">
        <v>286</v>
      </c>
      <c r="Q42" t="s">
        <v>105</v>
      </c>
    </row>
    <row r="43" spans="1:26" hidden="1" x14ac:dyDescent="0.25">
      <c r="A43" s="7">
        <v>5</v>
      </c>
      <c r="B43" s="6">
        <v>5.3</v>
      </c>
      <c r="C43" t="s">
        <v>57</v>
      </c>
      <c r="D43" t="s">
        <v>51</v>
      </c>
      <c r="E43" t="s">
        <v>65</v>
      </c>
      <c r="F43" t="s">
        <v>72</v>
      </c>
      <c r="G43" t="s">
        <v>73</v>
      </c>
      <c r="H43">
        <v>14</v>
      </c>
      <c r="I43">
        <v>2017</v>
      </c>
      <c r="J43">
        <v>2022</v>
      </c>
      <c r="K43" t="s">
        <v>303</v>
      </c>
      <c r="L43" t="s">
        <v>304</v>
      </c>
      <c r="N43" t="s">
        <v>105</v>
      </c>
      <c r="O43" t="s">
        <v>105</v>
      </c>
      <c r="P43" t="s">
        <v>305</v>
      </c>
      <c r="Q43" t="s">
        <v>105</v>
      </c>
    </row>
    <row r="44" spans="1:26" x14ac:dyDescent="0.25">
      <c r="A44" s="7">
        <v>5</v>
      </c>
      <c r="B44" s="6">
        <v>5.4</v>
      </c>
      <c r="C44" t="s">
        <v>57</v>
      </c>
      <c r="D44" t="s">
        <v>58</v>
      </c>
      <c r="E44" t="s">
        <v>65</v>
      </c>
      <c r="F44" t="s">
        <v>72</v>
      </c>
      <c r="H44">
        <v>34</v>
      </c>
      <c r="I44">
        <v>2017</v>
      </c>
      <c r="J44">
        <v>2022</v>
      </c>
      <c r="K44" t="s">
        <v>303</v>
      </c>
      <c r="L44" t="s">
        <v>304</v>
      </c>
      <c r="N44" t="s">
        <v>105</v>
      </c>
      <c r="O44" t="s">
        <v>105</v>
      </c>
      <c r="P44" t="s">
        <v>305</v>
      </c>
      <c r="Q44" t="s">
        <v>105</v>
      </c>
    </row>
    <row r="45" spans="1:26" hidden="1" x14ac:dyDescent="0.25">
      <c r="A45" s="7">
        <v>5</v>
      </c>
      <c r="B45" s="6">
        <v>5.5</v>
      </c>
      <c r="C45" t="s">
        <v>57</v>
      </c>
      <c r="D45" t="s">
        <v>49</v>
      </c>
      <c r="E45" t="s">
        <v>65</v>
      </c>
      <c r="F45" t="s">
        <v>72</v>
      </c>
      <c r="G45" t="s">
        <v>73</v>
      </c>
      <c r="H45">
        <v>12</v>
      </c>
      <c r="I45">
        <v>2017</v>
      </c>
      <c r="J45">
        <v>2022</v>
      </c>
      <c r="K45" t="s">
        <v>303</v>
      </c>
      <c r="L45" t="s">
        <v>304</v>
      </c>
      <c r="N45" t="s">
        <v>105</v>
      </c>
      <c r="O45" t="s">
        <v>105</v>
      </c>
      <c r="P45" t="s">
        <v>305</v>
      </c>
      <c r="Q45" t="s">
        <v>105</v>
      </c>
    </row>
    <row r="46" spans="1:26" hidden="1" x14ac:dyDescent="0.25">
      <c r="A46" s="7">
        <v>5</v>
      </c>
      <c r="B46" s="6">
        <v>5.6</v>
      </c>
      <c r="C46" t="s">
        <v>57</v>
      </c>
      <c r="D46" t="s">
        <v>47</v>
      </c>
      <c r="E46" t="s">
        <v>65</v>
      </c>
      <c r="F46" t="s">
        <v>72</v>
      </c>
      <c r="G46" t="s">
        <v>73</v>
      </c>
      <c r="H46">
        <v>6</v>
      </c>
      <c r="I46">
        <v>2017</v>
      </c>
      <c r="J46">
        <v>2022</v>
      </c>
      <c r="K46" t="s">
        <v>303</v>
      </c>
      <c r="L46" t="s">
        <v>304</v>
      </c>
      <c r="N46" t="s">
        <v>105</v>
      </c>
      <c r="O46" t="s">
        <v>105</v>
      </c>
      <c r="P46" t="s">
        <v>305</v>
      </c>
      <c r="Q46" t="s">
        <v>105</v>
      </c>
    </row>
    <row r="47" spans="1:26" x14ac:dyDescent="0.25">
      <c r="A47" s="7">
        <v>5</v>
      </c>
      <c r="B47" s="6">
        <v>5.7</v>
      </c>
      <c r="C47" t="s">
        <v>57</v>
      </c>
      <c r="D47" t="s">
        <v>48</v>
      </c>
      <c r="E47" t="s">
        <v>66</v>
      </c>
      <c r="H47">
        <v>0</v>
      </c>
      <c r="I47">
        <v>2017</v>
      </c>
      <c r="J47">
        <v>2022</v>
      </c>
      <c r="K47" t="s">
        <v>303</v>
      </c>
      <c r="L47" t="s">
        <v>304</v>
      </c>
      <c r="N47" t="s">
        <v>105</v>
      </c>
      <c r="O47" t="s">
        <v>105</v>
      </c>
      <c r="P47" t="s">
        <v>305</v>
      </c>
      <c r="Q47" t="s">
        <v>105</v>
      </c>
    </row>
    <row r="48" spans="1:26" hidden="1" x14ac:dyDescent="0.25">
      <c r="A48" s="7">
        <v>5</v>
      </c>
      <c r="B48" s="6" t="s">
        <v>287</v>
      </c>
      <c r="C48" t="s">
        <v>57</v>
      </c>
      <c r="D48" t="s">
        <v>293</v>
      </c>
      <c r="E48" t="s">
        <v>65</v>
      </c>
      <c r="F48" t="s">
        <v>72</v>
      </c>
      <c r="G48" t="s">
        <v>73</v>
      </c>
      <c r="H48">
        <v>7</v>
      </c>
      <c r="I48">
        <v>2017</v>
      </c>
      <c r="J48">
        <v>2022</v>
      </c>
      <c r="K48" t="s">
        <v>303</v>
      </c>
      <c r="L48" t="s">
        <v>304</v>
      </c>
      <c r="N48" t="s">
        <v>105</v>
      </c>
      <c r="O48" t="s">
        <v>105</v>
      </c>
      <c r="P48" t="s">
        <v>305</v>
      </c>
      <c r="Q48" t="s">
        <v>105</v>
      </c>
    </row>
    <row r="49" spans="1:17" hidden="1" x14ac:dyDescent="0.25">
      <c r="A49" s="7">
        <v>5</v>
      </c>
      <c r="B49" s="6" t="s">
        <v>288</v>
      </c>
      <c r="C49" t="s">
        <v>57</v>
      </c>
      <c r="D49" t="s">
        <v>294</v>
      </c>
      <c r="E49" t="s">
        <v>65</v>
      </c>
      <c r="F49" t="s">
        <v>72</v>
      </c>
      <c r="G49" t="s">
        <v>73</v>
      </c>
      <c r="H49">
        <v>0</v>
      </c>
      <c r="I49">
        <v>2017</v>
      </c>
      <c r="J49">
        <v>2022</v>
      </c>
      <c r="K49" t="s">
        <v>303</v>
      </c>
      <c r="L49" t="s">
        <v>304</v>
      </c>
      <c r="N49" t="s">
        <v>105</v>
      </c>
      <c r="O49" t="s">
        <v>105</v>
      </c>
      <c r="P49" t="s">
        <v>305</v>
      </c>
      <c r="Q49" t="s">
        <v>105</v>
      </c>
    </row>
    <row r="50" spans="1:17" hidden="1" x14ac:dyDescent="0.25">
      <c r="A50" s="7">
        <v>5</v>
      </c>
      <c r="B50" s="6" t="s">
        <v>289</v>
      </c>
      <c r="C50" t="s">
        <v>57</v>
      </c>
      <c r="D50" t="s">
        <v>295</v>
      </c>
      <c r="E50" t="s">
        <v>65</v>
      </c>
      <c r="F50" t="s">
        <v>72</v>
      </c>
      <c r="G50" t="s">
        <v>73</v>
      </c>
      <c r="H50">
        <v>0</v>
      </c>
      <c r="I50">
        <v>2017</v>
      </c>
      <c r="J50">
        <v>2022</v>
      </c>
      <c r="K50" t="s">
        <v>303</v>
      </c>
      <c r="L50" t="s">
        <v>304</v>
      </c>
      <c r="N50" t="s">
        <v>105</v>
      </c>
      <c r="O50" t="s">
        <v>105</v>
      </c>
      <c r="P50" t="s">
        <v>305</v>
      </c>
      <c r="Q50" t="s">
        <v>105</v>
      </c>
    </row>
    <row r="51" spans="1:17" hidden="1" x14ac:dyDescent="0.25">
      <c r="A51" s="7">
        <v>5</v>
      </c>
      <c r="B51" s="6" t="s">
        <v>290</v>
      </c>
      <c r="C51" t="s">
        <v>57</v>
      </c>
      <c r="D51" t="s">
        <v>296</v>
      </c>
      <c r="E51" t="s">
        <v>65</v>
      </c>
      <c r="F51" t="s">
        <v>72</v>
      </c>
      <c r="G51" t="s">
        <v>73</v>
      </c>
      <c r="H51">
        <v>0</v>
      </c>
      <c r="I51">
        <v>2017</v>
      </c>
      <c r="J51">
        <v>2022</v>
      </c>
      <c r="K51" t="s">
        <v>303</v>
      </c>
      <c r="L51" t="s">
        <v>304</v>
      </c>
      <c r="N51" t="s">
        <v>105</v>
      </c>
      <c r="O51" t="s">
        <v>105</v>
      </c>
      <c r="P51" t="s">
        <v>305</v>
      </c>
      <c r="Q51" t="s">
        <v>105</v>
      </c>
    </row>
    <row r="52" spans="1:17" hidden="1" x14ac:dyDescent="0.25">
      <c r="A52" s="7">
        <v>5</v>
      </c>
      <c r="B52" s="6" t="s">
        <v>291</v>
      </c>
      <c r="C52" t="s">
        <v>57</v>
      </c>
      <c r="D52" t="s">
        <v>297</v>
      </c>
      <c r="E52" t="s">
        <v>65</v>
      </c>
      <c r="F52" t="s">
        <v>72</v>
      </c>
      <c r="G52" t="s">
        <v>73</v>
      </c>
      <c r="H52">
        <v>8</v>
      </c>
      <c r="I52">
        <v>2017</v>
      </c>
      <c r="J52">
        <v>2022</v>
      </c>
      <c r="K52" t="s">
        <v>303</v>
      </c>
      <c r="L52" t="s">
        <v>304</v>
      </c>
      <c r="N52" t="s">
        <v>105</v>
      </c>
      <c r="O52" t="s">
        <v>105</v>
      </c>
      <c r="P52" t="s">
        <v>305</v>
      </c>
      <c r="Q52" t="s">
        <v>105</v>
      </c>
    </row>
    <row r="53" spans="1:17" hidden="1" x14ac:dyDescent="0.25">
      <c r="A53" s="7">
        <v>5</v>
      </c>
      <c r="B53" s="6" t="s">
        <v>292</v>
      </c>
      <c r="C53" t="s">
        <v>57</v>
      </c>
      <c r="D53" t="s">
        <v>298</v>
      </c>
      <c r="E53" t="s">
        <v>65</v>
      </c>
      <c r="F53" t="s">
        <v>73</v>
      </c>
      <c r="G53" t="s">
        <v>72</v>
      </c>
      <c r="H53">
        <v>1</v>
      </c>
      <c r="I53">
        <v>2017</v>
      </c>
      <c r="J53">
        <v>2022</v>
      </c>
      <c r="K53" t="s">
        <v>303</v>
      </c>
      <c r="L53" t="s">
        <v>304</v>
      </c>
      <c r="N53" t="s">
        <v>105</v>
      </c>
      <c r="O53" t="s">
        <v>105</v>
      </c>
      <c r="P53" t="s">
        <v>305</v>
      </c>
      <c r="Q53" t="s">
        <v>105</v>
      </c>
    </row>
    <row r="54" spans="1:17" ht="14.25" customHeight="1" x14ac:dyDescent="0.25">
      <c r="A54" s="7">
        <v>5</v>
      </c>
      <c r="B54" s="6">
        <v>5.8</v>
      </c>
      <c r="C54" t="s">
        <v>57</v>
      </c>
      <c r="D54" t="s">
        <v>300</v>
      </c>
      <c r="E54" t="s">
        <v>66</v>
      </c>
      <c r="H54">
        <v>0</v>
      </c>
      <c r="K54" t="s">
        <v>301</v>
      </c>
    </row>
    <row r="55" spans="1:17" x14ac:dyDescent="0.25">
      <c r="A55" s="7">
        <v>5</v>
      </c>
      <c r="B55" s="6">
        <v>5.9</v>
      </c>
      <c r="C55" t="s">
        <v>57</v>
      </c>
      <c r="D55" t="s">
        <v>299</v>
      </c>
      <c r="E55" t="s">
        <v>66</v>
      </c>
      <c r="H55">
        <v>0</v>
      </c>
      <c r="K55" t="s">
        <v>302</v>
      </c>
    </row>
  </sheetData>
  <autoFilter ref="A1:Z55" xr:uid="{F7782B81-12BF-42D9-8265-749842BB51EA}">
    <filterColumn colId="5">
      <filters blank="1"/>
    </filterColumn>
  </autoFilter>
  <conditionalFormatting sqref="R8:W8 X1:Z1 L9:W22 L1:W7 M23:W23 L24:W37 P38:W38 P39 O40:P41 L54:W1048576 L38:M43 P42:P43 R39:W53">
    <cfRule type="containsText" dxfId="208" priority="93" operator="containsText" text="repeat medline">
      <formula>NOT(ISERROR(SEARCH("repeat medline",L1)))</formula>
    </cfRule>
    <cfRule type="containsText" dxfId="207" priority="94" operator="containsText" text="polyglot">
      <formula>NOT(ISERROR(SEARCH("polyglot",L1)))</formula>
    </cfRule>
  </conditionalFormatting>
  <conditionalFormatting sqref="E1:E15 F9:G9 E17 E22 E24:E1048576">
    <cfRule type="cellIs" dxfId="206" priority="92" operator="equal">
      <formula>"NR"</formula>
    </cfRule>
  </conditionalFormatting>
  <conditionalFormatting sqref="F10:G10">
    <cfRule type="cellIs" dxfId="205" priority="91" operator="equal">
      <formula>"NR"</formula>
    </cfRule>
  </conditionalFormatting>
  <conditionalFormatting sqref="F11:G11">
    <cfRule type="cellIs" dxfId="204" priority="90" operator="equal">
      <formula>"NR"</formula>
    </cfRule>
  </conditionalFormatting>
  <conditionalFormatting sqref="F12:G12">
    <cfRule type="cellIs" dxfId="203" priority="89" operator="equal">
      <formula>"NR"</formula>
    </cfRule>
  </conditionalFormatting>
  <conditionalFormatting sqref="F15:G15">
    <cfRule type="cellIs" dxfId="202" priority="88" operator="equal">
      <formula>"NR"</formula>
    </cfRule>
  </conditionalFormatting>
  <conditionalFormatting sqref="E16">
    <cfRule type="cellIs" dxfId="201" priority="87" operator="equal">
      <formula>"NR"</formula>
    </cfRule>
  </conditionalFormatting>
  <conditionalFormatting sqref="F16:G16">
    <cfRule type="cellIs" dxfId="200" priority="86" operator="equal">
      <formula>"NR"</formula>
    </cfRule>
  </conditionalFormatting>
  <conditionalFormatting sqref="E18">
    <cfRule type="cellIs" dxfId="199" priority="85" operator="equal">
      <formula>"NR"</formula>
    </cfRule>
  </conditionalFormatting>
  <conditionalFormatting sqref="E19">
    <cfRule type="cellIs" dxfId="198" priority="84" operator="equal">
      <formula>"NR"</formula>
    </cfRule>
  </conditionalFormatting>
  <conditionalFormatting sqref="E20">
    <cfRule type="cellIs" dxfId="197" priority="83" operator="equal">
      <formula>"NR"</formula>
    </cfRule>
  </conditionalFormatting>
  <conditionalFormatting sqref="E21">
    <cfRule type="cellIs" dxfId="196" priority="80" operator="equal">
      <formula>"NR"</formula>
    </cfRule>
  </conditionalFormatting>
  <conditionalFormatting sqref="L23">
    <cfRule type="containsText" dxfId="195" priority="78" operator="containsText" text="repeat medline">
      <formula>NOT(ISERROR(SEARCH("repeat medline",L23)))</formula>
    </cfRule>
    <cfRule type="containsText" dxfId="194" priority="79" operator="containsText" text="polyglot">
      <formula>NOT(ISERROR(SEARCH("polyglot",L23)))</formula>
    </cfRule>
  </conditionalFormatting>
  <conditionalFormatting sqref="E23">
    <cfRule type="cellIs" dxfId="193" priority="77" operator="equal">
      <formula>"NR"</formula>
    </cfRule>
  </conditionalFormatting>
  <conditionalFormatting sqref="F25:G25">
    <cfRule type="cellIs" dxfId="192" priority="76" operator="equal">
      <formula>"NR"</formula>
    </cfRule>
  </conditionalFormatting>
  <conditionalFormatting sqref="F26:G26">
    <cfRule type="cellIs" dxfId="191" priority="75" operator="equal">
      <formula>"NR"</formula>
    </cfRule>
  </conditionalFormatting>
  <conditionalFormatting sqref="B38:M39 P38:XFD38 P39 B40:H40 J40:M40 O40:P41 A56:XFD1048576 B41:M42 P42:P43 L43:M43 B43:J43 B44:H53 K53 R39:XFD53 A1:XFD32 B33:XFD37 B54:XFD55">
    <cfRule type="cellIs" dxfId="190" priority="73" operator="equal">
      <formula>"repeat EBSCOhost"</formula>
    </cfRule>
    <cfRule type="cellIs" dxfId="189" priority="74" operator="equal">
      <formula>"Unretrievable"</formula>
    </cfRule>
  </conditionalFormatting>
  <conditionalFormatting sqref="N38:O38">
    <cfRule type="containsText" dxfId="188" priority="71" operator="containsText" text="repeat medline">
      <formula>NOT(ISERROR(SEARCH("repeat medline",N38)))</formula>
    </cfRule>
    <cfRule type="containsText" dxfId="187" priority="72" operator="containsText" text="polyglot">
      <formula>NOT(ISERROR(SEARCH("polyglot",N38)))</formula>
    </cfRule>
  </conditionalFormatting>
  <conditionalFormatting sqref="N38:O38">
    <cfRule type="cellIs" dxfId="186" priority="69" operator="equal">
      <formula>"repeat EBSCOhost"</formula>
    </cfRule>
    <cfRule type="cellIs" dxfId="185" priority="70" operator="equal">
      <formula>"Unretrievable"</formula>
    </cfRule>
  </conditionalFormatting>
  <conditionalFormatting sqref="N39">
    <cfRule type="containsText" dxfId="184" priority="67" operator="containsText" text="repeat medline">
      <formula>NOT(ISERROR(SEARCH("repeat medline",N39)))</formula>
    </cfRule>
    <cfRule type="containsText" dxfId="183" priority="68" operator="containsText" text="polyglot">
      <formula>NOT(ISERROR(SEARCH("polyglot",N39)))</formula>
    </cfRule>
  </conditionalFormatting>
  <conditionalFormatting sqref="N39">
    <cfRule type="cellIs" dxfId="182" priority="65" operator="equal">
      <formula>"repeat EBSCOhost"</formula>
    </cfRule>
    <cfRule type="cellIs" dxfId="181" priority="66" operator="equal">
      <formula>"Unretrievable"</formula>
    </cfRule>
  </conditionalFormatting>
  <conditionalFormatting sqref="O39">
    <cfRule type="containsText" dxfId="180" priority="63" operator="containsText" text="repeat medline">
      <formula>NOT(ISERROR(SEARCH("repeat medline",O39)))</formula>
    </cfRule>
    <cfRule type="containsText" dxfId="179" priority="64" operator="containsText" text="polyglot">
      <formula>NOT(ISERROR(SEARCH("polyglot",O39)))</formula>
    </cfRule>
  </conditionalFormatting>
  <conditionalFormatting sqref="O39">
    <cfRule type="cellIs" dxfId="178" priority="61" operator="equal">
      <formula>"repeat EBSCOhost"</formula>
    </cfRule>
    <cfRule type="cellIs" dxfId="177" priority="62" operator="equal">
      <formula>"Unretrievable"</formula>
    </cfRule>
  </conditionalFormatting>
  <conditionalFormatting sqref="Q39">
    <cfRule type="containsText" dxfId="176" priority="59" operator="containsText" text="repeat medline">
      <formula>NOT(ISERROR(SEARCH("repeat medline",Q39)))</formula>
    </cfRule>
    <cfRule type="containsText" dxfId="175" priority="60" operator="containsText" text="polyglot">
      <formula>NOT(ISERROR(SEARCH("polyglot",Q39)))</formula>
    </cfRule>
  </conditionalFormatting>
  <conditionalFormatting sqref="Q39">
    <cfRule type="cellIs" dxfId="174" priority="57" operator="equal">
      <formula>"repeat EBSCOhost"</formula>
    </cfRule>
    <cfRule type="cellIs" dxfId="173" priority="58" operator="equal">
      <formula>"Unretrievable"</formula>
    </cfRule>
  </conditionalFormatting>
  <conditionalFormatting sqref="N40">
    <cfRule type="containsText" dxfId="172" priority="55" operator="containsText" text="repeat medline">
      <formula>NOT(ISERROR(SEARCH("repeat medline",N40)))</formula>
    </cfRule>
    <cfRule type="containsText" dxfId="171" priority="56" operator="containsText" text="polyglot">
      <formula>NOT(ISERROR(SEARCH("polyglot",N40)))</formula>
    </cfRule>
  </conditionalFormatting>
  <conditionalFormatting sqref="N40">
    <cfRule type="cellIs" dxfId="170" priority="53" operator="equal">
      <formula>"repeat EBSCOhost"</formula>
    </cfRule>
    <cfRule type="cellIs" dxfId="169" priority="54" operator="equal">
      <formula>"Unretrievable"</formula>
    </cfRule>
  </conditionalFormatting>
  <conditionalFormatting sqref="Q40">
    <cfRule type="containsText" dxfId="168" priority="51" operator="containsText" text="repeat medline">
      <formula>NOT(ISERROR(SEARCH("repeat medline",Q40)))</formula>
    </cfRule>
    <cfRule type="containsText" dxfId="167" priority="52" operator="containsText" text="polyglot">
      <formula>NOT(ISERROR(SEARCH("polyglot",Q40)))</formula>
    </cfRule>
  </conditionalFormatting>
  <conditionalFormatting sqref="Q40">
    <cfRule type="cellIs" dxfId="166" priority="49" operator="equal">
      <formula>"repeat EBSCOhost"</formula>
    </cfRule>
    <cfRule type="cellIs" dxfId="165" priority="50" operator="equal">
      <formula>"Unretrievable"</formula>
    </cfRule>
  </conditionalFormatting>
  <conditionalFormatting sqref="Q41">
    <cfRule type="containsText" dxfId="164" priority="47" operator="containsText" text="repeat medline">
      <formula>NOT(ISERROR(SEARCH("repeat medline",Q41)))</formula>
    </cfRule>
    <cfRule type="containsText" dxfId="163" priority="48" operator="containsText" text="polyglot">
      <formula>NOT(ISERROR(SEARCH("polyglot",Q41)))</formula>
    </cfRule>
  </conditionalFormatting>
  <conditionalFormatting sqref="Q41">
    <cfRule type="cellIs" dxfId="162" priority="45" operator="equal">
      <formula>"repeat EBSCOhost"</formula>
    </cfRule>
    <cfRule type="cellIs" dxfId="161" priority="46" operator="equal">
      <formula>"Unretrievable"</formula>
    </cfRule>
  </conditionalFormatting>
  <conditionalFormatting sqref="N41">
    <cfRule type="containsText" dxfId="160" priority="43" operator="containsText" text="repeat medline">
      <formula>NOT(ISERROR(SEARCH("repeat medline",N41)))</formula>
    </cfRule>
    <cfRule type="containsText" dxfId="159" priority="44" operator="containsText" text="polyglot">
      <formula>NOT(ISERROR(SEARCH("polyglot",N41)))</formula>
    </cfRule>
  </conditionalFormatting>
  <conditionalFormatting sqref="N41">
    <cfRule type="cellIs" dxfId="158" priority="41" operator="equal">
      <formula>"repeat EBSCOhost"</formula>
    </cfRule>
    <cfRule type="cellIs" dxfId="157" priority="42" operator="equal">
      <formula>"Unretrievable"</formula>
    </cfRule>
  </conditionalFormatting>
  <conditionalFormatting sqref="N42">
    <cfRule type="containsText" dxfId="156" priority="39" operator="containsText" text="repeat medline">
      <formula>NOT(ISERROR(SEARCH("repeat medline",N42)))</formula>
    </cfRule>
    <cfRule type="containsText" dxfId="155" priority="40" operator="containsText" text="polyglot">
      <formula>NOT(ISERROR(SEARCH("polyglot",N42)))</formula>
    </cfRule>
  </conditionalFormatting>
  <conditionalFormatting sqref="N42">
    <cfRule type="cellIs" dxfId="154" priority="37" operator="equal">
      <formula>"repeat EBSCOhost"</formula>
    </cfRule>
    <cfRule type="cellIs" dxfId="153" priority="38" operator="equal">
      <formula>"Unretrievable"</formula>
    </cfRule>
  </conditionalFormatting>
  <conditionalFormatting sqref="O42">
    <cfRule type="containsText" dxfId="152" priority="35" operator="containsText" text="repeat medline">
      <formula>NOT(ISERROR(SEARCH("repeat medline",O42)))</formula>
    </cfRule>
    <cfRule type="containsText" dxfId="151" priority="36" operator="containsText" text="polyglot">
      <formula>NOT(ISERROR(SEARCH("polyglot",O42)))</formula>
    </cfRule>
  </conditionalFormatting>
  <conditionalFormatting sqref="O42">
    <cfRule type="cellIs" dxfId="150" priority="33" operator="equal">
      <formula>"repeat EBSCOhost"</formula>
    </cfRule>
    <cfRule type="cellIs" dxfId="149" priority="34" operator="equal">
      <formula>"Unretrievable"</formula>
    </cfRule>
  </conditionalFormatting>
  <conditionalFormatting sqref="Q42">
    <cfRule type="containsText" dxfId="148" priority="31" operator="containsText" text="repeat medline">
      <formula>NOT(ISERROR(SEARCH("repeat medline",Q42)))</formula>
    </cfRule>
    <cfRule type="containsText" dxfId="147" priority="32" operator="containsText" text="polyglot">
      <formula>NOT(ISERROR(SEARCH("polyglot",Q42)))</formula>
    </cfRule>
  </conditionalFormatting>
  <conditionalFormatting sqref="Q42">
    <cfRule type="cellIs" dxfId="146" priority="29" operator="equal">
      <formula>"repeat EBSCOhost"</formula>
    </cfRule>
    <cfRule type="cellIs" dxfId="145" priority="30" operator="equal">
      <formula>"Unretrievable"</formula>
    </cfRule>
  </conditionalFormatting>
  <conditionalFormatting sqref="N43:O43">
    <cfRule type="containsText" dxfId="144" priority="27" operator="containsText" text="repeat medline">
      <formula>NOT(ISERROR(SEARCH("repeat medline",N43)))</formula>
    </cfRule>
    <cfRule type="containsText" dxfId="143" priority="28" operator="containsText" text="polyglot">
      <formula>NOT(ISERROR(SEARCH("polyglot",N43)))</formula>
    </cfRule>
  </conditionalFormatting>
  <conditionalFormatting sqref="N43:O43">
    <cfRule type="cellIs" dxfId="142" priority="25" operator="equal">
      <formula>"repeat EBSCOhost"</formula>
    </cfRule>
    <cfRule type="cellIs" dxfId="141" priority="26" operator="equal">
      <formula>"Unretrievable"</formula>
    </cfRule>
  </conditionalFormatting>
  <conditionalFormatting sqref="Q43">
    <cfRule type="containsText" dxfId="140" priority="23" operator="containsText" text="repeat medline">
      <formula>NOT(ISERROR(SEARCH("repeat medline",Q43)))</formula>
    </cfRule>
    <cfRule type="containsText" dxfId="139" priority="24" operator="containsText" text="polyglot">
      <formula>NOT(ISERROR(SEARCH("polyglot",Q43)))</formula>
    </cfRule>
  </conditionalFormatting>
  <conditionalFormatting sqref="Q43">
    <cfRule type="cellIs" dxfId="138" priority="21" operator="equal">
      <formula>"repeat EBSCOhost"</formula>
    </cfRule>
    <cfRule type="cellIs" dxfId="137" priority="22" operator="equal">
      <formula>"Unretrievable"</formula>
    </cfRule>
  </conditionalFormatting>
  <conditionalFormatting sqref="K43:K52">
    <cfRule type="cellIs" dxfId="136" priority="19" operator="equal">
      <formula>"repeat EBSCOhost"</formula>
    </cfRule>
    <cfRule type="cellIs" dxfId="135" priority="20" operator="equal">
      <formula>"Unretrievable"</formula>
    </cfRule>
  </conditionalFormatting>
  <conditionalFormatting sqref="I44:J53">
    <cfRule type="cellIs" dxfId="134" priority="17" operator="equal">
      <formula>"repeat EBSCOhost"</formula>
    </cfRule>
    <cfRule type="cellIs" dxfId="133" priority="18" operator="equal">
      <formula>"Unretrievable"</formula>
    </cfRule>
  </conditionalFormatting>
  <conditionalFormatting sqref="L44:M53 P44:P53">
    <cfRule type="containsText" dxfId="132" priority="15" operator="containsText" text="repeat medline">
      <formula>NOT(ISERROR(SEARCH("repeat medline",L44)))</formula>
    </cfRule>
    <cfRule type="containsText" dxfId="131" priority="16" operator="containsText" text="polyglot">
      <formula>NOT(ISERROR(SEARCH("polyglot",L44)))</formula>
    </cfRule>
  </conditionalFormatting>
  <conditionalFormatting sqref="P44:P53 L44:M53">
    <cfRule type="cellIs" dxfId="130" priority="13" operator="equal">
      <formula>"repeat EBSCOhost"</formula>
    </cfRule>
    <cfRule type="cellIs" dxfId="129" priority="14" operator="equal">
      <formula>"Unretrievable"</formula>
    </cfRule>
  </conditionalFormatting>
  <conditionalFormatting sqref="N44:O53">
    <cfRule type="containsText" dxfId="128" priority="11" operator="containsText" text="repeat medline">
      <formula>NOT(ISERROR(SEARCH("repeat medline",N44)))</formula>
    </cfRule>
    <cfRule type="containsText" dxfId="127" priority="12" operator="containsText" text="polyglot">
      <formula>NOT(ISERROR(SEARCH("polyglot",N44)))</formula>
    </cfRule>
  </conditionalFormatting>
  <conditionalFormatting sqref="N44:O53">
    <cfRule type="cellIs" dxfId="126" priority="9" operator="equal">
      <formula>"repeat EBSCOhost"</formula>
    </cfRule>
    <cfRule type="cellIs" dxfId="125" priority="10" operator="equal">
      <formula>"Unretrievable"</formula>
    </cfRule>
  </conditionalFormatting>
  <conditionalFormatting sqref="Q44:Q53">
    <cfRule type="containsText" dxfId="124" priority="7" operator="containsText" text="repeat medline">
      <formula>NOT(ISERROR(SEARCH("repeat medline",Q44)))</formula>
    </cfRule>
    <cfRule type="containsText" dxfId="123" priority="8" operator="containsText" text="polyglot">
      <formula>NOT(ISERROR(SEARCH("polyglot",Q44)))</formula>
    </cfRule>
  </conditionalFormatting>
  <conditionalFormatting sqref="Q44:Q53">
    <cfRule type="cellIs" dxfId="122" priority="5" operator="equal">
      <formula>"repeat EBSCOhost"</formula>
    </cfRule>
    <cfRule type="cellIs" dxfId="121" priority="6" operator="equal">
      <formula>"Unretrievable"</formula>
    </cfRule>
  </conditionalFormatting>
  <conditionalFormatting sqref="A33:A41">
    <cfRule type="cellIs" dxfId="120" priority="3" operator="equal">
      <formula>"repeat EBSCOhost"</formula>
    </cfRule>
    <cfRule type="cellIs" dxfId="119" priority="4" operator="equal">
      <formula>"Unretrievable"</formula>
    </cfRule>
  </conditionalFormatting>
  <conditionalFormatting sqref="A42:A55">
    <cfRule type="cellIs" dxfId="118" priority="1" operator="equal">
      <formula>"repeat EBSCOhost"</formula>
    </cfRule>
    <cfRule type="cellIs" dxfId="117" priority="2" operator="equal">
      <formula>"Unretrievable"</formula>
    </cfRule>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03CC0-DBB2-4BE4-840B-DB2AD279B08A}">
  <sheetPr codeName="Sheet2" filterMode="1"/>
  <dimension ref="A1:O1262"/>
  <sheetViews>
    <sheetView tabSelected="1" topLeftCell="E1" zoomScale="80" zoomScaleNormal="80" workbookViewId="0">
      <selection activeCell="J1273" sqref="J1273"/>
    </sheetView>
  </sheetViews>
  <sheetFormatPr defaultColWidth="8.7109375" defaultRowHeight="15" x14ac:dyDescent="0.25"/>
  <cols>
    <col min="1" max="1" width="4.85546875" style="1" customWidth="1"/>
    <col min="2" max="2" width="11.140625" style="6" customWidth="1"/>
    <col min="3" max="3" width="16.85546875" style="1" bestFit="1" customWidth="1"/>
    <col min="4" max="4" width="18.7109375" style="1" bestFit="1" customWidth="1"/>
    <col min="5" max="5" width="138" style="8" bestFit="1" customWidth="1"/>
    <col min="6" max="6" width="21.28515625" style="1" bestFit="1" customWidth="1"/>
    <col min="7" max="7" width="10.85546875" style="1" bestFit="1" customWidth="1"/>
    <col min="8" max="8" width="37" style="1" bestFit="1" customWidth="1"/>
    <col min="9" max="9" width="15.85546875" style="1" bestFit="1" customWidth="1"/>
    <col min="10" max="10" width="47" style="1" bestFit="1" customWidth="1"/>
    <col min="11" max="11" width="33.42578125" style="1" customWidth="1"/>
    <col min="12" max="12" width="22.42578125" style="1" bestFit="1" customWidth="1"/>
    <col min="13" max="13" width="8.7109375" style="1"/>
    <col min="14" max="14" width="12.42578125" style="1" bestFit="1" customWidth="1"/>
    <col min="15" max="16384" width="8.7109375" style="1"/>
  </cols>
  <sheetData>
    <row r="1" spans="1:15" x14ac:dyDescent="0.25">
      <c r="A1" s="1" t="s">
        <v>1915</v>
      </c>
      <c r="B1" s="6" t="s">
        <v>74</v>
      </c>
      <c r="C1" s="1" t="s">
        <v>1228</v>
      </c>
      <c r="D1" s="1" t="s">
        <v>1913</v>
      </c>
      <c r="E1" s="8" t="s">
        <v>11</v>
      </c>
      <c r="F1" s="1" t="s">
        <v>944</v>
      </c>
      <c r="G1" s="1" t="s">
        <v>329</v>
      </c>
      <c r="H1" s="1" t="s">
        <v>1360</v>
      </c>
      <c r="I1" s="1" t="s">
        <v>1359</v>
      </c>
      <c r="J1" s="1" t="s">
        <v>1361</v>
      </c>
      <c r="K1" s="1" t="s">
        <v>1472</v>
      </c>
      <c r="L1" s="1" t="s">
        <v>1473</v>
      </c>
      <c r="M1" s="1" t="s">
        <v>1485</v>
      </c>
      <c r="N1" s="1" t="s">
        <v>1517</v>
      </c>
      <c r="O1" s="1" t="s">
        <v>1987</v>
      </c>
    </row>
    <row r="2" spans="1:15" hidden="1" x14ac:dyDescent="0.25">
      <c r="A2" s="1">
        <f>INDEX(rq_evidence_review!A:A, MATCH(B2, rq_evidence_review!B:B, 0))</f>
        <v>1</v>
      </c>
      <c r="B2" s="6">
        <f>rq_evidence_review!B2</f>
        <v>1.1000000000000001</v>
      </c>
      <c r="D2" s="1">
        <f>VLOOKUP(B2,rq_evidence_review!$B$1:$L$55,7,FALSE)</f>
        <v>0</v>
      </c>
      <c r="F2" s="1" t="str">
        <f>IF(ISNUMBER(SEARCH("primary citation", E2)), "primary_citation", "")</f>
        <v/>
      </c>
      <c r="H2" s="1" t="e">
        <f>LEFT(E2, FIND(",", E2) - 1)</f>
        <v>#VALUE!</v>
      </c>
      <c r="I2" s="1" t="str">
        <f>IFERROR(MID(E2, FIND(" 19", E2) + 1, 4), IFERROR(MID(E2, FIND(" 20", E2) + 1, 4), IFERROR(MID(E2, FIND("(19", E2) + 1, 4), IFERROR(MID(E2, FIND("(20", E2) + 1, 4), ""))))</f>
        <v/>
      </c>
      <c r="J2" s="1" t="e">
        <f>H2 &amp; " et al., " &amp; I2</f>
        <v>#VALUE!</v>
      </c>
      <c r="K2" s="1" t="str">
        <f t="shared" ref="K2:K7" si="0">ExtractDOI(E2)</f>
        <v/>
      </c>
      <c r="L2" s="1" t="str">
        <f>ExtractPMID(E2)</f>
        <v/>
      </c>
    </row>
    <row r="3" spans="1:15" ht="30" hidden="1" x14ac:dyDescent="0.25">
      <c r="A3" s="1">
        <f>INDEX(rq_evidence_review!A:A, MATCH(B3, rq_evidence_review!B:B, 0))</f>
        <v>1</v>
      </c>
      <c r="B3" s="6">
        <f>rq_evidence_review!B3</f>
        <v>1.2</v>
      </c>
      <c r="C3" s="1">
        <v>1</v>
      </c>
      <c r="D3" s="1">
        <f>VLOOKUP(B3,rq_evidence_review!$B$1:$L$55,7,FALSE)</f>
        <v>16</v>
      </c>
      <c r="E3" s="8" t="s">
        <v>306</v>
      </c>
      <c r="F3" s="1" t="str">
        <f t="shared" ref="F3:F66" si="1">IF(ISNUMBER(SEARCH("primary citation", E3)), "primary_citation", "")</f>
        <v/>
      </c>
      <c r="H3" s="1" t="str">
        <f t="shared" ref="H3:H66" si="2">LEFT(E3, FIND(",", E3) - 1)</f>
        <v>Sathyapalan T</v>
      </c>
      <c r="I3" s="1" t="str">
        <f>ExtractYear(E3)</f>
        <v>2017</v>
      </c>
      <c r="J3" s="1" t="str">
        <f t="shared" ref="J3:J66" si="3">H3 &amp; " et al., " &amp; I3</f>
        <v>Sathyapalan T et al., 2017</v>
      </c>
      <c r="K3" s="1" t="str">
        <f t="shared" si="0"/>
        <v>10.1038/s41598-017-03945-w</v>
      </c>
      <c r="L3" s="1" t="str">
        <f t="shared" ref="L3:L66" si="4">ExtractPMID(E3)</f>
        <v>28620242</v>
      </c>
    </row>
    <row r="4" spans="1:15" ht="30" hidden="1" x14ac:dyDescent="0.25">
      <c r="A4" s="1">
        <f>INDEX(rq_evidence_review!A:A, MATCH(B4, rq_evidence_review!B:B, 0))</f>
        <v>1</v>
      </c>
      <c r="B4" s="6">
        <v>1.2</v>
      </c>
      <c r="C4" s="1">
        <f>C3+1</f>
        <v>2</v>
      </c>
      <c r="D4" s="1">
        <f>VLOOKUP(B4,rq_evidence_review!$B$1:$L$55,7,FALSE)</f>
        <v>16</v>
      </c>
      <c r="E4" s="8" t="s">
        <v>307</v>
      </c>
      <c r="F4" s="1" t="str">
        <f t="shared" si="1"/>
        <v/>
      </c>
      <c r="H4" s="1" t="str">
        <f t="shared" si="2"/>
        <v>Bansal</v>
      </c>
      <c r="I4" s="1" t="str">
        <f t="shared" ref="I4:I67" si="5">ExtractYear(E4)</f>
        <v>2020</v>
      </c>
      <c r="J4" s="1" t="str">
        <f t="shared" si="3"/>
        <v>Bansal et al., 2020</v>
      </c>
      <c r="K4" s="1" t="str">
        <f t="shared" si="0"/>
        <v>10.1111/dth.13974</v>
      </c>
      <c r="L4" s="1" t="str">
        <f t="shared" si="4"/>
        <v/>
      </c>
    </row>
    <row r="5" spans="1:15" ht="30" hidden="1" x14ac:dyDescent="0.25">
      <c r="A5" s="1">
        <f>INDEX(rq_evidence_review!A:A, MATCH(B5, rq_evidence_review!B:B, 0))</f>
        <v>1</v>
      </c>
      <c r="B5" s="6">
        <v>1.2</v>
      </c>
      <c r="C5" s="1">
        <f t="shared" ref="C5:C68" si="6">C4+1</f>
        <v>3</v>
      </c>
      <c r="D5" s="1">
        <f>VLOOKUP(B5,rq_evidence_review!$B$1:$L$55,7,FALSE)</f>
        <v>16</v>
      </c>
      <c r="E5" s="8" t="s">
        <v>308</v>
      </c>
      <c r="F5" s="1" t="str">
        <f t="shared" si="1"/>
        <v/>
      </c>
      <c r="H5" s="1" t="str">
        <f t="shared" si="2"/>
        <v>Imran H. J</v>
      </c>
      <c r="I5" s="1" t="str">
        <f t="shared" si="5"/>
        <v>2020</v>
      </c>
      <c r="J5" s="1" t="str">
        <f t="shared" si="3"/>
        <v>Imran H. J et al., 2020</v>
      </c>
      <c r="K5" s="1" t="str">
        <f t="shared" si="0"/>
        <v>10.13005/bpj/2056</v>
      </c>
      <c r="L5" s="1" t="str">
        <f t="shared" si="4"/>
        <v/>
      </c>
    </row>
    <row r="6" spans="1:15" ht="45" hidden="1" x14ac:dyDescent="0.25">
      <c r="A6" s="1">
        <f>INDEX(rq_evidence_review!A:A, MATCH(B6, rq_evidence_review!B:B, 0))</f>
        <v>1</v>
      </c>
      <c r="B6" s="6">
        <v>1.2</v>
      </c>
      <c r="C6" s="1">
        <f t="shared" si="6"/>
        <v>4</v>
      </c>
      <c r="D6" s="1">
        <f>VLOOKUP(B6,rq_evidence_review!$B$1:$L$55,7,FALSE)</f>
        <v>16</v>
      </c>
      <c r="E6" s="8" t="s">
        <v>309</v>
      </c>
      <c r="F6" s="1" t="str">
        <f t="shared" si="1"/>
        <v/>
      </c>
      <c r="H6" s="1" t="str">
        <f t="shared" si="2"/>
        <v>Khashchenko E</v>
      </c>
      <c r="I6" s="1" t="str">
        <f t="shared" si="5"/>
        <v>2020</v>
      </c>
      <c r="J6" s="1" t="str">
        <f t="shared" si="3"/>
        <v>Khashchenko E et al., 2020</v>
      </c>
      <c r="K6" s="1" t="str">
        <f t="shared" si="0"/>
        <v>10.3390/jcm9061831</v>
      </c>
      <c r="L6" s="1" t="str">
        <f t="shared" si="4"/>
        <v>32545404</v>
      </c>
    </row>
    <row r="7" spans="1:15" ht="45" hidden="1" x14ac:dyDescent="0.25">
      <c r="A7" s="1">
        <f>INDEX(rq_evidence_review!A:A, MATCH(B7, rq_evidence_review!B:B, 0))</f>
        <v>1</v>
      </c>
      <c r="B7" s="6">
        <v>1.2</v>
      </c>
      <c r="C7" s="1">
        <f t="shared" si="6"/>
        <v>5</v>
      </c>
      <c r="D7" s="1">
        <f>VLOOKUP(B7,rq_evidence_review!$B$1:$L$55,7,FALSE)</f>
        <v>16</v>
      </c>
      <c r="E7" s="8" t="s">
        <v>310</v>
      </c>
      <c r="F7" s="1" t="str">
        <f t="shared" si="1"/>
        <v/>
      </c>
      <c r="H7" s="1" t="str">
        <f t="shared" si="2"/>
        <v>Chen</v>
      </c>
      <c r="I7" s="1" t="str">
        <f t="shared" si="5"/>
        <v>2021</v>
      </c>
      <c r="J7" s="1" t="str">
        <f t="shared" si="3"/>
        <v>Chen et al., 2021</v>
      </c>
      <c r="K7" s="1" t="str">
        <f t="shared" si="0"/>
        <v>10.1186/s13048-021-00781-5</v>
      </c>
      <c r="L7" s="1" t="str">
        <f t="shared" si="4"/>
        <v/>
      </c>
    </row>
    <row r="8" spans="1:15" ht="45" hidden="1" x14ac:dyDescent="0.25">
      <c r="A8" s="1">
        <f>INDEX(rq_evidence_review!A:A, MATCH(B8, rq_evidence_review!B:B, 0))</f>
        <v>1</v>
      </c>
      <c r="B8" s="6">
        <v>1.2</v>
      </c>
      <c r="C8" s="1">
        <f t="shared" si="6"/>
        <v>6</v>
      </c>
      <c r="D8" s="1">
        <f>VLOOKUP(B8,rq_evidence_review!$B$1:$L$55,7,FALSE)</f>
        <v>16</v>
      </c>
      <c r="E8" s="8" t="s">
        <v>311</v>
      </c>
      <c r="F8" s="1" t="str">
        <f t="shared" si="1"/>
        <v/>
      </c>
      <c r="H8" s="1" t="str">
        <f t="shared" si="2"/>
        <v>Grassi</v>
      </c>
      <c r="I8" s="1" t="str">
        <f t="shared" si="5"/>
        <v>2021</v>
      </c>
      <c r="J8" s="1" t="str">
        <f t="shared" si="3"/>
        <v>Grassi et al., 2021</v>
      </c>
      <c r="K8" s="1" t="str">
        <f t="shared" ref="K8:K66" si="7">ExtractDOI(E8)</f>
        <v>10.3390/jcm10010119</v>
      </c>
      <c r="L8" s="1" t="str">
        <f t="shared" si="4"/>
        <v/>
      </c>
    </row>
    <row r="9" spans="1:15" ht="45" hidden="1" x14ac:dyDescent="0.25">
      <c r="A9" s="1">
        <f>INDEX(rq_evidence_review!A:A, MATCH(B9, rq_evidence_review!B:B, 0))</f>
        <v>1</v>
      </c>
      <c r="B9" s="6">
        <v>1.2</v>
      </c>
      <c r="C9" s="1">
        <f t="shared" si="6"/>
        <v>7</v>
      </c>
      <c r="D9" s="1">
        <f>VLOOKUP(B9,rq_evidence_review!$B$1:$L$55,7,FALSE)</f>
        <v>16</v>
      </c>
      <c r="E9" s="8" t="s">
        <v>312</v>
      </c>
      <c r="F9" s="1" t="str">
        <f t="shared" si="1"/>
        <v/>
      </c>
      <c r="H9" s="1" t="str">
        <f t="shared" si="2"/>
        <v>Beitl K</v>
      </c>
      <c r="I9" s="1" t="str">
        <f t="shared" si="5"/>
        <v>2022</v>
      </c>
      <c r="J9" s="1" t="str">
        <f t="shared" si="3"/>
        <v>Beitl K et al., 2022</v>
      </c>
      <c r="K9" s="1" t="str">
        <f t="shared" si="7"/>
        <v>10.3389/fendo.2022.904706</v>
      </c>
      <c r="L9" s="1" t="str">
        <f t="shared" si="4"/>
        <v/>
      </c>
    </row>
    <row r="10" spans="1:15" ht="30" hidden="1" x14ac:dyDescent="0.25">
      <c r="A10" s="1">
        <f>INDEX(rq_evidence_review!A:A, MATCH(B10, rq_evidence_review!B:B, 0))</f>
        <v>1</v>
      </c>
      <c r="B10" s="6">
        <v>1.2</v>
      </c>
      <c r="C10" s="1">
        <f t="shared" si="6"/>
        <v>8</v>
      </c>
      <c r="D10" s="1">
        <f>VLOOKUP(B10,rq_evidence_review!$B$1:$L$55,7,FALSE)</f>
        <v>16</v>
      </c>
      <c r="E10" s="8" t="s">
        <v>1921</v>
      </c>
      <c r="F10" s="1" t="str">
        <f t="shared" si="1"/>
        <v/>
      </c>
      <c r="H10" s="1" t="str">
        <f t="shared" si="2"/>
        <v>Kumar H</v>
      </c>
      <c r="I10" s="1" t="str">
        <f t="shared" si="5"/>
        <v>2022</v>
      </c>
      <c r="J10" s="1" t="str">
        <f t="shared" si="3"/>
        <v>Kumar H et al., 2022</v>
      </c>
      <c r="K10" s="1" t="str">
        <f>ExtractDOI(E10)</f>
        <v>10.7860/JCDR/2022/51169.15962</v>
      </c>
      <c r="L10" s="1" t="str">
        <f t="shared" si="4"/>
        <v/>
      </c>
      <c r="N10" s="1">
        <v>246715314</v>
      </c>
    </row>
    <row r="11" spans="1:15" ht="30" hidden="1" x14ac:dyDescent="0.25">
      <c r="A11" s="1">
        <f>INDEX(rq_evidence_review!A:A, MATCH(B11, rq_evidence_review!B:B, 0))</f>
        <v>1</v>
      </c>
      <c r="B11" s="6">
        <v>1.2</v>
      </c>
      <c r="C11" s="1">
        <f t="shared" si="6"/>
        <v>9</v>
      </c>
      <c r="D11" s="1">
        <f>VLOOKUP(B11,rq_evidence_review!$B$1:$L$55,7,FALSE)</f>
        <v>16</v>
      </c>
      <c r="E11" s="8" t="s">
        <v>313</v>
      </c>
      <c r="F11" s="1" t="str">
        <f t="shared" si="1"/>
        <v/>
      </c>
      <c r="H11" s="1" t="str">
        <f t="shared" si="2"/>
        <v>Koskinen</v>
      </c>
      <c r="I11" s="1" t="str">
        <f t="shared" si="5"/>
        <v>1996</v>
      </c>
      <c r="J11" s="1" t="str">
        <f t="shared" si="3"/>
        <v>Koskinen et al., 1996</v>
      </c>
      <c r="K11" s="1" t="str">
        <f t="shared" si="7"/>
        <v>10.1016/s0015-0282(16)58146-1</v>
      </c>
      <c r="L11" s="1" t="str">
        <f t="shared" si="4"/>
        <v/>
      </c>
      <c r="N11" s="1">
        <v>21873315</v>
      </c>
    </row>
    <row r="12" spans="1:15" ht="30" hidden="1" x14ac:dyDescent="0.25">
      <c r="A12" s="1">
        <f>INDEX(rq_evidence_review!A:A, MATCH(B12, rq_evidence_review!B:B, 0))</f>
        <v>1</v>
      </c>
      <c r="B12" s="6">
        <v>1.2</v>
      </c>
      <c r="C12" s="1">
        <f t="shared" si="6"/>
        <v>10</v>
      </c>
      <c r="D12" s="1">
        <f>VLOOKUP(B12,rq_evidence_review!$B$1:$L$55,7,FALSE)</f>
        <v>16</v>
      </c>
      <c r="E12" s="8" t="s">
        <v>314</v>
      </c>
      <c r="F12" s="1" t="str">
        <f t="shared" si="1"/>
        <v/>
      </c>
      <c r="H12" s="1" t="str">
        <f t="shared" si="2"/>
        <v>Escobar‐Morreale</v>
      </c>
      <c r="I12" s="1" t="str">
        <f t="shared" si="5"/>
        <v>2001</v>
      </c>
      <c r="J12" s="1" t="str">
        <f t="shared" si="3"/>
        <v>Escobar‐Morreale et al., 2001</v>
      </c>
      <c r="K12" s="1" t="str">
        <f t="shared" si="7"/>
        <v>10.1530/eje.0.1450619</v>
      </c>
      <c r="L12" s="1" t="str">
        <f t="shared" si="4"/>
        <v/>
      </c>
    </row>
    <row r="13" spans="1:15" ht="30" hidden="1" x14ac:dyDescent="0.25">
      <c r="A13" s="1">
        <f>INDEX(rq_evidence_review!A:A, MATCH(B13, rq_evidence_review!B:B, 0))</f>
        <v>1</v>
      </c>
      <c r="B13" s="6">
        <v>1.2</v>
      </c>
      <c r="C13" s="1">
        <f t="shared" si="6"/>
        <v>11</v>
      </c>
      <c r="D13" s="1">
        <f>VLOOKUP(B13,rq_evidence_review!$B$1:$L$55,7,FALSE)</f>
        <v>16</v>
      </c>
      <c r="E13" s="8" t="s">
        <v>315</v>
      </c>
      <c r="F13" s="1" t="str">
        <f t="shared" si="1"/>
        <v/>
      </c>
      <c r="H13" s="1" t="str">
        <f t="shared" si="2"/>
        <v>Hahn</v>
      </c>
      <c r="I13" s="1" t="str">
        <f t="shared" si="5"/>
        <v>2007</v>
      </c>
      <c r="J13" s="1" t="str">
        <f t="shared" si="3"/>
        <v>Hahn et al., 2007</v>
      </c>
      <c r="K13" s="1" t="str">
        <f t="shared" si="7"/>
        <v>10.1515/CCLM.2007.031</v>
      </c>
      <c r="L13" s="1" t="str">
        <f t="shared" si="4"/>
        <v/>
      </c>
    </row>
    <row r="14" spans="1:15" ht="30" hidden="1" x14ac:dyDescent="0.25">
      <c r="A14" s="1">
        <f>INDEX(rq_evidence_review!A:A, MATCH(B14, rq_evidence_review!B:B, 0))</f>
        <v>1</v>
      </c>
      <c r="B14" s="6">
        <v>1.2</v>
      </c>
      <c r="C14" s="1">
        <f t="shared" si="6"/>
        <v>12</v>
      </c>
      <c r="D14" s="1">
        <f>VLOOKUP(B14,rq_evidence_review!$B$1:$L$55,7,FALSE)</f>
        <v>16</v>
      </c>
      <c r="E14" s="8" t="s">
        <v>316</v>
      </c>
      <c r="F14" s="1" t="str">
        <f t="shared" si="1"/>
        <v/>
      </c>
      <c r="H14" s="1" t="str">
        <f t="shared" si="2"/>
        <v>Stener‐Victorin</v>
      </c>
      <c r="I14" s="1" t="str">
        <f t="shared" si="5"/>
        <v>2010</v>
      </c>
      <c r="J14" s="1" t="str">
        <f t="shared" si="3"/>
        <v>Stener‐Victorin et al., 2010</v>
      </c>
      <c r="K14" s="1" t="str">
        <f t="shared" si="7"/>
        <v>10.1210/jc.2009-1908</v>
      </c>
      <c r="L14" s="1" t="str">
        <f t="shared" si="4"/>
        <v/>
      </c>
    </row>
    <row r="15" spans="1:15" ht="45" hidden="1" x14ac:dyDescent="0.25">
      <c r="A15" s="1">
        <f>INDEX(rq_evidence_review!A:A, MATCH(B15, rq_evidence_review!B:B, 0))</f>
        <v>1</v>
      </c>
      <c r="B15" s="6">
        <v>1.2</v>
      </c>
      <c r="C15" s="1">
        <f t="shared" si="6"/>
        <v>13</v>
      </c>
      <c r="D15" s="1">
        <f>VLOOKUP(B15,rq_evidence_review!$B$1:$L$55,7,FALSE)</f>
        <v>16</v>
      </c>
      <c r="E15" s="8" t="s">
        <v>317</v>
      </c>
      <c r="F15" s="1" t="str">
        <f t="shared" si="1"/>
        <v/>
      </c>
      <c r="H15" s="1" t="str">
        <f t="shared" si="2"/>
        <v>Bili</v>
      </c>
      <c r="I15" s="1" t="str">
        <f t="shared" si="5"/>
        <v>2014</v>
      </c>
      <c r="J15" s="1" t="str">
        <f t="shared" si="3"/>
        <v>Bili et al., 2014</v>
      </c>
      <c r="K15" s="1" t="str">
        <f t="shared" si="7"/>
        <v>10.1016/j.ejogrb.2014.05.006</v>
      </c>
      <c r="L15" s="1" t="str">
        <f t="shared" si="4"/>
        <v/>
      </c>
    </row>
    <row r="16" spans="1:15" ht="45" hidden="1" x14ac:dyDescent="0.25">
      <c r="A16" s="1">
        <f>INDEX(rq_evidence_review!A:A, MATCH(B16, rq_evidence_review!B:B, 0))</f>
        <v>1</v>
      </c>
      <c r="B16" s="6">
        <v>1.2</v>
      </c>
      <c r="C16" s="1">
        <f t="shared" si="6"/>
        <v>14</v>
      </c>
      <c r="D16" s="1">
        <f>VLOOKUP(B16,rq_evidence_review!$B$1:$L$55,7,FALSE)</f>
        <v>16</v>
      </c>
      <c r="E16" s="8" t="s">
        <v>318</v>
      </c>
      <c r="F16" s="1" t="str">
        <f t="shared" si="1"/>
        <v/>
      </c>
      <c r="H16" s="1" t="str">
        <f t="shared" si="2"/>
        <v>Wael A. Salameh</v>
      </c>
      <c r="I16" s="1" t="str">
        <f t="shared" si="5"/>
        <v>1990</v>
      </c>
      <c r="J16" s="1" t="str">
        <f t="shared" si="3"/>
        <v>Wael A. Salameh et al., 1990</v>
      </c>
      <c r="K16" s="1" t="str">
        <f t="shared" si="7"/>
        <v>10.1016/j.fertnstert.2013.12.056</v>
      </c>
      <c r="L16" s="1" t="str">
        <f t="shared" si="4"/>
        <v/>
      </c>
    </row>
    <row r="17" spans="1:12" ht="30" hidden="1" x14ac:dyDescent="0.25">
      <c r="A17" s="1">
        <f>INDEX(rq_evidence_review!A:A, MATCH(B17, rq_evidence_review!B:B, 0))</f>
        <v>1</v>
      </c>
      <c r="B17" s="6">
        <v>1.2</v>
      </c>
      <c r="C17" s="1">
        <f t="shared" si="6"/>
        <v>15</v>
      </c>
      <c r="D17" s="1">
        <f>VLOOKUP(B17,rq_evidence_review!$B$1:$L$55,7,FALSE)</f>
        <v>16</v>
      </c>
      <c r="E17" s="8" t="s">
        <v>319</v>
      </c>
      <c r="F17" s="1" t="str">
        <f t="shared" si="1"/>
        <v/>
      </c>
      <c r="H17" s="1" t="str">
        <f t="shared" si="2"/>
        <v>Villarroel</v>
      </c>
      <c r="I17" s="1" t="str">
        <f t="shared" si="5"/>
        <v>2015</v>
      </c>
      <c r="J17" s="1" t="str">
        <f t="shared" si="3"/>
        <v>Villarroel et al., 2015</v>
      </c>
      <c r="K17" s="1" t="str">
        <f t="shared" si="7"/>
        <v>10.3109/09513590.2015.1025380</v>
      </c>
      <c r="L17" s="1" t="str">
        <f t="shared" si="4"/>
        <v/>
      </c>
    </row>
    <row r="18" spans="1:12" ht="30" hidden="1" x14ac:dyDescent="0.25">
      <c r="A18" s="1">
        <f>INDEX(rq_evidence_review!A:A, MATCH(B18, rq_evidence_review!B:B, 0))</f>
        <v>1</v>
      </c>
      <c r="B18" s="6">
        <v>1.2</v>
      </c>
      <c r="C18" s="1">
        <f t="shared" si="6"/>
        <v>16</v>
      </c>
      <c r="D18" s="1">
        <f>VLOOKUP(B18,rq_evidence_review!$B$1:$L$55,7,FALSE)</f>
        <v>16</v>
      </c>
      <c r="E18" s="8" t="s">
        <v>320</v>
      </c>
      <c r="F18" s="1" t="str">
        <f t="shared" si="1"/>
        <v/>
      </c>
      <c r="H18" s="1" t="str">
        <f t="shared" si="2"/>
        <v>Rudnicka</v>
      </c>
      <c r="I18" s="1" t="str">
        <f t="shared" si="5"/>
        <v>2016</v>
      </c>
      <c r="J18" s="1" t="str">
        <f t="shared" si="3"/>
        <v>Rudnicka et al., 2016</v>
      </c>
      <c r="K18" s="1" t="str">
        <f t="shared" si="7"/>
        <v>10.1080/09513590.2016.1200552</v>
      </c>
      <c r="L18" s="1" t="str">
        <f t="shared" si="4"/>
        <v/>
      </c>
    </row>
    <row r="19" spans="1:12" ht="45" hidden="1" x14ac:dyDescent="0.25">
      <c r="A19" s="1">
        <f>INDEX(rq_evidence_review!A:A, MATCH(B19, rq_evidence_review!B:B, 0))</f>
        <v>1</v>
      </c>
      <c r="B19" s="6">
        <v>1.3</v>
      </c>
      <c r="C19" s="1">
        <f t="shared" si="6"/>
        <v>17</v>
      </c>
      <c r="D19" s="1">
        <f>VLOOKUP(B19,rq_evidence_review!$B$1:$L$55,7,FALSE)</f>
        <v>7</v>
      </c>
      <c r="E19" s="8" t="s">
        <v>321</v>
      </c>
      <c r="F19" s="1" t="str">
        <f t="shared" si="1"/>
        <v/>
      </c>
      <c r="G19" s="1" t="s">
        <v>65</v>
      </c>
      <c r="H19" s="1" t="str">
        <f t="shared" si="2"/>
        <v>Amiri M</v>
      </c>
      <c r="I19" s="1" t="str">
        <f t="shared" si="5"/>
        <v>2017</v>
      </c>
      <c r="J19" s="1" t="str">
        <f t="shared" si="3"/>
        <v>Amiri M et al., 2017</v>
      </c>
      <c r="K19" s="1" t="str">
        <f t="shared" si="7"/>
        <v>10.1111/cen.13389</v>
      </c>
      <c r="L19" s="1" t="str">
        <f t="shared" si="4"/>
        <v>28575537</v>
      </c>
    </row>
    <row r="20" spans="1:12" ht="30" hidden="1" x14ac:dyDescent="0.25">
      <c r="A20" s="1">
        <f>INDEX(rq_evidence_review!A:A, MATCH(B20, rq_evidence_review!B:B, 0))</f>
        <v>1</v>
      </c>
      <c r="B20" s="6">
        <v>1.3</v>
      </c>
      <c r="C20" s="1">
        <f t="shared" si="6"/>
        <v>18</v>
      </c>
      <c r="D20" s="1">
        <f>VLOOKUP(B20,rq_evidence_review!$B$1:$L$55,7,FALSE)</f>
        <v>7</v>
      </c>
      <c r="E20" s="8" t="s">
        <v>322</v>
      </c>
      <c r="F20" s="1" t="str">
        <f t="shared" si="1"/>
        <v/>
      </c>
      <c r="G20" s="1" t="s">
        <v>945</v>
      </c>
      <c r="H20" s="1" t="str">
        <f t="shared" si="2"/>
        <v>Amato MC</v>
      </c>
      <c r="I20" s="1" t="str">
        <f t="shared" si="5"/>
        <v>2006</v>
      </c>
      <c r="J20" s="1" t="str">
        <f t="shared" si="3"/>
        <v>Amato MC et al., 2006</v>
      </c>
      <c r="K20" s="1" t="str">
        <f t="shared" si="7"/>
        <v>10.1530/eje.1.02290</v>
      </c>
      <c r="L20" s="1" t="str">
        <f t="shared" si="4"/>
        <v>17132756</v>
      </c>
    </row>
    <row r="21" spans="1:12" ht="30" hidden="1" x14ac:dyDescent="0.25">
      <c r="A21" s="1">
        <f>INDEX(rq_evidence_review!A:A, MATCH(B21, rq_evidence_review!B:B, 0))</f>
        <v>1</v>
      </c>
      <c r="B21" s="6">
        <v>1.3</v>
      </c>
      <c r="C21" s="1">
        <f t="shared" si="6"/>
        <v>19</v>
      </c>
      <c r="D21" s="1">
        <f>VLOOKUP(B21,rq_evidence_review!$B$1:$L$55,7,FALSE)</f>
        <v>7</v>
      </c>
      <c r="E21" s="8" t="s">
        <v>323</v>
      </c>
      <c r="F21" s="1" t="str">
        <f t="shared" si="1"/>
        <v/>
      </c>
      <c r="G21" s="1" t="s">
        <v>945</v>
      </c>
      <c r="H21" s="1" t="str">
        <f t="shared" si="2"/>
        <v>Panidis D</v>
      </c>
      <c r="I21" s="1" t="str">
        <f t="shared" si="5"/>
        <v>2013</v>
      </c>
      <c r="J21" s="1" t="str">
        <f t="shared" si="3"/>
        <v>Panidis D et al., 2013</v>
      </c>
      <c r="K21" s="1" t="str">
        <f t="shared" si="7"/>
        <v>10.1530/EJE-13-0039</v>
      </c>
      <c r="L21" s="1" t="str">
        <f t="shared" si="4"/>
        <v>23557988</v>
      </c>
    </row>
    <row r="22" spans="1:12" ht="45" hidden="1" x14ac:dyDescent="0.25">
      <c r="A22" s="1">
        <f>INDEX(rq_evidence_review!A:A, MATCH(B22, rq_evidence_review!B:B, 0))</f>
        <v>1</v>
      </c>
      <c r="B22" s="6">
        <v>1.3</v>
      </c>
      <c r="C22" s="1">
        <f t="shared" si="6"/>
        <v>20</v>
      </c>
      <c r="D22" s="1">
        <f>VLOOKUP(B22,rq_evidence_review!$B$1:$L$55,7,FALSE)</f>
        <v>7</v>
      </c>
      <c r="E22" s="8" t="s">
        <v>324</v>
      </c>
      <c r="F22" s="1" t="str">
        <f t="shared" si="1"/>
        <v/>
      </c>
      <c r="G22" s="1" t="s">
        <v>945</v>
      </c>
      <c r="H22" s="1" t="str">
        <f t="shared" si="2"/>
        <v>Quinn M</v>
      </c>
      <c r="I22" s="1" t="str">
        <f t="shared" si="5"/>
        <v>2014</v>
      </c>
      <c r="J22" s="1" t="str">
        <f t="shared" si="3"/>
        <v>Quinn M et al., 2014</v>
      </c>
      <c r="K22" s="1" t="str">
        <f t="shared" si="7"/>
        <v>10.1016/j.fertnstert.2014.01.003</v>
      </c>
      <c r="L22" s="1" t="str">
        <f t="shared" si="4"/>
        <v>24534277</v>
      </c>
    </row>
    <row r="23" spans="1:12" ht="30" hidden="1" x14ac:dyDescent="0.25">
      <c r="A23" s="1">
        <f>INDEX(rq_evidence_review!A:A, MATCH(B23, rq_evidence_review!B:B, 0))</f>
        <v>1</v>
      </c>
      <c r="B23" s="6">
        <v>1.3</v>
      </c>
      <c r="C23" s="1">
        <f t="shared" si="6"/>
        <v>21</v>
      </c>
      <c r="D23" s="1">
        <f>VLOOKUP(B23,rq_evidence_review!$B$1:$L$55,7,FALSE)</f>
        <v>7</v>
      </c>
      <c r="E23" s="8" t="s">
        <v>325</v>
      </c>
      <c r="F23" s="1" t="str">
        <f t="shared" si="1"/>
        <v/>
      </c>
      <c r="H23" s="1" t="str">
        <f t="shared" si="2"/>
        <v>Imran H. J</v>
      </c>
      <c r="I23" s="1" t="str">
        <f t="shared" si="5"/>
        <v>2020</v>
      </c>
      <c r="J23" s="1" t="str">
        <f t="shared" si="3"/>
        <v>Imran H. J et al., 2020</v>
      </c>
      <c r="K23" s="9" t="s">
        <v>1474</v>
      </c>
      <c r="L23" s="1" t="str">
        <f t="shared" si="4"/>
        <v/>
      </c>
    </row>
    <row r="24" spans="1:12" ht="30" hidden="1" x14ac:dyDescent="0.25">
      <c r="A24" s="1">
        <f>INDEX(rq_evidence_review!A:A, MATCH(B24, rq_evidence_review!B:B, 0))</f>
        <v>1</v>
      </c>
      <c r="B24" s="6">
        <v>1.3</v>
      </c>
      <c r="C24" s="1">
        <f t="shared" si="6"/>
        <v>22</v>
      </c>
      <c r="D24" s="1">
        <f>VLOOKUP(B24,rq_evidence_review!$B$1:$L$55,7,FALSE)</f>
        <v>7</v>
      </c>
      <c r="E24" s="8" t="s">
        <v>326</v>
      </c>
      <c r="F24" s="1" t="str">
        <f t="shared" si="1"/>
        <v/>
      </c>
      <c r="H24" s="1" t="str">
        <f t="shared" si="2"/>
        <v>Kumar</v>
      </c>
      <c r="I24" s="1" t="str">
        <f t="shared" si="5"/>
        <v>2022</v>
      </c>
      <c r="J24" s="1" t="str">
        <f t="shared" si="3"/>
        <v>Kumar et al., 2022</v>
      </c>
      <c r="K24" s="1" t="str">
        <f t="shared" si="7"/>
        <v>10.7860/jcdr/2022/51169.15962</v>
      </c>
      <c r="L24" s="1" t="str">
        <f t="shared" si="4"/>
        <v/>
      </c>
    </row>
    <row r="25" spans="1:12" ht="45" hidden="1" x14ac:dyDescent="0.25">
      <c r="A25" s="1">
        <f>INDEX(rq_evidence_review!A:A, MATCH(B25, rq_evidence_review!B:B, 0))</f>
        <v>1</v>
      </c>
      <c r="B25" s="6">
        <v>1.3</v>
      </c>
      <c r="C25" s="1">
        <f t="shared" si="6"/>
        <v>23</v>
      </c>
      <c r="D25" s="1">
        <f>VLOOKUP(B25,rq_evidence_review!$B$1:$L$55,7,FALSE)</f>
        <v>7</v>
      </c>
      <c r="E25" s="8" t="s">
        <v>327</v>
      </c>
      <c r="F25" s="1" t="str">
        <f t="shared" si="1"/>
        <v/>
      </c>
      <c r="H25" s="1" t="str">
        <f t="shared" si="2"/>
        <v>Leerasiri</v>
      </c>
      <c r="I25" s="1" t="str">
        <f t="shared" si="5"/>
        <v>2016</v>
      </c>
      <c r="J25" s="1" t="str">
        <f t="shared" si="3"/>
        <v>Leerasiri et al., 2016</v>
      </c>
      <c r="K25" s="1" t="str">
        <f t="shared" si="7"/>
        <v>10.1111/jog.12945</v>
      </c>
      <c r="L25" s="1" t="str">
        <f t="shared" si="4"/>
        <v/>
      </c>
    </row>
    <row r="26" spans="1:12" ht="30" hidden="1" x14ac:dyDescent="0.25">
      <c r="A26" s="1">
        <f>INDEX(rq_evidence_review!A:A, MATCH(B26, rq_evidence_review!B:B, 0))</f>
        <v>1</v>
      </c>
      <c r="B26" s="6">
        <f>rq_evidence_review!B4</f>
        <v>1.3</v>
      </c>
      <c r="C26" s="1">
        <f t="shared" si="6"/>
        <v>24</v>
      </c>
      <c r="D26" s="1">
        <f>VLOOKUP(B26,rq_evidence_review!$B$1:$L$55,7,FALSE)</f>
        <v>7</v>
      </c>
      <c r="E26" s="8" t="s">
        <v>328</v>
      </c>
      <c r="F26" s="1" t="str">
        <f t="shared" si="1"/>
        <v/>
      </c>
      <c r="H26" s="1" t="str">
        <f t="shared" si="2"/>
        <v>Yang Y</v>
      </c>
      <c r="I26" s="1" t="str">
        <f t="shared" si="5"/>
        <v>2020</v>
      </c>
      <c r="J26" s="1" t="str">
        <f t="shared" si="3"/>
        <v>Yang Y et al., 2020</v>
      </c>
      <c r="K26" s="1" t="str">
        <f t="shared" si="7"/>
        <v>10.1016/j.rbmo.2020.07.013</v>
      </c>
      <c r="L26" s="1" t="str">
        <f t="shared" si="4"/>
        <v>32912651</v>
      </c>
    </row>
    <row r="27" spans="1:12" ht="30" hidden="1" x14ac:dyDescent="0.25">
      <c r="A27" s="1">
        <f>INDEX(rq_evidence_review!A:A, MATCH(B27, rq_evidence_review!B:B, 0))</f>
        <v>1</v>
      </c>
      <c r="B27" s="6" t="s">
        <v>60</v>
      </c>
      <c r="C27" s="1">
        <f t="shared" si="6"/>
        <v>25</v>
      </c>
      <c r="D27" s="1">
        <f>VLOOKUP(B27,rq_evidence_review!$B$1:$L$55,7,FALSE)</f>
        <v>27</v>
      </c>
      <c r="E27" s="8" t="s">
        <v>330</v>
      </c>
      <c r="F27" s="1" t="str">
        <f t="shared" si="1"/>
        <v/>
      </c>
      <c r="H27" s="1" t="str">
        <f t="shared" si="2"/>
        <v>Ahmad AK</v>
      </c>
      <c r="I27" s="1" t="str">
        <f t="shared" si="5"/>
        <v>2019</v>
      </c>
      <c r="J27" s="1" t="str">
        <f t="shared" si="3"/>
        <v>Ahmad AK et al., 2019</v>
      </c>
      <c r="K27" s="1" t="str">
        <f t="shared" si="7"/>
        <v>10.1016/j.fertnstert.2018.11.044</v>
      </c>
      <c r="L27" s="1" t="str">
        <f t="shared" si="4"/>
        <v/>
      </c>
    </row>
    <row r="28" spans="1:12" ht="30" hidden="1" x14ac:dyDescent="0.25">
      <c r="A28" s="1">
        <f>INDEX(rq_evidence_review!A:A, MATCH(B28, rq_evidence_review!B:B, 0))</f>
        <v>1</v>
      </c>
      <c r="B28" s="6" t="s">
        <v>60</v>
      </c>
      <c r="C28" s="1">
        <f t="shared" si="6"/>
        <v>26</v>
      </c>
      <c r="D28" s="1">
        <f>VLOOKUP(B28,rq_evidence_review!$B$1:$L$55,7,FALSE)</f>
        <v>27</v>
      </c>
      <c r="E28" s="8" t="s">
        <v>331</v>
      </c>
      <c r="F28" s="1" t="str">
        <f t="shared" si="1"/>
        <v/>
      </c>
      <c r="H28" s="1" t="str">
        <f t="shared" si="2"/>
        <v>Allemand MC</v>
      </c>
      <c r="I28" s="1" t="str">
        <f t="shared" si="5"/>
        <v>2006</v>
      </c>
      <c r="J28" s="1" t="str">
        <f t="shared" si="3"/>
        <v>Allemand MC et al., 2006</v>
      </c>
      <c r="K28" s="1" t="str">
        <f t="shared" si="7"/>
        <v>10.1016/j.fertnstert.2005.07.1279</v>
      </c>
      <c r="L28" s="1" t="str">
        <f t="shared" si="4"/>
        <v/>
      </c>
    </row>
    <row r="29" spans="1:12" ht="30" hidden="1" x14ac:dyDescent="0.25">
      <c r="A29" s="1">
        <f>INDEX(rq_evidence_review!A:A, MATCH(B29, rq_evidence_review!B:B, 0))</f>
        <v>1</v>
      </c>
      <c r="B29" s="6" t="s">
        <v>60</v>
      </c>
      <c r="C29" s="1">
        <f t="shared" si="6"/>
        <v>27</v>
      </c>
      <c r="D29" s="1">
        <f>VLOOKUP(B29,rq_evidence_review!$B$1:$L$55,7,FALSE)</f>
        <v>27</v>
      </c>
      <c r="E29" s="8" t="s">
        <v>332</v>
      </c>
      <c r="F29" s="1" t="str">
        <f t="shared" si="1"/>
        <v/>
      </c>
      <c r="H29" s="1" t="str">
        <f t="shared" si="2"/>
        <v>Alsamarai S</v>
      </c>
      <c r="I29" s="1" t="str">
        <f t="shared" si="5"/>
        <v>2009</v>
      </c>
      <c r="J29" s="1" t="str">
        <f t="shared" si="3"/>
        <v>Alsamarai S et al., 2009</v>
      </c>
      <c r="K29" s="1" t="str">
        <f t="shared" si="7"/>
        <v>10.1210/jc.2009-0839</v>
      </c>
      <c r="L29" s="1" t="str">
        <f t="shared" si="4"/>
        <v/>
      </c>
    </row>
    <row r="30" spans="1:12" ht="45" hidden="1" x14ac:dyDescent="0.25">
      <c r="A30" s="1">
        <f>INDEX(rq_evidence_review!A:A, MATCH(B30, rq_evidence_review!B:B, 0))</f>
        <v>1</v>
      </c>
      <c r="B30" s="6" t="s">
        <v>60</v>
      </c>
      <c r="C30" s="1">
        <f t="shared" si="6"/>
        <v>28</v>
      </c>
      <c r="D30" s="1">
        <f>VLOOKUP(B30,rq_evidence_review!$B$1:$L$55,7,FALSE)</f>
        <v>27</v>
      </c>
      <c r="E30" s="8" t="s">
        <v>333</v>
      </c>
      <c r="F30" s="1" t="str">
        <f t="shared" si="1"/>
        <v/>
      </c>
      <c r="H30" s="1" t="str">
        <f t="shared" si="2"/>
        <v>Bili AE</v>
      </c>
      <c r="I30" s="1" t="str">
        <f t="shared" si="5"/>
        <v>2014</v>
      </c>
      <c r="J30" s="1" t="str">
        <f t="shared" si="3"/>
        <v>Bili AE et al., 2014</v>
      </c>
      <c r="K30" s="1" t="str">
        <f t="shared" si="7"/>
        <v>10.1016/j.ejogrb.2014.05.006</v>
      </c>
      <c r="L30" s="1" t="str">
        <f t="shared" si="4"/>
        <v/>
      </c>
    </row>
    <row r="31" spans="1:12" ht="30" hidden="1" x14ac:dyDescent="0.25">
      <c r="A31" s="1">
        <f>INDEX(rq_evidence_review!A:A, MATCH(B31, rq_evidence_review!B:B, 0))</f>
        <v>1</v>
      </c>
      <c r="B31" s="6" t="s">
        <v>60</v>
      </c>
      <c r="C31" s="1">
        <f t="shared" si="6"/>
        <v>29</v>
      </c>
      <c r="D31" s="1">
        <f>VLOOKUP(B31,rq_evidence_review!$B$1:$L$55,7,FALSE)</f>
        <v>27</v>
      </c>
      <c r="E31" s="8" t="s">
        <v>334</v>
      </c>
      <c r="F31" s="1" t="str">
        <f t="shared" si="1"/>
        <v/>
      </c>
      <c r="H31" s="1" t="str">
        <f t="shared" si="2"/>
        <v>Carmina E</v>
      </c>
      <c r="I31" s="1" t="str">
        <f t="shared" si="5"/>
        <v>2016</v>
      </c>
      <c r="J31" s="1" t="str">
        <f t="shared" si="3"/>
        <v>Carmina E et al., 2016</v>
      </c>
      <c r="K31" s="1" t="str">
        <f t="shared" si="7"/>
        <v>10.4158/EP15903.OR</v>
      </c>
      <c r="L31" s="1" t="str">
        <f t="shared" si="4"/>
        <v/>
      </c>
    </row>
    <row r="32" spans="1:12" ht="30" hidden="1" x14ac:dyDescent="0.25">
      <c r="A32" s="1">
        <f>INDEX(rq_evidence_review!A:A, MATCH(B32, rq_evidence_review!B:B, 0))</f>
        <v>1</v>
      </c>
      <c r="B32" s="6" t="s">
        <v>60</v>
      </c>
      <c r="C32" s="1">
        <f t="shared" si="6"/>
        <v>30</v>
      </c>
      <c r="D32" s="1">
        <f>VLOOKUP(B32,rq_evidence_review!$B$1:$L$55,7,FALSE)</f>
        <v>27</v>
      </c>
      <c r="E32" s="8" t="s">
        <v>335</v>
      </c>
      <c r="F32" s="1" t="str">
        <f t="shared" si="1"/>
        <v/>
      </c>
      <c r="H32" s="1" t="str">
        <f t="shared" si="2"/>
        <v>Chen Y</v>
      </c>
      <c r="I32" s="1" t="str">
        <f t="shared" si="5"/>
        <v>2008</v>
      </c>
      <c r="J32" s="1" t="str">
        <f t="shared" si="3"/>
        <v>Chen Y et al., 2008</v>
      </c>
      <c r="K32" s="1" t="str">
        <f t="shared" si="7"/>
        <v>10.1002/uog.5393</v>
      </c>
      <c r="L32" s="1" t="str">
        <f t="shared" si="4"/>
        <v/>
      </c>
    </row>
    <row r="33" spans="1:14" ht="30" hidden="1" x14ac:dyDescent="0.25">
      <c r="A33" s="1">
        <f>INDEX(rq_evidence_review!A:A, MATCH(B33, rq_evidence_review!B:B, 0))</f>
        <v>1</v>
      </c>
      <c r="B33" s="6" t="s">
        <v>60</v>
      </c>
      <c r="C33" s="1">
        <f t="shared" si="6"/>
        <v>31</v>
      </c>
      <c r="D33" s="1">
        <f>VLOOKUP(B33,rq_evidence_review!$B$1:$L$55,7,FALSE)</f>
        <v>27</v>
      </c>
      <c r="E33" s="8" t="s">
        <v>336</v>
      </c>
      <c r="F33" s="1" t="str">
        <f t="shared" si="1"/>
        <v/>
      </c>
      <c r="H33" s="1" t="str">
        <f t="shared" si="2"/>
        <v>Chen Y</v>
      </c>
      <c r="I33" s="1" t="str">
        <f t="shared" si="5"/>
        <v>2008</v>
      </c>
      <c r="J33" s="1" t="str">
        <f t="shared" si="3"/>
        <v>Chen Y et al., 2008</v>
      </c>
      <c r="K33" s="1" t="str">
        <f t="shared" si="7"/>
        <v>10.1016/j.jpag.2008.01.081</v>
      </c>
      <c r="L33" s="1" t="str">
        <f t="shared" si="4"/>
        <v/>
      </c>
    </row>
    <row r="34" spans="1:14" ht="30" hidden="1" x14ac:dyDescent="0.25">
      <c r="A34" s="1">
        <f>INDEX(rq_evidence_review!A:A, MATCH(B34, rq_evidence_review!B:B, 0))</f>
        <v>1</v>
      </c>
      <c r="B34" s="6" t="s">
        <v>60</v>
      </c>
      <c r="C34" s="1">
        <f t="shared" si="6"/>
        <v>32</v>
      </c>
      <c r="D34" s="1">
        <f>VLOOKUP(B34,rq_evidence_review!$B$1:$L$55,7,FALSE)</f>
        <v>27</v>
      </c>
      <c r="E34" s="8" t="s">
        <v>337</v>
      </c>
      <c r="F34" s="1" t="str">
        <f t="shared" si="1"/>
        <v/>
      </c>
      <c r="H34" s="1" t="str">
        <f t="shared" si="2"/>
        <v>Christ JP</v>
      </c>
      <c r="I34" s="1" t="str">
        <f t="shared" si="5"/>
        <v>2014</v>
      </c>
      <c r="J34" s="1" t="str">
        <f t="shared" si="3"/>
        <v>Christ JP et al., 2014</v>
      </c>
      <c r="K34" s="1" t="str">
        <f t="shared" si="7"/>
        <v>10.1016/j.fertnstert.2013.10.001</v>
      </c>
      <c r="L34" s="1" t="str">
        <f t="shared" si="4"/>
        <v/>
      </c>
    </row>
    <row r="35" spans="1:14" ht="30" hidden="1" x14ac:dyDescent="0.25">
      <c r="A35" s="1">
        <f>INDEX(rq_evidence_review!A:A, MATCH(B35, rq_evidence_review!B:B, 0))</f>
        <v>1</v>
      </c>
      <c r="B35" s="6" t="s">
        <v>60</v>
      </c>
      <c r="C35" s="1">
        <f t="shared" si="6"/>
        <v>33</v>
      </c>
      <c r="D35" s="1">
        <f>VLOOKUP(B35,rq_evidence_review!$B$1:$L$55,7,FALSE)</f>
        <v>27</v>
      </c>
      <c r="E35" s="8" t="s">
        <v>338</v>
      </c>
      <c r="F35" s="1" t="str">
        <f t="shared" si="1"/>
        <v/>
      </c>
      <c r="H35" s="1" t="str">
        <f t="shared" si="2"/>
        <v>Çiraci S</v>
      </c>
      <c r="I35" s="1" t="str">
        <f t="shared" si="5"/>
        <v>2015</v>
      </c>
      <c r="J35" s="1" t="str">
        <f t="shared" si="3"/>
        <v>Çiraci S et al., 2015</v>
      </c>
      <c r="K35" s="1" t="str">
        <f t="shared" si="7"/>
        <v>10.5152/dir.2014.14094</v>
      </c>
      <c r="L35" s="1" t="str">
        <f t="shared" si="4"/>
        <v/>
      </c>
    </row>
    <row r="36" spans="1:14" ht="45" hidden="1" x14ac:dyDescent="0.25">
      <c r="A36" s="1">
        <f>INDEX(rq_evidence_review!A:A, MATCH(B36, rq_evidence_review!B:B, 0))</f>
        <v>1</v>
      </c>
      <c r="B36" s="6" t="s">
        <v>60</v>
      </c>
      <c r="C36" s="1">
        <f t="shared" si="6"/>
        <v>34</v>
      </c>
      <c r="D36" s="1">
        <f>VLOOKUP(B36,rq_evidence_review!$B$1:$L$55,7,FALSE)</f>
        <v>27</v>
      </c>
      <c r="E36" s="8" t="s">
        <v>339</v>
      </c>
      <c r="F36" s="1" t="str">
        <f t="shared" si="1"/>
        <v/>
      </c>
      <c r="H36" s="1" t="str">
        <f t="shared" si="2"/>
        <v>Dewailly D</v>
      </c>
      <c r="I36" s="1" t="str">
        <f t="shared" si="5"/>
        <v>2014</v>
      </c>
      <c r="J36" s="1" t="str">
        <f t="shared" si="3"/>
        <v>Dewailly D et al., 2014</v>
      </c>
      <c r="K36" s="1" t="str">
        <f t="shared" si="7"/>
        <v>10.1093/humrep/deu242</v>
      </c>
      <c r="L36" s="1" t="str">
        <f t="shared" si="4"/>
        <v/>
      </c>
    </row>
    <row r="37" spans="1:14" ht="45" hidden="1" x14ac:dyDescent="0.25">
      <c r="A37" s="1">
        <f>INDEX(rq_evidence_review!A:A, MATCH(B37, rq_evidence_review!B:B, 0))</f>
        <v>1</v>
      </c>
      <c r="B37" s="6" t="s">
        <v>60</v>
      </c>
      <c r="C37" s="1">
        <f t="shared" si="6"/>
        <v>35</v>
      </c>
      <c r="D37" s="1">
        <f>VLOOKUP(B37,rq_evidence_review!$B$1:$L$55,7,FALSE)</f>
        <v>27</v>
      </c>
      <c r="E37" s="8" t="s">
        <v>340</v>
      </c>
      <c r="F37" s="1" t="str">
        <f t="shared" si="1"/>
        <v/>
      </c>
      <c r="H37" s="1" t="str">
        <f t="shared" si="2"/>
        <v>Dewailly D</v>
      </c>
      <c r="I37" s="1" t="str">
        <f t="shared" si="5"/>
        <v>2011</v>
      </c>
      <c r="J37" s="1" t="str">
        <f t="shared" si="3"/>
        <v>Dewailly D et al., 2011</v>
      </c>
      <c r="K37" s="1" t="str">
        <f t="shared" si="7"/>
        <v>10.1093/humrep/der297</v>
      </c>
      <c r="L37" s="1" t="str">
        <f t="shared" si="4"/>
        <v/>
      </c>
    </row>
    <row r="38" spans="1:14" ht="45" hidden="1" x14ac:dyDescent="0.25">
      <c r="A38" s="1">
        <f>INDEX(rq_evidence_review!A:A, MATCH(B38, rq_evidence_review!B:B, 0))</f>
        <v>1</v>
      </c>
      <c r="B38" s="6" t="s">
        <v>60</v>
      </c>
      <c r="C38" s="1">
        <f t="shared" si="6"/>
        <v>36</v>
      </c>
      <c r="D38" s="1">
        <f>VLOOKUP(B38,rq_evidence_review!$B$1:$L$55,7,FALSE)</f>
        <v>27</v>
      </c>
      <c r="E38" s="8" t="s">
        <v>341</v>
      </c>
      <c r="F38" s="1" t="str">
        <f t="shared" si="1"/>
        <v/>
      </c>
      <c r="H38" s="1" t="str">
        <f t="shared" si="2"/>
        <v>Diamanti-Kandarakis E</v>
      </c>
      <c r="I38" s="1" t="str">
        <f t="shared" si="5"/>
        <v>2011</v>
      </c>
      <c r="J38" s="1" t="str">
        <f t="shared" si="3"/>
        <v>Diamanti-Kandarakis E et al., 2011</v>
      </c>
      <c r="K38" s="1" t="str">
        <f t="shared" si="7"/>
        <v>10.1007/s00774-010-0211-2</v>
      </c>
      <c r="L38" s="1" t="str">
        <f t="shared" si="4"/>
        <v/>
      </c>
    </row>
    <row r="39" spans="1:14" ht="30" hidden="1" x14ac:dyDescent="0.25">
      <c r="A39" s="1">
        <f>INDEX(rq_evidence_review!A:A, MATCH(B39, rq_evidence_review!B:B, 0))</f>
        <v>1</v>
      </c>
      <c r="B39" s="6" t="s">
        <v>60</v>
      </c>
      <c r="C39" s="1">
        <f t="shared" si="6"/>
        <v>37</v>
      </c>
      <c r="D39" s="1">
        <f>VLOOKUP(B39,rq_evidence_review!$B$1:$L$55,7,FALSE)</f>
        <v>27</v>
      </c>
      <c r="E39" s="8" t="s">
        <v>342</v>
      </c>
      <c r="F39" s="1" t="str">
        <f t="shared" si="1"/>
        <v/>
      </c>
      <c r="H39" s="1" t="str">
        <f t="shared" si="2"/>
        <v>Ersen E</v>
      </c>
      <c r="I39" s="1" t="str">
        <f t="shared" si="5"/>
        <v>2019</v>
      </c>
      <c r="J39" s="1" t="str">
        <f t="shared" si="3"/>
        <v>Ersen E et al., 2019</v>
      </c>
      <c r="K39" s="1" t="str">
        <f t="shared" si="7"/>
        <v>10.11152/mu-1849</v>
      </c>
      <c r="L39" s="1" t="str">
        <f t="shared" si="4"/>
        <v/>
      </c>
    </row>
    <row r="40" spans="1:14" ht="30" hidden="1" x14ac:dyDescent="0.25">
      <c r="A40" s="1">
        <f>INDEX(rq_evidence_review!A:A, MATCH(B40, rq_evidence_review!B:B, 0))</f>
        <v>1</v>
      </c>
      <c r="B40" s="6" t="s">
        <v>60</v>
      </c>
      <c r="C40" s="1">
        <f t="shared" si="6"/>
        <v>38</v>
      </c>
      <c r="D40" s="1">
        <f>VLOOKUP(B40,rq_evidence_review!$B$1:$L$55,7,FALSE)</f>
        <v>27</v>
      </c>
      <c r="E40" s="8" t="s">
        <v>343</v>
      </c>
      <c r="F40" s="1" t="str">
        <f t="shared" si="1"/>
        <v/>
      </c>
      <c r="H40" s="1" t="str">
        <f t="shared" si="2"/>
        <v>Fulghesu AM</v>
      </c>
      <c r="I40" s="1" t="str">
        <f t="shared" si="5"/>
        <v>2001</v>
      </c>
      <c r="J40" s="1" t="str">
        <f t="shared" si="3"/>
        <v>Fulghesu AM et al., 2001</v>
      </c>
      <c r="K40" s="1" t="str">
        <f t="shared" si="7"/>
        <v>10.1016/s0015-0282(01)01919-7</v>
      </c>
      <c r="L40" s="1" t="str">
        <f t="shared" si="4"/>
        <v/>
      </c>
      <c r="N40" s="1">
        <v>2551667</v>
      </c>
    </row>
    <row r="41" spans="1:14" ht="30" hidden="1" x14ac:dyDescent="0.25">
      <c r="A41" s="1">
        <f>INDEX(rq_evidence_review!A:A, MATCH(B41, rq_evidence_review!B:B, 0))</f>
        <v>1</v>
      </c>
      <c r="B41" s="6" t="s">
        <v>60</v>
      </c>
      <c r="C41" s="1">
        <f t="shared" si="6"/>
        <v>39</v>
      </c>
      <c r="D41" s="1">
        <f>VLOOKUP(B41,rq_evidence_review!$B$1:$L$55,7,FALSE)</f>
        <v>27</v>
      </c>
      <c r="E41" s="8" t="s">
        <v>344</v>
      </c>
      <c r="F41" s="1" t="str">
        <f t="shared" si="1"/>
        <v/>
      </c>
      <c r="H41" s="1" t="str">
        <f t="shared" si="2"/>
        <v>Jarrett BY</v>
      </c>
      <c r="I41" s="1" t="str">
        <f t="shared" si="5"/>
        <v>2019</v>
      </c>
      <c r="J41" s="1" t="str">
        <f t="shared" si="3"/>
        <v>Jarrett BY et al., 2019</v>
      </c>
      <c r="K41" s="1" t="str">
        <f t="shared" si="7"/>
        <v>10.1016/j.fertnstert.2019.06.016</v>
      </c>
      <c r="L41" s="1" t="str">
        <f t="shared" si="4"/>
        <v/>
      </c>
    </row>
    <row r="42" spans="1:14" ht="30" hidden="1" x14ac:dyDescent="0.25">
      <c r="A42" s="1">
        <f>INDEX(rq_evidence_review!A:A, MATCH(B42, rq_evidence_review!B:B, 0))</f>
        <v>1</v>
      </c>
      <c r="B42" s="6" t="s">
        <v>60</v>
      </c>
      <c r="C42" s="1">
        <f t="shared" si="6"/>
        <v>40</v>
      </c>
      <c r="D42" s="1">
        <f>VLOOKUP(B42,rq_evidence_review!$B$1:$L$55,7,FALSE)</f>
        <v>27</v>
      </c>
      <c r="E42" s="8" t="s">
        <v>345</v>
      </c>
      <c r="F42" s="1" t="str">
        <f t="shared" si="1"/>
        <v/>
      </c>
      <c r="H42" s="1" t="str">
        <f t="shared" si="2"/>
        <v>Jonard S</v>
      </c>
      <c r="I42" s="1" t="str">
        <f t="shared" si="5"/>
        <v>2005</v>
      </c>
      <c r="J42" s="1" t="str">
        <f t="shared" si="3"/>
        <v>Jonard S et al., 2005</v>
      </c>
      <c r="K42" s="1" t="str">
        <f t="shared" si="7"/>
        <v>10.1093/humrep/dei159</v>
      </c>
      <c r="L42" s="1" t="str">
        <f t="shared" si="4"/>
        <v/>
      </c>
    </row>
    <row r="43" spans="1:14" ht="30" hidden="1" x14ac:dyDescent="0.25">
      <c r="A43" s="1">
        <f>INDEX(rq_evidence_review!A:A, MATCH(B43, rq_evidence_review!B:B, 0))</f>
        <v>1</v>
      </c>
      <c r="B43" s="6" t="s">
        <v>60</v>
      </c>
      <c r="C43" s="1">
        <f t="shared" si="6"/>
        <v>41</v>
      </c>
      <c r="D43" s="1">
        <f>VLOOKUP(B43,rq_evidence_review!$B$1:$L$55,7,FALSE)</f>
        <v>27</v>
      </c>
      <c r="E43" s="8" t="s">
        <v>346</v>
      </c>
      <c r="F43" s="1" t="str">
        <f t="shared" si="1"/>
        <v/>
      </c>
      <c r="H43" s="1" t="str">
        <f t="shared" si="2"/>
        <v>Kar S</v>
      </c>
      <c r="I43" s="1" t="str">
        <f t="shared" si="5"/>
        <v>2018</v>
      </c>
      <c r="J43" s="1" t="str">
        <f t="shared" si="3"/>
        <v>Kar S et al., 2018</v>
      </c>
      <c r="K43" s="1" t="str">
        <f t="shared" si="7"/>
        <v/>
      </c>
      <c r="L43" s="10">
        <v>30167395</v>
      </c>
    </row>
    <row r="44" spans="1:14" ht="30" hidden="1" x14ac:dyDescent="0.25">
      <c r="A44" s="1">
        <f>INDEX(rq_evidence_review!A:A, MATCH(B44, rq_evidence_review!B:B, 0))</f>
        <v>1</v>
      </c>
      <c r="B44" s="6" t="s">
        <v>60</v>
      </c>
      <c r="C44" s="1">
        <f t="shared" si="6"/>
        <v>42</v>
      </c>
      <c r="D44" s="1">
        <f>VLOOKUP(B44,rq_evidence_review!$B$1:$L$55,7,FALSE)</f>
        <v>27</v>
      </c>
      <c r="E44" s="8" t="s">
        <v>347</v>
      </c>
      <c r="F44" s="1" t="str">
        <f t="shared" si="1"/>
        <v/>
      </c>
      <c r="H44" s="1" t="str">
        <f t="shared" si="2"/>
        <v>Khashchenko E</v>
      </c>
      <c r="I44" s="1" t="str">
        <f t="shared" si="5"/>
        <v>2020</v>
      </c>
      <c r="J44" s="1" t="str">
        <f t="shared" si="3"/>
        <v>Khashchenko E et al., 2020</v>
      </c>
      <c r="K44" s="1" t="str">
        <f t="shared" si="7"/>
        <v>10.3390/jcm9061831</v>
      </c>
      <c r="L44" s="1" t="str">
        <f t="shared" si="4"/>
        <v/>
      </c>
    </row>
    <row r="45" spans="1:14" ht="30" hidden="1" x14ac:dyDescent="0.25">
      <c r="A45" s="1">
        <f>INDEX(rq_evidence_review!A:A, MATCH(B45, rq_evidence_review!B:B, 0))</f>
        <v>1</v>
      </c>
      <c r="B45" s="6" t="s">
        <v>60</v>
      </c>
      <c r="C45" s="1">
        <f t="shared" si="6"/>
        <v>43</v>
      </c>
      <c r="D45" s="1">
        <f>VLOOKUP(B45,rq_evidence_review!$B$1:$L$55,7,FALSE)</f>
        <v>27</v>
      </c>
      <c r="E45" s="8" t="s">
        <v>348</v>
      </c>
      <c r="F45" s="1" t="str">
        <f t="shared" si="1"/>
        <v/>
      </c>
      <c r="H45" s="1" t="str">
        <f t="shared" si="2"/>
        <v>Kim HJ</v>
      </c>
      <c r="I45" s="1" t="str">
        <f t="shared" si="5"/>
        <v>2017</v>
      </c>
      <c r="J45" s="1" t="str">
        <f t="shared" si="3"/>
        <v>Kim HJ et al., 2017</v>
      </c>
      <c r="K45" s="1" t="str">
        <f t="shared" si="7"/>
        <v>10.1016/j.fertnstert.2017.07.005</v>
      </c>
      <c r="L45" s="1" t="str">
        <f t="shared" si="4"/>
        <v/>
      </c>
    </row>
    <row r="46" spans="1:14" ht="30" hidden="1" x14ac:dyDescent="0.25">
      <c r="A46" s="1">
        <f>INDEX(rq_evidence_review!A:A, MATCH(B46, rq_evidence_review!B:B, 0))</f>
        <v>1</v>
      </c>
      <c r="B46" s="6" t="s">
        <v>60</v>
      </c>
      <c r="C46" s="1">
        <f t="shared" si="6"/>
        <v>44</v>
      </c>
      <c r="D46" s="1">
        <f>VLOOKUP(B46,rq_evidence_review!$B$1:$L$55,7,FALSE)</f>
        <v>27</v>
      </c>
      <c r="E46" s="8" t="s">
        <v>349</v>
      </c>
      <c r="F46" s="1" t="str">
        <f t="shared" si="1"/>
        <v/>
      </c>
      <c r="H46" s="1" t="str">
        <f t="shared" si="2"/>
        <v>Köninger A</v>
      </c>
      <c r="I46" s="1" t="str">
        <f t="shared" si="5"/>
        <v>2014</v>
      </c>
      <c r="J46" s="1" t="str">
        <f t="shared" si="3"/>
        <v>Köninger A et al., 2014</v>
      </c>
      <c r="K46" s="1" t="str">
        <f t="shared" si="7"/>
        <v>10.1007/s00404-014-3317-2</v>
      </c>
      <c r="L46" s="1" t="str">
        <f t="shared" si="4"/>
        <v/>
      </c>
    </row>
    <row r="47" spans="1:14" ht="30" hidden="1" x14ac:dyDescent="0.25">
      <c r="A47" s="1">
        <f>INDEX(rq_evidence_review!A:A, MATCH(B47, rq_evidence_review!B:B, 0))</f>
        <v>1</v>
      </c>
      <c r="B47" s="6" t="s">
        <v>60</v>
      </c>
      <c r="C47" s="1">
        <f t="shared" si="6"/>
        <v>45</v>
      </c>
      <c r="D47" s="1">
        <f>VLOOKUP(B47,rq_evidence_review!$B$1:$L$55,7,FALSE)</f>
        <v>27</v>
      </c>
      <c r="E47" s="8" t="s">
        <v>350</v>
      </c>
      <c r="F47" s="1" t="str">
        <f t="shared" si="1"/>
        <v/>
      </c>
      <c r="H47" s="1" t="str">
        <f t="shared" si="2"/>
        <v>Kösüs N</v>
      </c>
      <c r="I47" s="1" t="str">
        <f t="shared" si="5"/>
        <v>2011</v>
      </c>
      <c r="J47" s="1" t="str">
        <f t="shared" si="3"/>
        <v>Kösüs N et al., 2011</v>
      </c>
      <c r="K47" s="1" t="str">
        <f t="shared" si="7"/>
        <v>10.3892/etm.2011.327</v>
      </c>
      <c r="L47" s="1" t="str">
        <f t="shared" si="4"/>
        <v/>
      </c>
    </row>
    <row r="48" spans="1:14" ht="30" hidden="1" x14ac:dyDescent="0.25">
      <c r="A48" s="1">
        <f>INDEX(rq_evidence_review!A:A, MATCH(B48, rq_evidence_review!B:B, 0))</f>
        <v>1</v>
      </c>
      <c r="B48" s="6" t="s">
        <v>60</v>
      </c>
      <c r="C48" s="1">
        <f t="shared" si="6"/>
        <v>46</v>
      </c>
      <c r="D48" s="1">
        <f>VLOOKUP(B48,rq_evidence_review!$B$1:$L$55,7,FALSE)</f>
        <v>27</v>
      </c>
      <c r="E48" s="8" t="s">
        <v>351</v>
      </c>
      <c r="F48" s="1" t="str">
        <f t="shared" si="1"/>
        <v/>
      </c>
      <c r="H48" s="1" t="str">
        <f t="shared" si="2"/>
        <v>Kösüs N</v>
      </c>
      <c r="I48" s="1" t="str">
        <f t="shared" si="5"/>
        <v>2011</v>
      </c>
      <c r="J48" s="1" t="str">
        <f t="shared" si="3"/>
        <v>Kösüs N et al., 2011</v>
      </c>
      <c r="K48" s="1" t="str">
        <f t="shared" si="7"/>
        <v>10.1016/j.ejogrb.2010.10.007</v>
      </c>
      <c r="L48" s="1" t="str">
        <f t="shared" si="4"/>
        <v/>
      </c>
    </row>
    <row r="49" spans="1:15" ht="30" hidden="1" x14ac:dyDescent="0.25">
      <c r="A49" s="1">
        <f>INDEX(rq_evidence_review!A:A, MATCH(B49, rq_evidence_review!B:B, 0))</f>
        <v>1</v>
      </c>
      <c r="B49" s="6" t="s">
        <v>60</v>
      </c>
      <c r="C49" s="1">
        <f t="shared" si="6"/>
        <v>47</v>
      </c>
      <c r="D49" s="1">
        <f>VLOOKUP(B49,rq_evidence_review!$B$1:$L$55,7,FALSE)</f>
        <v>27</v>
      </c>
      <c r="E49" s="8" t="s">
        <v>352</v>
      </c>
      <c r="F49" s="1" t="str">
        <f t="shared" si="1"/>
        <v/>
      </c>
      <c r="H49" s="1" t="str">
        <f t="shared" si="2"/>
        <v>Le NSV</v>
      </c>
      <c r="I49" s="1" t="str">
        <f t="shared" si="5"/>
        <v>2021</v>
      </c>
      <c r="J49" s="1" t="str">
        <f t="shared" si="3"/>
        <v>Le NSV et al., 2021</v>
      </c>
      <c r="K49" s="1" t="str">
        <f t="shared" si="7"/>
        <v>10.2147/IJWH.S329082</v>
      </c>
      <c r="L49" s="1" t="str">
        <f t="shared" si="4"/>
        <v/>
      </c>
    </row>
    <row r="50" spans="1:15" ht="30" hidden="1" x14ac:dyDescent="0.25">
      <c r="A50" s="1">
        <f>INDEX(rq_evidence_review!A:A, MATCH(B50, rq_evidence_review!B:B, 0))</f>
        <v>1</v>
      </c>
      <c r="B50" s="6" t="s">
        <v>60</v>
      </c>
      <c r="C50" s="1">
        <f t="shared" si="6"/>
        <v>48</v>
      </c>
      <c r="D50" s="1">
        <f>VLOOKUP(B50,rq_evidence_review!$B$1:$L$55,7,FALSE)</f>
        <v>27</v>
      </c>
      <c r="E50" s="8" t="s">
        <v>353</v>
      </c>
      <c r="F50" s="1" t="str">
        <f t="shared" si="1"/>
        <v/>
      </c>
      <c r="H50" s="1" t="str">
        <f t="shared" si="2"/>
        <v>Lie Fong S</v>
      </c>
      <c r="I50" s="1" t="str">
        <f t="shared" si="5"/>
        <v>2017</v>
      </c>
      <c r="J50" s="1" t="str">
        <f t="shared" si="3"/>
        <v>Lie Fong S et al., 2017</v>
      </c>
      <c r="K50" s="1" t="str">
        <f t="shared" si="7"/>
        <v>10.1093/humrep/dex226</v>
      </c>
      <c r="L50" s="1" t="str">
        <f t="shared" si="4"/>
        <v/>
      </c>
    </row>
    <row r="51" spans="1:15" ht="30" hidden="1" x14ac:dyDescent="0.25">
      <c r="A51" s="1">
        <f>INDEX(rq_evidence_review!A:A, MATCH(B51, rq_evidence_review!B:B, 0))</f>
        <v>1</v>
      </c>
      <c r="B51" s="6" t="s">
        <v>60</v>
      </c>
      <c r="C51" s="1">
        <f t="shared" si="6"/>
        <v>49</v>
      </c>
      <c r="D51" s="1">
        <f>VLOOKUP(B51,rq_evidence_review!$B$1:$L$55,7,FALSE)</f>
        <v>27</v>
      </c>
      <c r="E51" s="8" t="s">
        <v>354</v>
      </c>
      <c r="F51" s="1" t="str">
        <f t="shared" si="1"/>
        <v/>
      </c>
      <c r="H51" s="1" t="str">
        <f t="shared" si="2"/>
        <v>Lujan ME</v>
      </c>
      <c r="I51" s="1" t="str">
        <f t="shared" si="5"/>
        <v>2013</v>
      </c>
      <c r="J51" s="1" t="str">
        <f t="shared" si="3"/>
        <v>Lujan ME et al., 2013</v>
      </c>
      <c r="K51" s="1" t="str">
        <f t="shared" si="7"/>
        <v>10.1093/humrep/det062</v>
      </c>
      <c r="L51" s="1" t="str">
        <f t="shared" si="4"/>
        <v/>
      </c>
    </row>
    <row r="52" spans="1:15" ht="30" hidden="1" x14ac:dyDescent="0.25">
      <c r="A52" s="1">
        <f>INDEX(rq_evidence_review!A:A, MATCH(B52, rq_evidence_review!B:B, 0))</f>
        <v>1</v>
      </c>
      <c r="B52" s="6" t="s">
        <v>60</v>
      </c>
      <c r="C52" s="1">
        <f t="shared" si="6"/>
        <v>50</v>
      </c>
      <c r="D52" s="1">
        <f>VLOOKUP(B52,rq_evidence_review!$B$1:$L$55,7,FALSE)</f>
        <v>27</v>
      </c>
      <c r="E52" s="8" t="s">
        <v>355</v>
      </c>
      <c r="F52" s="1" t="str">
        <f t="shared" si="1"/>
        <v/>
      </c>
      <c r="H52" s="1" t="str">
        <f t="shared" si="2"/>
        <v>Özay</v>
      </c>
      <c r="I52" s="1" t="str">
        <f t="shared" si="5"/>
        <v>2022</v>
      </c>
      <c r="J52" s="1" t="str">
        <f t="shared" si="3"/>
        <v>Özay et al., 2022</v>
      </c>
      <c r="K52" s="1" t="str">
        <f t="shared" si="7"/>
        <v>10.1080/01443615.2022.2054684</v>
      </c>
      <c r="L52" s="1" t="str">
        <f t="shared" si="4"/>
        <v/>
      </c>
    </row>
    <row r="53" spans="1:15" ht="30" hidden="1" x14ac:dyDescent="0.25">
      <c r="A53" s="1">
        <f>INDEX(rq_evidence_review!A:A, MATCH(B53, rq_evidence_review!B:B, 0))</f>
        <v>1</v>
      </c>
      <c r="B53" s="6" t="s">
        <v>60</v>
      </c>
      <c r="C53" s="1">
        <f t="shared" si="6"/>
        <v>51</v>
      </c>
      <c r="D53" s="1">
        <f>VLOOKUP(B53,rq_evidence_review!$B$1:$L$55,7,FALSE)</f>
        <v>27</v>
      </c>
      <c r="E53" s="8" t="s">
        <v>356</v>
      </c>
      <c r="F53" s="1" t="str">
        <f t="shared" si="1"/>
        <v/>
      </c>
      <c r="H53" s="1" t="str">
        <f t="shared" si="2"/>
        <v>Villa P</v>
      </c>
      <c r="I53" s="1" t="str">
        <f t="shared" si="5"/>
        <v>2013</v>
      </c>
      <c r="J53" s="1" t="str">
        <f t="shared" si="3"/>
        <v>Villa P et al., 2013</v>
      </c>
      <c r="K53" s="1" t="str">
        <f t="shared" si="7"/>
        <v>10.1111/j.1365-2265.2012.04475.x</v>
      </c>
      <c r="L53" s="1" t="str">
        <f t="shared" si="4"/>
        <v/>
      </c>
    </row>
    <row r="54" spans="1:15" ht="30" hidden="1" x14ac:dyDescent="0.25">
      <c r="A54" s="1">
        <f>INDEX(rq_evidence_review!A:A, MATCH(B54, rq_evidence_review!B:B, 0))</f>
        <v>1</v>
      </c>
      <c r="B54" s="6" t="s">
        <v>60</v>
      </c>
      <c r="C54" s="1">
        <f t="shared" si="6"/>
        <v>52</v>
      </c>
      <c r="D54" s="1">
        <f>VLOOKUP(B54,rq_evidence_review!$B$1:$L$55,7,FALSE)</f>
        <v>27</v>
      </c>
      <c r="E54" s="8" t="s">
        <v>357</v>
      </c>
      <c r="F54" s="1" t="str">
        <f t="shared" si="1"/>
        <v/>
      </c>
      <c r="H54" s="1" t="str">
        <f t="shared" si="2"/>
        <v>Villaroel C</v>
      </c>
      <c r="I54" s="1" t="str">
        <f t="shared" si="5"/>
        <v>2015</v>
      </c>
      <c r="J54" s="1" t="str">
        <f t="shared" si="3"/>
        <v>Villaroel C et al., 2015</v>
      </c>
      <c r="K54" s="1" t="str">
        <f t="shared" si="7"/>
        <v>10.3109/09513590.2015.1025380</v>
      </c>
      <c r="L54" s="1" t="str">
        <f t="shared" si="4"/>
        <v/>
      </c>
    </row>
    <row r="55" spans="1:15" ht="45" hidden="1" x14ac:dyDescent="0.25">
      <c r="A55" s="1">
        <f>INDEX(rq_evidence_review!A:A, MATCH(B55, rq_evidence_review!B:B, 0))</f>
        <v>1</v>
      </c>
      <c r="B55" s="6" t="str">
        <f>rq_evidence_review!B5</f>
        <v>1.4.1, 1.4.2</v>
      </c>
      <c r="C55" s="1">
        <f t="shared" si="6"/>
        <v>53</v>
      </c>
      <c r="D55" s="1">
        <f>VLOOKUP(B55,rq_evidence_review!$B$1:$L$55,7,FALSE)</f>
        <v>27</v>
      </c>
      <c r="E55" s="8" t="s">
        <v>358</v>
      </c>
      <c r="F55" s="1" t="str">
        <f t="shared" si="1"/>
        <v/>
      </c>
      <c r="H55" s="1" t="str">
        <f t="shared" si="2"/>
        <v>Wongwananuruk T</v>
      </c>
      <c r="I55" s="1" t="str">
        <f t="shared" si="5"/>
        <v>2018</v>
      </c>
      <c r="J55" s="1" t="str">
        <f t="shared" si="3"/>
        <v>Wongwananuruk T et al., 2018</v>
      </c>
      <c r="K55" s="1" t="str">
        <f t="shared" si="7"/>
        <v>10.1016/j.tjog.2018.06.004</v>
      </c>
      <c r="L55" s="1" t="str">
        <f t="shared" si="4"/>
        <v/>
      </c>
    </row>
    <row r="56" spans="1:15" ht="30" hidden="1" x14ac:dyDescent="0.25">
      <c r="A56" s="1">
        <f>INDEX(rq_evidence_review!A:A, MATCH(B56, rq_evidence_review!B:B, 0))</f>
        <v>1</v>
      </c>
      <c r="B56" s="6" t="s">
        <v>63</v>
      </c>
      <c r="C56" s="1">
        <f t="shared" si="6"/>
        <v>54</v>
      </c>
      <c r="D56" s="1">
        <f>VLOOKUP(B56,rq_evidence_review!$B$1:$L$55,7,FALSE)</f>
        <v>53</v>
      </c>
      <c r="E56" s="8" t="s">
        <v>359</v>
      </c>
      <c r="F56" s="1" t="str">
        <f t="shared" si="1"/>
        <v/>
      </c>
      <c r="H56" s="1" t="str">
        <f t="shared" si="2"/>
        <v>Agrawal</v>
      </c>
      <c r="I56" s="1" t="str">
        <f t="shared" si="5"/>
        <v>2018</v>
      </c>
      <c r="J56" s="1" t="str">
        <f t="shared" si="3"/>
        <v>Agrawal et al., 2018</v>
      </c>
      <c r="K56" s="9" t="s">
        <v>1922</v>
      </c>
      <c r="L56" s="1" t="str">
        <f t="shared" si="4"/>
        <v/>
      </c>
      <c r="N56" s="1">
        <v>52258305</v>
      </c>
    </row>
    <row r="57" spans="1:15" ht="30" hidden="1" x14ac:dyDescent="0.25">
      <c r="A57" s="1">
        <f>INDEX(rq_evidence_review!A:A, MATCH(B57, rq_evidence_review!B:B, 0))</f>
        <v>1</v>
      </c>
      <c r="B57" s="6" t="s">
        <v>63</v>
      </c>
      <c r="C57" s="1">
        <f t="shared" si="6"/>
        <v>55</v>
      </c>
      <c r="D57" s="1">
        <f>VLOOKUP(B57,rq_evidence_review!$B$1:$L$55,7,FALSE)</f>
        <v>53</v>
      </c>
      <c r="E57" s="8" t="s">
        <v>360</v>
      </c>
      <c r="F57" s="1" t="str">
        <f t="shared" si="1"/>
        <v/>
      </c>
      <c r="H57" s="1" t="str">
        <f t="shared" si="2"/>
        <v>Ahmed N</v>
      </c>
      <c r="I57" s="1" t="str">
        <f t="shared" si="5"/>
        <v>2019</v>
      </c>
      <c r="J57" s="1" t="str">
        <f t="shared" si="3"/>
        <v>Ahmed N et al., 2019</v>
      </c>
      <c r="K57" s="1" t="str">
        <f t="shared" si="7"/>
        <v>10.3390/diagnostics9040136</v>
      </c>
      <c r="L57" s="1" t="str">
        <f t="shared" si="4"/>
        <v>31581541</v>
      </c>
    </row>
    <row r="58" spans="1:15" ht="30" hidden="1" x14ac:dyDescent="0.25">
      <c r="A58" s="1">
        <f>INDEX(rq_evidence_review!A:A, MATCH(B58, rq_evidence_review!B:B, 0))</f>
        <v>1</v>
      </c>
      <c r="B58" s="6" t="s">
        <v>63</v>
      </c>
      <c r="C58" s="1">
        <f t="shared" si="6"/>
        <v>56</v>
      </c>
      <c r="D58" s="1">
        <f>VLOOKUP(B58,rq_evidence_review!$B$1:$L$55,7,FALSE)</f>
        <v>53</v>
      </c>
      <c r="E58" s="8" t="s">
        <v>361</v>
      </c>
      <c r="F58" s="1" t="str">
        <f t="shared" si="1"/>
        <v/>
      </c>
      <c r="H58" s="1" t="str">
        <f t="shared" si="2"/>
        <v>Al-Jefout M</v>
      </c>
      <c r="I58" s="1" t="str">
        <f t="shared" si="5"/>
        <v>2021</v>
      </c>
      <c r="J58" s="1" t="str">
        <f t="shared" si="3"/>
        <v>Al-Jefout M et al., 2021</v>
      </c>
      <c r="K58" s="1" t="str">
        <f t="shared" si="7"/>
        <v>10.36266/JBSR/139</v>
      </c>
      <c r="L58" s="1" t="str">
        <f t="shared" si="4"/>
        <v/>
      </c>
      <c r="O58" s="1" t="s">
        <v>2010</v>
      </c>
    </row>
    <row r="59" spans="1:15" ht="30" hidden="1" x14ac:dyDescent="0.25">
      <c r="A59" s="1">
        <f>INDEX(rq_evidence_review!A:A, MATCH(B59, rq_evidence_review!B:B, 0))</f>
        <v>1</v>
      </c>
      <c r="B59" s="6" t="s">
        <v>63</v>
      </c>
      <c r="C59" s="1">
        <f t="shared" si="6"/>
        <v>57</v>
      </c>
      <c r="D59" s="1">
        <f>VLOOKUP(B59,rq_evidence_review!$B$1:$L$55,7,FALSE)</f>
        <v>53</v>
      </c>
      <c r="E59" s="8" t="s">
        <v>1475</v>
      </c>
      <c r="F59" s="1" t="str">
        <f t="shared" si="1"/>
        <v/>
      </c>
      <c r="H59" s="1" t="str">
        <f t="shared" si="2"/>
        <v>Al-Naffakh AS</v>
      </c>
      <c r="I59" s="1" t="str">
        <f t="shared" si="5"/>
        <v>2020</v>
      </c>
      <c r="J59" s="1" t="str">
        <f t="shared" si="3"/>
        <v>Al-Naffakh AS et al., 2020</v>
      </c>
      <c r="K59" s="1" t="str">
        <f>ExtractDOI(E59)</f>
        <v>10.37506/v20/i1/2020/mlu/194384</v>
      </c>
      <c r="L59" s="1" t="str">
        <f t="shared" si="4"/>
        <v/>
      </c>
    </row>
    <row r="60" spans="1:15" ht="45" hidden="1" x14ac:dyDescent="0.25">
      <c r="A60" s="1">
        <f>INDEX(rq_evidence_review!A:A, MATCH(B60, rq_evidence_review!B:B, 0))</f>
        <v>1</v>
      </c>
      <c r="B60" s="6" t="s">
        <v>63</v>
      </c>
      <c r="C60" s="1">
        <f t="shared" si="6"/>
        <v>58</v>
      </c>
      <c r="D60" s="1">
        <f>VLOOKUP(B60,rq_evidence_review!$B$1:$L$55,7,FALSE)</f>
        <v>53</v>
      </c>
      <c r="E60" s="8" t="s">
        <v>362</v>
      </c>
      <c r="F60" s="1" t="str">
        <f t="shared" si="1"/>
        <v/>
      </c>
      <c r="H60" s="1" t="str">
        <f t="shared" si="2"/>
        <v>Aydoğmuş H</v>
      </c>
      <c r="I60" s="1" t="str">
        <f t="shared" si="5"/>
        <v>2018</v>
      </c>
      <c r="J60" s="1" t="str">
        <f t="shared" si="3"/>
        <v>Aydoğmuş H et al., 2018</v>
      </c>
      <c r="K60" s="1" t="str">
        <f t="shared" si="7"/>
        <v>10.15537/smj.2018.10.23413</v>
      </c>
      <c r="L60" s="1" t="str">
        <f t="shared" si="4"/>
        <v>30284584</v>
      </c>
    </row>
    <row r="61" spans="1:15" ht="45" hidden="1" x14ac:dyDescent="0.25">
      <c r="A61" s="1">
        <f>INDEX(rq_evidence_review!A:A, MATCH(B61, rq_evidence_review!B:B, 0))</f>
        <v>1</v>
      </c>
      <c r="B61" s="6" t="s">
        <v>63</v>
      </c>
      <c r="C61" s="1">
        <f t="shared" si="6"/>
        <v>59</v>
      </c>
      <c r="D61" s="1">
        <f>VLOOKUP(B61,rq_evidence_review!$B$1:$L$55,7,FALSE)</f>
        <v>53</v>
      </c>
      <c r="E61" s="8" t="s">
        <v>363</v>
      </c>
      <c r="F61" s="1" t="str">
        <f t="shared" si="1"/>
        <v/>
      </c>
      <c r="H61" s="1" t="str">
        <f t="shared" si="2"/>
        <v>Bakeer E</v>
      </c>
      <c r="I61" s="1" t="str">
        <f t="shared" si="5"/>
        <v>2018</v>
      </c>
      <c r="J61" s="1" t="str">
        <f t="shared" si="3"/>
        <v>Bakeer E et al., 2018</v>
      </c>
      <c r="K61" s="1" t="str">
        <f t="shared" si="7"/>
        <v>10.1515/jomb-2017-0068</v>
      </c>
      <c r="L61" s="1" t="str">
        <f t="shared" si="4"/>
        <v>30584404</v>
      </c>
    </row>
    <row r="62" spans="1:15" ht="30" hidden="1" x14ac:dyDescent="0.25">
      <c r="A62" s="1">
        <f>INDEX(rq_evidence_review!A:A, MATCH(B62, rq_evidence_review!B:B, 0))</f>
        <v>1</v>
      </c>
      <c r="B62" s="6" t="s">
        <v>63</v>
      </c>
      <c r="C62" s="1">
        <f t="shared" si="6"/>
        <v>60</v>
      </c>
      <c r="D62" s="1">
        <f>VLOOKUP(B62,rq_evidence_review!$B$1:$L$55,7,FALSE)</f>
        <v>53</v>
      </c>
      <c r="E62" s="8" t="s">
        <v>364</v>
      </c>
      <c r="F62" s="1" t="str">
        <f t="shared" si="1"/>
        <v/>
      </c>
      <c r="H62" s="1" t="str">
        <f t="shared" si="2"/>
        <v>Bansal P</v>
      </c>
      <c r="I62" s="1" t="str">
        <f t="shared" si="5"/>
        <v>2020</v>
      </c>
      <c r="J62" s="1" t="str">
        <f t="shared" si="3"/>
        <v>Bansal P et al., 2020</v>
      </c>
      <c r="K62" s="1" t="str">
        <f t="shared" si="7"/>
        <v>10.1111/dth.13974</v>
      </c>
      <c r="L62" s="1" t="str">
        <f t="shared" si="4"/>
        <v>33185003</v>
      </c>
    </row>
    <row r="63" spans="1:15" ht="45" hidden="1" x14ac:dyDescent="0.25">
      <c r="A63" s="1">
        <f>INDEX(rq_evidence_review!A:A, MATCH(B63, rq_evidence_review!B:B, 0))</f>
        <v>1</v>
      </c>
      <c r="B63" s="6" t="s">
        <v>63</v>
      </c>
      <c r="C63" s="1">
        <f t="shared" si="6"/>
        <v>61</v>
      </c>
      <c r="D63" s="1">
        <f>VLOOKUP(B63,rq_evidence_review!$B$1:$L$55,7,FALSE)</f>
        <v>53</v>
      </c>
      <c r="E63" s="8" t="s">
        <v>365</v>
      </c>
      <c r="F63" s="1" t="str">
        <f t="shared" si="1"/>
        <v/>
      </c>
      <c r="H63" s="1" t="str">
        <f t="shared" si="2"/>
        <v>Bell RJ</v>
      </c>
      <c r="I63" s="1" t="str">
        <f t="shared" si="5"/>
        <v>2021</v>
      </c>
      <c r="J63" s="1" t="str">
        <f t="shared" si="3"/>
        <v>Bell RJ et al., 2021</v>
      </c>
      <c r="K63" s="1" t="str">
        <f t="shared" si="7"/>
        <v>10.1093/humrep/deab232</v>
      </c>
      <c r="L63" s="1" t="str">
        <f t="shared" si="4"/>
        <v>34741176</v>
      </c>
    </row>
    <row r="64" spans="1:15" ht="30" hidden="1" x14ac:dyDescent="0.25">
      <c r="A64" s="1">
        <f>INDEX(rq_evidence_review!A:A, MATCH(B64, rq_evidence_review!B:B, 0))</f>
        <v>1</v>
      </c>
      <c r="B64" s="6" t="s">
        <v>63</v>
      </c>
      <c r="C64" s="1">
        <f t="shared" si="6"/>
        <v>62</v>
      </c>
      <c r="D64" s="1">
        <f>VLOOKUP(B64,rq_evidence_review!$B$1:$L$55,7,FALSE)</f>
        <v>53</v>
      </c>
      <c r="E64" s="8" t="s">
        <v>366</v>
      </c>
      <c r="F64" s="1" t="str">
        <f t="shared" si="1"/>
        <v/>
      </c>
      <c r="H64" s="1" t="str">
        <f t="shared" si="2"/>
        <v>Bozdag G</v>
      </c>
      <c r="I64" s="1" t="str">
        <f t="shared" si="5"/>
        <v>2019</v>
      </c>
      <c r="J64" s="1" t="str">
        <f t="shared" si="3"/>
        <v>Bozdag G et al., 2019</v>
      </c>
      <c r="K64" s="1" t="str">
        <f t="shared" si="7"/>
        <v>10.1016/j.rbmo.2019.04.002</v>
      </c>
      <c r="L64" s="1" t="str">
        <f t="shared" si="4"/>
        <v>31182353</v>
      </c>
    </row>
    <row r="65" spans="1:12" ht="30" hidden="1" x14ac:dyDescent="0.25">
      <c r="A65" s="1">
        <f>INDEX(rq_evidence_review!A:A, MATCH(B65, rq_evidence_review!B:B, 0))</f>
        <v>1</v>
      </c>
      <c r="B65" s="6" t="s">
        <v>63</v>
      </c>
      <c r="C65" s="1">
        <f t="shared" si="6"/>
        <v>63</v>
      </c>
      <c r="D65" s="1">
        <f>VLOOKUP(B65,rq_evidence_review!$B$1:$L$55,7,FALSE)</f>
        <v>53</v>
      </c>
      <c r="E65" s="8" t="s">
        <v>367</v>
      </c>
      <c r="F65" s="1" t="str">
        <f t="shared" si="1"/>
        <v/>
      </c>
      <c r="H65" s="1" t="str">
        <f t="shared" si="2"/>
        <v>Calzada M</v>
      </c>
      <c r="I65" s="1" t="str">
        <f t="shared" si="5"/>
        <v>2019</v>
      </c>
      <c r="J65" s="1" t="str">
        <f t="shared" si="3"/>
        <v>Calzada M et al., 2019</v>
      </c>
      <c r="K65" s="1" t="str">
        <f t="shared" si="7"/>
        <v>10.1080/01443615.2019.1587604</v>
      </c>
      <c r="L65" s="1" t="str">
        <f t="shared" si="4"/>
        <v>31208261</v>
      </c>
    </row>
    <row r="66" spans="1:12" ht="45" hidden="1" x14ac:dyDescent="0.25">
      <c r="A66" s="1">
        <f>INDEX(rq_evidence_review!A:A, MATCH(B66, rq_evidence_review!B:B, 0))</f>
        <v>1</v>
      </c>
      <c r="B66" s="6" t="s">
        <v>63</v>
      </c>
      <c r="C66" s="1">
        <f t="shared" si="6"/>
        <v>64</v>
      </c>
      <c r="D66" s="1">
        <f>VLOOKUP(B66,rq_evidence_review!$B$1:$L$55,7,FALSE)</f>
        <v>53</v>
      </c>
      <c r="E66" s="8" t="s">
        <v>368</v>
      </c>
      <c r="F66" s="1" t="str">
        <f t="shared" si="1"/>
        <v/>
      </c>
      <c r="H66" s="1" t="str">
        <f t="shared" si="2"/>
        <v>Casadei L</v>
      </c>
      <c r="I66" s="1" t="str">
        <f t="shared" si="5"/>
        <v>2018</v>
      </c>
      <c r="J66" s="1" t="str">
        <f t="shared" si="3"/>
        <v>Casadei L et al., 2018</v>
      </c>
      <c r="K66" s="1" t="str">
        <f t="shared" si="7"/>
        <v>10.1007/s00404-018-4803-8</v>
      </c>
      <c r="L66" s="1" t="str">
        <f t="shared" si="4"/>
        <v>29802450</v>
      </c>
    </row>
    <row r="67" spans="1:12" ht="45" hidden="1" x14ac:dyDescent="0.25">
      <c r="A67" s="1">
        <f>INDEX(rq_evidence_review!A:A, MATCH(B67, rq_evidence_review!B:B, 0))</f>
        <v>1</v>
      </c>
      <c r="B67" s="6" t="s">
        <v>63</v>
      </c>
      <c r="C67" s="1">
        <f t="shared" si="6"/>
        <v>65</v>
      </c>
      <c r="D67" s="1">
        <f>VLOOKUP(B67,rq_evidence_review!$B$1:$L$55,7,FALSE)</f>
        <v>53</v>
      </c>
      <c r="E67" s="8" t="s">
        <v>369</v>
      </c>
      <c r="F67" s="1" t="str">
        <f t="shared" ref="F67:F130" si="8">IF(ISNUMBER(SEARCH("primary citation", E67)), "primary_citation", "")</f>
        <v/>
      </c>
      <c r="H67" s="1" t="str">
        <f t="shared" ref="H67:H130" si="9">LEFT(E67, FIND(",", E67) - 1)</f>
        <v>Cengiz H</v>
      </c>
      <c r="I67" s="1" t="str">
        <f t="shared" si="5"/>
        <v>2014</v>
      </c>
      <c r="J67" s="1" t="str">
        <f t="shared" ref="J67:J130" si="10">H67 &amp; " et al., " &amp; I67</f>
        <v>Cengiz H et al., 2014</v>
      </c>
      <c r="K67" s="1" t="str">
        <f t="shared" ref="K67:K130" si="11">ExtractDOI(E67)</f>
        <v>10.1016/j.ejogrb.2014.06.018</v>
      </c>
      <c r="L67" s="1" t="str">
        <f t="shared" ref="L67:L130" si="12">ExtractPMID(E67)</f>
        <v>25036408</v>
      </c>
    </row>
    <row r="68" spans="1:12" ht="45" hidden="1" x14ac:dyDescent="0.25">
      <c r="A68" s="1">
        <f>INDEX(rq_evidence_review!A:A, MATCH(B68, rq_evidence_review!B:B, 0))</f>
        <v>1</v>
      </c>
      <c r="B68" s="6" t="s">
        <v>63</v>
      </c>
      <c r="C68" s="1">
        <f t="shared" si="6"/>
        <v>66</v>
      </c>
      <c r="D68" s="1">
        <f>VLOOKUP(B68,rq_evidence_review!$B$1:$L$55,7,FALSE)</f>
        <v>53</v>
      </c>
      <c r="E68" s="8" t="s">
        <v>370</v>
      </c>
      <c r="F68" s="1" t="str">
        <f t="shared" si="8"/>
        <v/>
      </c>
      <c r="H68" s="1" t="str">
        <f t="shared" si="9"/>
        <v>Deveer M</v>
      </c>
      <c r="I68" s="1" t="str">
        <f t="shared" ref="I68:I131" si="13">ExtractYear(E68)</f>
        <v>2015</v>
      </c>
      <c r="J68" s="1" t="str">
        <f t="shared" si="10"/>
        <v>Deveer M et al., 2015</v>
      </c>
      <c r="K68" s="1" t="str">
        <f t="shared" si="11"/>
        <v>10.14740/jocmr2375w</v>
      </c>
      <c r="L68" s="1" t="str">
        <f t="shared" si="12"/>
        <v>26566413</v>
      </c>
    </row>
    <row r="69" spans="1:12" ht="30" hidden="1" x14ac:dyDescent="0.25">
      <c r="A69" s="1">
        <f>INDEX(rq_evidence_review!A:A, MATCH(B69, rq_evidence_review!B:B, 0))</f>
        <v>1</v>
      </c>
      <c r="B69" s="6" t="s">
        <v>63</v>
      </c>
      <c r="C69" s="1">
        <f t="shared" ref="C69:C132" si="14">C68+1</f>
        <v>67</v>
      </c>
      <c r="D69" s="1">
        <f>VLOOKUP(B69,rq_evidence_review!$B$1:$L$55,7,FALSE)</f>
        <v>53</v>
      </c>
      <c r="E69" s="8" t="s">
        <v>371</v>
      </c>
      <c r="F69" s="1" t="str">
        <f t="shared" si="8"/>
        <v/>
      </c>
      <c r="H69" s="1" t="str">
        <f t="shared" si="9"/>
        <v>Dietz de Loos A</v>
      </c>
      <c r="I69" s="1" t="str">
        <f t="shared" si="13"/>
        <v>2021</v>
      </c>
      <c r="J69" s="1" t="str">
        <f t="shared" si="10"/>
        <v>Dietz de Loos A et al., 2021</v>
      </c>
      <c r="K69" s="1" t="str">
        <f t="shared" si="11"/>
        <v>10.1016/j.fertnstert.2021.05.094</v>
      </c>
      <c r="L69" s="1" t="str">
        <f t="shared" si="12"/>
        <v>34579824</v>
      </c>
    </row>
    <row r="70" spans="1:12" ht="30" hidden="1" x14ac:dyDescent="0.25">
      <c r="A70" s="1">
        <f>INDEX(rq_evidence_review!A:A, MATCH(B70, rq_evidence_review!B:B, 0))</f>
        <v>1</v>
      </c>
      <c r="B70" s="6" t="s">
        <v>63</v>
      </c>
      <c r="C70" s="1">
        <f t="shared" si="14"/>
        <v>68</v>
      </c>
      <c r="D70" s="1">
        <f>VLOOKUP(B70,rq_evidence_review!$B$1:$L$55,7,FALSE)</f>
        <v>53</v>
      </c>
      <c r="E70" s="8" t="s">
        <v>372</v>
      </c>
      <c r="F70" s="1" t="str">
        <f t="shared" si="8"/>
        <v/>
      </c>
      <c r="H70" s="1" t="str">
        <f t="shared" si="9"/>
        <v>Evliyaoglu O</v>
      </c>
      <c r="I70" s="1" t="str">
        <f t="shared" si="13"/>
        <v>2020</v>
      </c>
      <c r="J70" s="1" t="str">
        <f t="shared" si="10"/>
        <v>Evliyaoglu O et al., 2020</v>
      </c>
      <c r="K70" s="1" t="str">
        <f t="shared" si="11"/>
        <v>10.1515/cclm-2019-1059</v>
      </c>
      <c r="L70" s="1" t="str">
        <f t="shared" si="12"/>
        <v>32069226</v>
      </c>
    </row>
    <row r="71" spans="1:12" ht="30" hidden="1" x14ac:dyDescent="0.25">
      <c r="A71" s="1">
        <f>INDEX(rq_evidence_review!A:A, MATCH(B71, rq_evidence_review!B:B, 0))</f>
        <v>1</v>
      </c>
      <c r="B71" s="6" t="s">
        <v>63</v>
      </c>
      <c r="C71" s="1">
        <f t="shared" si="14"/>
        <v>69</v>
      </c>
      <c r="D71" s="1">
        <f>VLOOKUP(B71,rq_evidence_review!$B$1:$L$55,7,FALSE)</f>
        <v>53</v>
      </c>
      <c r="E71" s="8" t="s">
        <v>373</v>
      </c>
      <c r="F71" s="1" t="str">
        <f t="shared" si="8"/>
        <v/>
      </c>
      <c r="H71" s="1" t="str">
        <f t="shared" si="9"/>
        <v>Farooq S</v>
      </c>
      <c r="I71" s="1" t="str">
        <f t="shared" si="13"/>
        <v>2022</v>
      </c>
      <c r="J71" s="1" t="str">
        <f t="shared" si="10"/>
        <v>Farooq S et al., 2022</v>
      </c>
      <c r="K71" s="9" t="s">
        <v>1476</v>
      </c>
      <c r="L71" s="1" t="str">
        <f t="shared" si="12"/>
        <v/>
      </c>
    </row>
    <row r="72" spans="1:12" ht="30" hidden="1" x14ac:dyDescent="0.25">
      <c r="A72" s="1">
        <f>INDEX(rq_evidence_review!A:A, MATCH(B72, rq_evidence_review!B:B, 0))</f>
        <v>1</v>
      </c>
      <c r="B72" s="6" t="s">
        <v>63</v>
      </c>
      <c r="C72" s="1">
        <f t="shared" si="14"/>
        <v>70</v>
      </c>
      <c r="D72" s="1">
        <f>VLOOKUP(B72,rq_evidence_review!$B$1:$L$55,7,FALSE)</f>
        <v>53</v>
      </c>
      <c r="E72" s="8" t="s">
        <v>374</v>
      </c>
      <c r="F72" s="1" t="str">
        <f t="shared" si="8"/>
        <v/>
      </c>
      <c r="H72" s="1" t="str">
        <f t="shared" si="9"/>
        <v>Fu H</v>
      </c>
      <c r="I72" s="1" t="str">
        <f t="shared" si="13"/>
        <v>2021</v>
      </c>
      <c r="J72" s="1" t="str">
        <f t="shared" si="10"/>
        <v>Fu H et al., 2021</v>
      </c>
      <c r="K72" s="1" t="str">
        <f t="shared" si="11"/>
        <v>10.1080/19396368.2020.1860155</v>
      </c>
      <c r="L72" s="1" t="str">
        <f t="shared" si="12"/>
        <v>33406916</v>
      </c>
    </row>
    <row r="73" spans="1:12" ht="30" hidden="1" x14ac:dyDescent="0.25">
      <c r="A73" s="1">
        <f>INDEX(rq_evidence_review!A:A, MATCH(B73, rq_evidence_review!B:B, 0))</f>
        <v>1</v>
      </c>
      <c r="B73" s="6" t="s">
        <v>63</v>
      </c>
      <c r="C73" s="1">
        <f t="shared" si="14"/>
        <v>71</v>
      </c>
      <c r="D73" s="1">
        <f>VLOOKUP(B73,rq_evidence_review!$B$1:$L$55,7,FALSE)</f>
        <v>53</v>
      </c>
      <c r="E73" s="8" t="s">
        <v>375</v>
      </c>
      <c r="F73" s="1" t="str">
        <f t="shared" si="8"/>
        <v/>
      </c>
      <c r="H73" s="1" t="str">
        <f t="shared" si="9"/>
        <v>Gabr H</v>
      </c>
      <c r="I73" s="1" t="str">
        <f t="shared" si="13"/>
        <v>2019</v>
      </c>
      <c r="J73" s="1" t="str">
        <f t="shared" si="10"/>
        <v>Gabr H et al., 2019</v>
      </c>
      <c r="K73" s="9" t="s">
        <v>1477</v>
      </c>
      <c r="L73" s="1" t="str">
        <f t="shared" si="12"/>
        <v/>
      </c>
    </row>
    <row r="74" spans="1:12" ht="30" hidden="1" x14ac:dyDescent="0.25">
      <c r="A74" s="1">
        <f>INDEX(rq_evidence_review!A:A, MATCH(B74, rq_evidence_review!B:B, 0))</f>
        <v>1</v>
      </c>
      <c r="B74" s="6" t="s">
        <v>63</v>
      </c>
      <c r="C74" s="1">
        <f t="shared" si="14"/>
        <v>72</v>
      </c>
      <c r="D74" s="1">
        <f>VLOOKUP(B74,rq_evidence_review!$B$1:$L$55,7,FALSE)</f>
        <v>53</v>
      </c>
      <c r="E74" s="8" t="s">
        <v>376</v>
      </c>
      <c r="F74" s="1" t="str">
        <f t="shared" si="8"/>
        <v/>
      </c>
      <c r="H74" s="1" t="str">
        <f t="shared" si="9"/>
        <v>Indran IR</v>
      </c>
      <c r="I74" s="1" t="str">
        <f t="shared" si="13"/>
        <v>2018</v>
      </c>
      <c r="J74" s="1" t="str">
        <f t="shared" si="10"/>
        <v>Indran IR et al., 2018</v>
      </c>
      <c r="K74" s="1" t="str">
        <f t="shared" si="11"/>
        <v>10.1111/cen.13755</v>
      </c>
      <c r="L74" s="1" t="str">
        <f t="shared" si="12"/>
        <v>29851127</v>
      </c>
    </row>
    <row r="75" spans="1:12" ht="30" hidden="1" x14ac:dyDescent="0.25">
      <c r="A75" s="1">
        <f>INDEX(rq_evidence_review!A:A, MATCH(B75, rq_evidence_review!B:B, 0))</f>
        <v>1</v>
      </c>
      <c r="B75" s="6" t="s">
        <v>63</v>
      </c>
      <c r="C75" s="1">
        <f t="shared" si="14"/>
        <v>73</v>
      </c>
      <c r="D75" s="1">
        <f>VLOOKUP(B75,rq_evidence_review!$B$1:$L$55,7,FALSE)</f>
        <v>53</v>
      </c>
      <c r="E75" s="8" t="s">
        <v>377</v>
      </c>
      <c r="F75" s="1" t="str">
        <f t="shared" si="8"/>
        <v/>
      </c>
      <c r="H75" s="1" t="str">
        <f t="shared" si="9"/>
        <v>Jacob SL</v>
      </c>
      <c r="I75" s="1" t="str">
        <f t="shared" si="13"/>
        <v>2017</v>
      </c>
      <c r="J75" s="1" t="str">
        <f t="shared" si="10"/>
        <v>Jacob SL et al., 2017</v>
      </c>
      <c r="K75" s="1" t="str">
        <f t="shared" si="11"/>
        <v>10.1111/cen.13269</v>
      </c>
      <c r="L75" s="1" t="str">
        <f t="shared" si="12"/>
        <v>27805276</v>
      </c>
    </row>
    <row r="76" spans="1:12" ht="45" hidden="1" x14ac:dyDescent="0.25">
      <c r="A76" s="1">
        <f>INDEX(rq_evidence_review!A:A, MATCH(B76, rq_evidence_review!B:B, 0))</f>
        <v>1</v>
      </c>
      <c r="B76" s="6" t="s">
        <v>63</v>
      </c>
      <c r="C76" s="1">
        <f t="shared" si="14"/>
        <v>74</v>
      </c>
      <c r="D76" s="1">
        <f>VLOOKUP(B76,rq_evidence_review!$B$1:$L$55,7,FALSE)</f>
        <v>53</v>
      </c>
      <c r="E76" s="8" t="s">
        <v>378</v>
      </c>
      <c r="F76" s="1" t="str">
        <f t="shared" si="8"/>
        <v/>
      </c>
      <c r="H76" s="1" t="str">
        <f t="shared" si="9"/>
        <v>Jamil AS</v>
      </c>
      <c r="I76" s="1" t="str">
        <f t="shared" si="13"/>
        <v>2016</v>
      </c>
      <c r="J76" s="1" t="str">
        <f t="shared" si="10"/>
        <v>Jamil AS et al., 2016</v>
      </c>
      <c r="K76" s="1" t="str">
        <f t="shared" si="11"/>
        <v>10.1007/s00404-015-3889-5</v>
      </c>
      <c r="L76" s="1" t="str">
        <f t="shared" si="12"/>
        <v>26408006</v>
      </c>
    </row>
    <row r="77" spans="1:12" ht="30" hidden="1" x14ac:dyDescent="0.25">
      <c r="A77" s="1">
        <f>INDEX(rq_evidence_review!A:A, MATCH(B77, rq_evidence_review!B:B, 0))</f>
        <v>1</v>
      </c>
      <c r="B77" s="6" t="s">
        <v>63</v>
      </c>
      <c r="C77" s="1">
        <f t="shared" si="14"/>
        <v>75</v>
      </c>
      <c r="D77" s="1">
        <f>VLOOKUP(B77,rq_evidence_review!$B$1:$L$55,7,FALSE)</f>
        <v>53</v>
      </c>
      <c r="E77" s="8" t="s">
        <v>379</v>
      </c>
      <c r="F77" s="1" t="str">
        <f t="shared" si="8"/>
        <v/>
      </c>
      <c r="H77" s="1" t="str">
        <f t="shared" si="9"/>
        <v>Kakkad V</v>
      </c>
      <c r="I77" s="1" t="str">
        <f t="shared" si="13"/>
        <v>2021</v>
      </c>
      <c r="J77" s="1" t="str">
        <f t="shared" si="10"/>
        <v>Kakkad V et al., 2021</v>
      </c>
      <c r="K77" s="1" t="str">
        <f t="shared" si="11"/>
        <v>10.1002/ijgo.13515</v>
      </c>
      <c r="L77" s="1" t="str">
        <f t="shared" si="12"/>
        <v/>
      </c>
    </row>
    <row r="78" spans="1:12" ht="45" hidden="1" x14ac:dyDescent="0.25">
      <c r="A78" s="1">
        <f>INDEX(rq_evidence_review!A:A, MATCH(B78, rq_evidence_review!B:B, 0))</f>
        <v>1</v>
      </c>
      <c r="B78" s="6" t="s">
        <v>63</v>
      </c>
      <c r="C78" s="1">
        <f t="shared" si="14"/>
        <v>76</v>
      </c>
      <c r="D78" s="1">
        <f>VLOOKUP(B78,rq_evidence_review!$B$1:$L$55,7,FALSE)</f>
        <v>53</v>
      </c>
      <c r="E78" s="8" t="s">
        <v>309</v>
      </c>
      <c r="F78" s="1" t="str">
        <f t="shared" si="8"/>
        <v/>
      </c>
      <c r="H78" s="1" t="str">
        <f t="shared" si="9"/>
        <v>Khashchenko E</v>
      </c>
      <c r="I78" s="1" t="str">
        <f t="shared" si="13"/>
        <v>2020</v>
      </c>
      <c r="J78" s="1" t="str">
        <f t="shared" si="10"/>
        <v>Khashchenko E et al., 2020</v>
      </c>
      <c r="K78" s="1" t="str">
        <f t="shared" si="11"/>
        <v>10.3390/jcm9061831</v>
      </c>
      <c r="L78" s="1" t="str">
        <f t="shared" si="12"/>
        <v>32545404</v>
      </c>
    </row>
    <row r="79" spans="1:12" ht="30" hidden="1" x14ac:dyDescent="0.25">
      <c r="A79" s="1">
        <f>INDEX(rq_evidence_review!A:A, MATCH(B79, rq_evidence_review!B:B, 0))</f>
        <v>1</v>
      </c>
      <c r="B79" s="6" t="s">
        <v>63</v>
      </c>
      <c r="C79" s="1">
        <f t="shared" si="14"/>
        <v>77</v>
      </c>
      <c r="D79" s="1">
        <f>VLOOKUP(B79,rq_evidence_review!$B$1:$L$55,7,FALSE)</f>
        <v>53</v>
      </c>
      <c r="E79" s="8" t="s">
        <v>380</v>
      </c>
      <c r="F79" s="1" t="str">
        <f t="shared" si="8"/>
        <v/>
      </c>
      <c r="H79" s="1" t="str">
        <f t="shared" si="9"/>
        <v>Kim JY</v>
      </c>
      <c r="I79" s="1" t="str">
        <f t="shared" si="13"/>
        <v>2017</v>
      </c>
      <c r="J79" s="1" t="str">
        <f t="shared" si="10"/>
        <v>Kim JY et al., 2017</v>
      </c>
      <c r="K79" s="1" t="str">
        <f t="shared" si="11"/>
        <v>10.1016/j.jadohealth.2016.10.015</v>
      </c>
      <c r="L79" s="1" t="str">
        <f t="shared" si="12"/>
        <v>27998701</v>
      </c>
    </row>
    <row r="80" spans="1:12" ht="30" hidden="1" x14ac:dyDescent="0.25">
      <c r="A80" s="1">
        <f>INDEX(rq_evidence_review!A:A, MATCH(B80, rq_evidence_review!B:B, 0))</f>
        <v>1</v>
      </c>
      <c r="B80" s="6" t="s">
        <v>63</v>
      </c>
      <c r="C80" s="1">
        <f t="shared" si="14"/>
        <v>78</v>
      </c>
      <c r="D80" s="1">
        <f>VLOOKUP(B80,rq_evidence_review!$B$1:$L$55,7,FALSE)</f>
        <v>53</v>
      </c>
      <c r="E80" s="8" t="s">
        <v>381</v>
      </c>
      <c r="F80" s="1" t="str">
        <f t="shared" si="8"/>
        <v/>
      </c>
      <c r="H80" s="1" t="str">
        <f t="shared" si="9"/>
        <v>Kumari A</v>
      </c>
      <c r="I80" s="1" t="str">
        <f t="shared" si="13"/>
        <v>2018</v>
      </c>
      <c r="J80" s="1" t="str">
        <f t="shared" si="10"/>
        <v>Kumari A et al., 2018</v>
      </c>
      <c r="K80" s="1" t="s">
        <v>1478</v>
      </c>
      <c r="L80" s="1" t="str">
        <f t="shared" si="12"/>
        <v/>
      </c>
    </row>
    <row r="81" spans="1:12" ht="30" hidden="1" x14ac:dyDescent="0.25">
      <c r="A81" s="1">
        <f>INDEX(rq_evidence_review!A:A, MATCH(B81, rq_evidence_review!B:B, 0))</f>
        <v>1</v>
      </c>
      <c r="B81" s="6" t="s">
        <v>63</v>
      </c>
      <c r="C81" s="1">
        <f t="shared" si="14"/>
        <v>79</v>
      </c>
      <c r="D81" s="1">
        <f>VLOOKUP(B81,rq_evidence_review!$B$1:$L$55,7,FALSE)</f>
        <v>53</v>
      </c>
      <c r="E81" s="8" t="s">
        <v>382</v>
      </c>
      <c r="F81" s="1" t="str">
        <f t="shared" si="8"/>
        <v/>
      </c>
      <c r="H81" s="1" t="str">
        <f t="shared" si="9"/>
        <v>Le MT</v>
      </c>
      <c r="I81" s="1" t="str">
        <f t="shared" si="13"/>
        <v>2019</v>
      </c>
      <c r="J81" s="1" t="str">
        <f t="shared" si="10"/>
        <v>Le MT et al., 2019</v>
      </c>
      <c r="K81" s="1" t="str">
        <f t="shared" si="11"/>
        <v>10.1111/cen.13934</v>
      </c>
      <c r="L81" s="1" t="str">
        <f t="shared" si="12"/>
        <v>30636332</v>
      </c>
    </row>
    <row r="82" spans="1:12" ht="45" hidden="1" x14ac:dyDescent="0.25">
      <c r="A82" s="1">
        <f>INDEX(rq_evidence_review!A:A, MATCH(B82, rq_evidence_review!B:B, 0))</f>
        <v>1</v>
      </c>
      <c r="B82" s="6" t="s">
        <v>63</v>
      </c>
      <c r="C82" s="1">
        <f t="shared" si="14"/>
        <v>80</v>
      </c>
      <c r="D82" s="1">
        <f>VLOOKUP(B82,rq_evidence_review!$B$1:$L$55,7,FALSE)</f>
        <v>53</v>
      </c>
      <c r="E82" s="8" t="s">
        <v>383</v>
      </c>
      <c r="F82" s="1" t="str">
        <f t="shared" si="8"/>
        <v/>
      </c>
      <c r="H82" s="1" t="str">
        <f t="shared" si="9"/>
        <v>Li H</v>
      </c>
      <c r="I82" s="1" t="str">
        <f t="shared" si="13"/>
        <v>2020</v>
      </c>
      <c r="J82" s="1" t="str">
        <f t="shared" si="10"/>
        <v>Li H et al., 2020</v>
      </c>
      <c r="K82" s="1" t="str">
        <f t="shared" si="11"/>
        <v>10.1111/1471-0528.16147</v>
      </c>
      <c r="L82" s="1" t="str">
        <f t="shared" si="12"/>
        <v>32009280</v>
      </c>
    </row>
    <row r="83" spans="1:12" ht="45" hidden="1" x14ac:dyDescent="0.25">
      <c r="A83" s="1">
        <f>INDEX(rq_evidence_review!A:A, MATCH(B83, rq_evidence_review!B:B, 0))</f>
        <v>1</v>
      </c>
      <c r="B83" s="6" t="s">
        <v>63</v>
      </c>
      <c r="C83" s="1">
        <f t="shared" si="14"/>
        <v>81</v>
      </c>
      <c r="D83" s="1">
        <f>VLOOKUP(B83,rq_evidence_review!$B$1:$L$55,7,FALSE)</f>
        <v>53</v>
      </c>
      <c r="E83" s="8" t="s">
        <v>384</v>
      </c>
      <c r="F83" s="1" t="str">
        <f t="shared" si="8"/>
        <v/>
      </c>
      <c r="H83" s="1" t="str">
        <f t="shared" si="9"/>
        <v>Lie Fong S</v>
      </c>
      <c r="I83" s="1" t="str">
        <f t="shared" si="13"/>
        <v>2017</v>
      </c>
      <c r="J83" s="1" t="str">
        <f t="shared" si="10"/>
        <v>Lie Fong S et al., 2017</v>
      </c>
      <c r="K83" s="1" t="str">
        <f t="shared" si="11"/>
        <v>10.1093/humrep/dex226</v>
      </c>
      <c r="L83" s="1" t="str">
        <f t="shared" si="12"/>
        <v>28854584</v>
      </c>
    </row>
    <row r="84" spans="1:12" ht="30" hidden="1" x14ac:dyDescent="0.25">
      <c r="A84" s="1">
        <f>INDEX(rq_evidence_review!A:A, MATCH(B84, rq_evidence_review!B:B, 0))</f>
        <v>1</v>
      </c>
      <c r="B84" s="6" t="s">
        <v>63</v>
      </c>
      <c r="C84" s="1">
        <f t="shared" si="14"/>
        <v>82</v>
      </c>
      <c r="D84" s="1">
        <f>VLOOKUP(B84,rq_evidence_review!$B$1:$L$55,7,FALSE)</f>
        <v>53</v>
      </c>
      <c r="E84" s="8" t="s">
        <v>385</v>
      </c>
      <c r="F84" s="1" t="str">
        <f t="shared" si="8"/>
        <v/>
      </c>
      <c r="H84" s="1" t="str">
        <f t="shared" si="9"/>
        <v>Lin YH</v>
      </c>
      <c r="I84" s="1" t="str">
        <f t="shared" si="13"/>
        <v>2011</v>
      </c>
      <c r="J84" s="1" t="str">
        <f t="shared" si="10"/>
        <v>Lin YH et al., 2011</v>
      </c>
      <c r="K84" s="1" t="str">
        <f t="shared" si="11"/>
        <v>10.1016/j.fertnstert.2011.04.003</v>
      </c>
      <c r="L84" s="1" t="str">
        <f t="shared" si="12"/>
        <v>21549367</v>
      </c>
    </row>
    <row r="85" spans="1:12" ht="45" hidden="1" x14ac:dyDescent="0.25">
      <c r="A85" s="1">
        <f>INDEX(rq_evidence_review!A:A, MATCH(B85, rq_evidence_review!B:B, 0))</f>
        <v>1</v>
      </c>
      <c r="B85" s="6" t="s">
        <v>63</v>
      </c>
      <c r="C85" s="1">
        <f t="shared" si="14"/>
        <v>83</v>
      </c>
      <c r="D85" s="1">
        <f>VLOOKUP(B85,rq_evidence_review!$B$1:$L$55,7,FALSE)</f>
        <v>53</v>
      </c>
      <c r="E85" s="8" t="s">
        <v>386</v>
      </c>
      <c r="F85" s="1" t="str">
        <f t="shared" si="8"/>
        <v/>
      </c>
      <c r="H85" s="1" t="str">
        <f t="shared" si="9"/>
        <v>Mahajan N</v>
      </c>
      <c r="I85" s="1" t="str">
        <f t="shared" si="13"/>
        <v>2019</v>
      </c>
      <c r="J85" s="1" t="str">
        <f t="shared" si="10"/>
        <v>Mahajan N et al., 2019</v>
      </c>
      <c r="K85" s="1" t="str">
        <f t="shared" si="11"/>
        <v>10.4103/jhrs.JHRS_149_18</v>
      </c>
      <c r="L85" s="1" t="str">
        <f t="shared" si="12"/>
        <v>31293324</v>
      </c>
    </row>
    <row r="86" spans="1:12" ht="45" hidden="1" x14ac:dyDescent="0.25">
      <c r="A86" s="1">
        <f>INDEX(rq_evidence_review!A:A, MATCH(B86, rq_evidence_review!B:B, 0))</f>
        <v>1</v>
      </c>
      <c r="B86" s="6" t="s">
        <v>63</v>
      </c>
      <c r="C86" s="1">
        <f t="shared" si="14"/>
        <v>84</v>
      </c>
      <c r="D86" s="1">
        <f>VLOOKUP(B86,rq_evidence_review!$B$1:$L$55,7,FALSE)</f>
        <v>53</v>
      </c>
      <c r="E86" s="8" t="s">
        <v>387</v>
      </c>
      <c r="F86" s="1" t="str">
        <f t="shared" si="8"/>
        <v/>
      </c>
      <c r="H86" s="1" t="str">
        <f t="shared" si="9"/>
        <v>Matsuzaki T</v>
      </c>
      <c r="I86" s="1" t="str">
        <f t="shared" si="13"/>
        <v>2017</v>
      </c>
      <c r="J86" s="1" t="str">
        <f t="shared" si="10"/>
        <v>Matsuzaki T et al., 2017</v>
      </c>
      <c r="K86" s="1" t="str">
        <f t="shared" si="11"/>
        <v>10.1507/endocrj.EJ16-0501</v>
      </c>
      <c r="L86" s="1" t="str">
        <f t="shared" si="12"/>
        <v>28381699</v>
      </c>
    </row>
    <row r="87" spans="1:12" ht="30" hidden="1" x14ac:dyDescent="0.25">
      <c r="A87" s="1">
        <f>INDEX(rq_evidence_review!A:A, MATCH(B87, rq_evidence_review!B:B, 0))</f>
        <v>1</v>
      </c>
      <c r="B87" s="6" t="s">
        <v>63</v>
      </c>
      <c r="C87" s="1">
        <f t="shared" si="14"/>
        <v>85</v>
      </c>
      <c r="D87" s="1">
        <f>VLOOKUP(B87,rq_evidence_review!$B$1:$L$55,7,FALSE)</f>
        <v>53</v>
      </c>
      <c r="E87" s="8" t="s">
        <v>388</v>
      </c>
      <c r="F87" s="1" t="str">
        <f t="shared" si="8"/>
        <v/>
      </c>
      <c r="H87" s="1" t="str">
        <f t="shared" si="9"/>
        <v>Okcu NT</v>
      </c>
      <c r="I87" s="1" t="str">
        <f t="shared" si="13"/>
        <v/>
      </c>
      <c r="J87" s="1" t="str">
        <f t="shared" si="10"/>
        <v xml:space="preserve">Okcu NT et al., </v>
      </c>
      <c r="K87" s="1" t="str">
        <f t="shared" si="11"/>
        <v>10.18621/eurj.332118</v>
      </c>
      <c r="L87" s="1" t="str">
        <f t="shared" si="12"/>
        <v/>
      </c>
    </row>
    <row r="88" spans="1:12" ht="45" hidden="1" x14ac:dyDescent="0.25">
      <c r="A88" s="1">
        <f>INDEX(rq_evidence_review!A:A, MATCH(B88, rq_evidence_review!B:B, 0))</f>
        <v>1</v>
      </c>
      <c r="B88" s="6" t="s">
        <v>63</v>
      </c>
      <c r="C88" s="1">
        <f t="shared" si="14"/>
        <v>86</v>
      </c>
      <c r="D88" s="1">
        <f>VLOOKUP(B88,rq_evidence_review!$B$1:$L$55,7,FALSE)</f>
        <v>53</v>
      </c>
      <c r="E88" s="8" t="s">
        <v>389</v>
      </c>
      <c r="F88" s="1" t="str">
        <f t="shared" si="8"/>
        <v/>
      </c>
      <c r="H88" s="1" t="str">
        <f t="shared" si="9"/>
        <v>Oueslati I</v>
      </c>
      <c r="I88" s="1" t="str">
        <f t="shared" si="13"/>
        <v>2022</v>
      </c>
      <c r="J88" s="1" t="str">
        <f t="shared" si="10"/>
        <v>Oueslati I et al., 2022</v>
      </c>
      <c r="K88" s="1" t="str">
        <f t="shared" si="11"/>
        <v>10.1515/hmbci-2021-0078</v>
      </c>
      <c r="L88" s="1" t="str">
        <f t="shared" si="12"/>
        <v>35506902</v>
      </c>
    </row>
    <row r="89" spans="1:12" ht="45" hidden="1" x14ac:dyDescent="0.25">
      <c r="A89" s="1">
        <f>INDEX(rq_evidence_review!A:A, MATCH(B89, rq_evidence_review!B:B, 0))</f>
        <v>1</v>
      </c>
      <c r="B89" s="6" t="s">
        <v>63</v>
      </c>
      <c r="C89" s="1">
        <f t="shared" si="14"/>
        <v>87</v>
      </c>
      <c r="D89" s="1">
        <f>VLOOKUP(B89,rq_evidence_review!$B$1:$L$55,7,FALSE)</f>
        <v>53</v>
      </c>
      <c r="E89" s="8" t="s">
        <v>390</v>
      </c>
      <c r="F89" s="1" t="str">
        <f t="shared" si="8"/>
        <v/>
      </c>
      <c r="H89" s="1" t="str">
        <f t="shared" si="9"/>
        <v>Pankhurst MW</v>
      </c>
      <c r="I89" s="1" t="str">
        <f t="shared" si="13"/>
        <v>2017</v>
      </c>
      <c r="J89" s="1" t="str">
        <f t="shared" si="10"/>
        <v>Pankhurst MW et al., 2017</v>
      </c>
      <c r="K89" s="1" t="str">
        <f t="shared" si="11"/>
        <v>10.1016/j.fertnstert.2017.08.012</v>
      </c>
      <c r="L89" s="1" t="str">
        <f t="shared" si="12"/>
        <v>29079276</v>
      </c>
    </row>
    <row r="90" spans="1:12" ht="45" hidden="1" x14ac:dyDescent="0.25">
      <c r="A90" s="1">
        <f>INDEX(rq_evidence_review!A:A, MATCH(B90, rq_evidence_review!B:B, 0))</f>
        <v>1</v>
      </c>
      <c r="B90" s="6" t="s">
        <v>63</v>
      </c>
      <c r="C90" s="1">
        <f t="shared" si="14"/>
        <v>88</v>
      </c>
      <c r="D90" s="1">
        <f>VLOOKUP(B90,rq_evidence_review!$B$1:$L$55,7,FALSE)</f>
        <v>53</v>
      </c>
      <c r="E90" s="8" t="s">
        <v>391</v>
      </c>
      <c r="F90" s="1" t="str">
        <f t="shared" si="8"/>
        <v/>
      </c>
      <c r="H90" s="1" t="str">
        <f t="shared" si="9"/>
        <v>Prieto-Sánchez MT</v>
      </c>
      <c r="I90" s="1" t="str">
        <f t="shared" si="13"/>
        <v>2022</v>
      </c>
      <c r="J90" s="1" t="str">
        <f t="shared" si="10"/>
        <v>Prieto-Sánchez MT et al., 2022</v>
      </c>
      <c r="K90" s="1" t="str">
        <f t="shared" si="11"/>
        <v>10.1080/14647273.2020.1795574</v>
      </c>
      <c r="L90" s="1" t="str">
        <f t="shared" si="12"/>
        <v>32713212</v>
      </c>
    </row>
    <row r="91" spans="1:12" ht="45" hidden="1" x14ac:dyDescent="0.25">
      <c r="A91" s="1">
        <f>INDEX(rq_evidence_review!A:A, MATCH(B91, rq_evidence_review!B:B, 0))</f>
        <v>1</v>
      </c>
      <c r="B91" s="6" t="s">
        <v>63</v>
      </c>
      <c r="C91" s="1">
        <f t="shared" si="14"/>
        <v>89</v>
      </c>
      <c r="D91" s="1">
        <f>VLOOKUP(B91,rq_evidence_review!$B$1:$L$55,7,FALSE)</f>
        <v>53</v>
      </c>
      <c r="E91" s="8" t="s">
        <v>392</v>
      </c>
      <c r="F91" s="1" t="str">
        <f t="shared" si="8"/>
        <v/>
      </c>
      <c r="H91" s="1" t="str">
        <f t="shared" si="9"/>
        <v>Quinn MM</v>
      </c>
      <c r="I91" s="1" t="str">
        <f t="shared" si="13"/>
        <v>2017</v>
      </c>
      <c r="J91" s="1" t="str">
        <f t="shared" si="10"/>
        <v>Quinn MM et al., 2017</v>
      </c>
      <c r="K91" s="1" t="str">
        <f t="shared" si="11"/>
        <v>10.1111/cen.13415</v>
      </c>
      <c r="L91" s="1" t="str">
        <f t="shared" si="12"/>
        <v>28681949</v>
      </c>
    </row>
    <row r="92" spans="1:12" ht="45" hidden="1" x14ac:dyDescent="0.25">
      <c r="A92" s="1">
        <f>INDEX(rq_evidence_review!A:A, MATCH(B92, rq_evidence_review!B:B, 0))</f>
        <v>1</v>
      </c>
      <c r="B92" s="6" t="s">
        <v>63</v>
      </c>
      <c r="C92" s="1">
        <f t="shared" si="14"/>
        <v>90</v>
      </c>
      <c r="D92" s="1">
        <f>VLOOKUP(B92,rq_evidence_review!$B$1:$L$55,7,FALSE)</f>
        <v>53</v>
      </c>
      <c r="E92" s="8" t="s">
        <v>393</v>
      </c>
      <c r="F92" s="1" t="str">
        <f t="shared" si="8"/>
        <v/>
      </c>
      <c r="H92" s="1" t="str">
        <f t="shared" si="9"/>
        <v>Ramezani Tehrani F</v>
      </c>
      <c r="I92" s="1" t="str">
        <f t="shared" si="13"/>
        <v>2021</v>
      </c>
      <c r="J92" s="1" t="str">
        <f t="shared" si="10"/>
        <v>Ramezani Tehrani F et al., 2021</v>
      </c>
      <c r="K92" s="1" t="str">
        <f t="shared" si="11"/>
        <v>10.1186/s12958-021-00755-8</v>
      </c>
      <c r="L92" s="1" t="str">
        <f t="shared" si="12"/>
        <v>34022904</v>
      </c>
    </row>
    <row r="93" spans="1:12" ht="30" hidden="1" x14ac:dyDescent="0.25">
      <c r="A93" s="1">
        <f>INDEX(rq_evidence_review!A:A, MATCH(B93, rq_evidence_review!B:B, 0))</f>
        <v>1</v>
      </c>
      <c r="B93" s="6" t="s">
        <v>63</v>
      </c>
      <c r="C93" s="1">
        <f t="shared" si="14"/>
        <v>91</v>
      </c>
      <c r="D93" s="1">
        <f>VLOOKUP(B93,rq_evidence_review!$B$1:$L$55,7,FALSE)</f>
        <v>53</v>
      </c>
      <c r="E93" s="8" t="s">
        <v>394</v>
      </c>
      <c r="F93" s="1" t="str">
        <f t="shared" si="8"/>
        <v/>
      </c>
      <c r="H93" s="1" t="str">
        <f t="shared" si="9"/>
        <v>Sathyapalan T</v>
      </c>
      <c r="I93" s="1" t="str">
        <f t="shared" si="13"/>
        <v>2018</v>
      </c>
      <c r="J93" s="1" t="str">
        <f t="shared" si="10"/>
        <v>Sathyapalan T et al., 2018</v>
      </c>
      <c r="K93" s="1" t="str">
        <f t="shared" si="11"/>
        <v>10.1111/cen.13517</v>
      </c>
      <c r="L93" s="1" t="str">
        <f t="shared" si="12"/>
        <v>29144548</v>
      </c>
    </row>
    <row r="94" spans="1:12" ht="45" hidden="1" x14ac:dyDescent="0.25">
      <c r="A94" s="1">
        <f>INDEX(rq_evidence_review!A:A, MATCH(B94, rq_evidence_review!B:B, 0))</f>
        <v>1</v>
      </c>
      <c r="B94" s="6" t="s">
        <v>63</v>
      </c>
      <c r="C94" s="1">
        <f t="shared" si="14"/>
        <v>92</v>
      </c>
      <c r="D94" s="1">
        <f>VLOOKUP(B94,rq_evidence_review!$B$1:$L$55,7,FALSE)</f>
        <v>53</v>
      </c>
      <c r="E94" s="8" t="s">
        <v>395</v>
      </c>
      <c r="F94" s="1" t="str">
        <f t="shared" si="8"/>
        <v/>
      </c>
      <c r="H94" s="1" t="str">
        <f t="shared" si="9"/>
        <v>Savas-Erdeve S</v>
      </c>
      <c r="I94" s="1" t="str">
        <f t="shared" si="13"/>
        <v>2016</v>
      </c>
      <c r="J94" s="1" t="str">
        <f t="shared" si="10"/>
        <v>Savas-Erdeve S et al., 2016</v>
      </c>
      <c r="K94" s="1" t="str">
        <f t="shared" si="11"/>
        <v>10.1159/000446111</v>
      </c>
      <c r="L94" s="1" t="str">
        <f t="shared" si="12"/>
        <v>27173790</v>
      </c>
    </row>
    <row r="95" spans="1:12" ht="30" hidden="1" x14ac:dyDescent="0.25">
      <c r="A95" s="1">
        <f>INDEX(rq_evidence_review!A:A, MATCH(B95, rq_evidence_review!B:B, 0))</f>
        <v>1</v>
      </c>
      <c r="B95" s="6" t="s">
        <v>63</v>
      </c>
      <c r="C95" s="1">
        <f t="shared" si="14"/>
        <v>93</v>
      </c>
      <c r="D95" s="1">
        <f>VLOOKUP(B95,rq_evidence_review!$B$1:$L$55,7,FALSE)</f>
        <v>53</v>
      </c>
      <c r="E95" s="8" t="s">
        <v>396</v>
      </c>
      <c r="F95" s="1" t="str">
        <f t="shared" si="8"/>
        <v/>
      </c>
      <c r="H95" s="1" t="str">
        <f t="shared" si="9"/>
        <v>Saxena</v>
      </c>
      <c r="I95" s="1" t="str">
        <f t="shared" si="13"/>
        <v>2018</v>
      </c>
      <c r="J95" s="1" t="str">
        <f t="shared" si="10"/>
        <v>Saxena et al., 2018</v>
      </c>
      <c r="K95" s="1" t="str">
        <f t="shared" si="11"/>
        <v>10.1007/s13224-017-1066-4</v>
      </c>
      <c r="L95" s="1" t="str">
        <f t="shared" si="12"/>
        <v/>
      </c>
    </row>
    <row r="96" spans="1:12" ht="30" hidden="1" x14ac:dyDescent="0.25">
      <c r="A96" s="1">
        <f>INDEX(rq_evidence_review!A:A, MATCH(B96, rq_evidence_review!B:B, 0))</f>
        <v>1</v>
      </c>
      <c r="B96" s="6" t="s">
        <v>63</v>
      </c>
      <c r="C96" s="1">
        <f t="shared" si="14"/>
        <v>94</v>
      </c>
      <c r="D96" s="1">
        <f>VLOOKUP(B96,rq_evidence_review!$B$1:$L$55,7,FALSE)</f>
        <v>53</v>
      </c>
      <c r="E96" s="8" t="s">
        <v>397</v>
      </c>
      <c r="F96" s="1" t="str">
        <f t="shared" si="8"/>
        <v/>
      </c>
      <c r="H96" s="1" t="str">
        <f t="shared" si="9"/>
        <v>Sharma P</v>
      </c>
      <c r="I96" s="1" t="str">
        <f t="shared" si="13"/>
        <v>2019</v>
      </c>
      <c r="J96" s="1" t="str">
        <f t="shared" si="10"/>
        <v>Sharma P et al., 2019</v>
      </c>
      <c r="K96" s="1" t="str">
        <f t="shared" si="11"/>
        <v>10.5005/jp-journals-10006-1674</v>
      </c>
      <c r="L96" s="1" t="str">
        <f t="shared" si="12"/>
        <v/>
      </c>
    </row>
    <row r="97" spans="1:12" ht="30" hidden="1" x14ac:dyDescent="0.25">
      <c r="A97" s="1">
        <f>INDEX(rq_evidence_review!A:A, MATCH(B97, rq_evidence_review!B:B, 0))</f>
        <v>1</v>
      </c>
      <c r="B97" s="6" t="s">
        <v>63</v>
      </c>
      <c r="C97" s="1">
        <f t="shared" si="14"/>
        <v>95</v>
      </c>
      <c r="D97" s="1">
        <f>VLOOKUP(B97,rq_evidence_review!$B$1:$L$55,7,FALSE)</f>
        <v>53</v>
      </c>
      <c r="E97" s="8" t="s">
        <v>398</v>
      </c>
      <c r="F97" s="1" t="str">
        <f t="shared" si="8"/>
        <v/>
      </c>
      <c r="H97" s="1" t="str">
        <f t="shared" si="9"/>
        <v>Shi X</v>
      </c>
      <c r="I97" s="1" t="str">
        <f t="shared" si="13"/>
        <v>2019</v>
      </c>
      <c r="J97" s="1" t="str">
        <f t="shared" si="10"/>
        <v>Shi X et al., 2019</v>
      </c>
      <c r="K97" s="1" t="str">
        <f t="shared" si="11"/>
        <v>10.1093/labmed/lmy068</v>
      </c>
      <c r="L97" s="1" t="str">
        <f t="shared" si="12"/>
        <v>30535164</v>
      </c>
    </row>
    <row r="98" spans="1:12" ht="30" hidden="1" x14ac:dyDescent="0.25">
      <c r="A98" s="1">
        <f>INDEX(rq_evidence_review!A:A, MATCH(B98, rq_evidence_review!B:B, 0))</f>
        <v>1</v>
      </c>
      <c r="B98" s="6" t="s">
        <v>63</v>
      </c>
      <c r="C98" s="1">
        <f t="shared" si="14"/>
        <v>96</v>
      </c>
      <c r="D98" s="1">
        <f>VLOOKUP(B98,rq_evidence_review!$B$1:$L$55,7,FALSE)</f>
        <v>53</v>
      </c>
      <c r="E98" s="8" t="s">
        <v>399</v>
      </c>
      <c r="F98" s="1" t="str">
        <f t="shared" si="8"/>
        <v/>
      </c>
      <c r="H98" s="1" t="str">
        <f t="shared" si="9"/>
        <v>Singh S</v>
      </c>
      <c r="I98" s="1" t="str">
        <f t="shared" si="13"/>
        <v>2020</v>
      </c>
      <c r="J98" s="1" t="str">
        <f t="shared" si="10"/>
        <v>Singh S et al., 2020</v>
      </c>
      <c r="K98" s="1" t="str">
        <f t="shared" si="11"/>
        <v>10.18203/2320-1770.ijrcog20203847</v>
      </c>
      <c r="L98" s="1" t="str">
        <f t="shared" si="12"/>
        <v/>
      </c>
    </row>
    <row r="99" spans="1:12" ht="30" hidden="1" x14ac:dyDescent="0.25">
      <c r="A99" s="1">
        <f>INDEX(rq_evidence_review!A:A, MATCH(B99, rq_evidence_review!B:B, 0))</f>
        <v>1</v>
      </c>
      <c r="B99" s="6" t="s">
        <v>63</v>
      </c>
      <c r="C99" s="1">
        <f t="shared" si="14"/>
        <v>97</v>
      </c>
      <c r="D99" s="1">
        <f>VLOOKUP(B99,rq_evidence_review!$B$1:$L$55,7,FALSE)</f>
        <v>53</v>
      </c>
      <c r="E99" s="8" t="s">
        <v>400</v>
      </c>
      <c r="F99" s="1" t="str">
        <f t="shared" si="8"/>
        <v/>
      </c>
      <c r="H99" s="1" t="str">
        <f t="shared" si="9"/>
        <v>Song DK</v>
      </c>
      <c r="I99" s="1" t="str">
        <f t="shared" si="13"/>
        <v>2017</v>
      </c>
      <c r="J99" s="1" t="str">
        <f t="shared" si="10"/>
        <v>Song DK et al., 2017</v>
      </c>
      <c r="K99" s="1" t="str">
        <f t="shared" si="11"/>
        <v>10.3904/kjim.2016.038</v>
      </c>
      <c r="L99" s="1" t="str">
        <f t="shared" si="12"/>
        <v/>
      </c>
    </row>
    <row r="100" spans="1:12" ht="45" hidden="1" x14ac:dyDescent="0.25">
      <c r="A100" s="1">
        <f>INDEX(rq_evidence_review!A:A, MATCH(B100, rq_evidence_review!B:B, 0))</f>
        <v>1</v>
      </c>
      <c r="B100" s="6" t="s">
        <v>63</v>
      </c>
      <c r="C100" s="1">
        <f t="shared" si="14"/>
        <v>98</v>
      </c>
      <c r="D100" s="1">
        <f>VLOOKUP(B100,rq_evidence_review!$B$1:$L$55,7,FALSE)</f>
        <v>53</v>
      </c>
      <c r="E100" s="8" t="s">
        <v>401</v>
      </c>
      <c r="F100" s="1" t="str">
        <f t="shared" si="8"/>
        <v/>
      </c>
      <c r="H100" s="1" t="str">
        <f t="shared" si="9"/>
        <v>Song J</v>
      </c>
      <c r="I100" s="1" t="str">
        <f t="shared" si="13"/>
        <v>2021</v>
      </c>
      <c r="J100" s="1" t="str">
        <f t="shared" si="10"/>
        <v>Song J et al., 2021</v>
      </c>
      <c r="K100" s="1" t="str">
        <f t="shared" si="11"/>
        <v>10.1002/jcla.23861</v>
      </c>
      <c r="L100" s="1" t="str">
        <f t="shared" si="12"/>
        <v>34097316</v>
      </c>
    </row>
    <row r="101" spans="1:12" ht="45" hidden="1" x14ac:dyDescent="0.25">
      <c r="A101" s="1">
        <f>INDEX(rq_evidence_review!A:A, MATCH(B101, rq_evidence_review!B:B, 0))</f>
        <v>1</v>
      </c>
      <c r="B101" s="6" t="s">
        <v>63</v>
      </c>
      <c r="C101" s="1">
        <f t="shared" si="14"/>
        <v>99</v>
      </c>
      <c r="D101" s="1">
        <f>VLOOKUP(B101,rq_evidence_review!$B$1:$L$55,7,FALSE)</f>
        <v>53</v>
      </c>
      <c r="E101" s="8" t="s">
        <v>402</v>
      </c>
      <c r="F101" s="1" t="str">
        <f t="shared" si="8"/>
        <v/>
      </c>
      <c r="H101" s="1" t="str">
        <f t="shared" si="9"/>
        <v>Sova H</v>
      </c>
      <c r="I101" s="1" t="str">
        <f t="shared" si="13"/>
        <v>2019</v>
      </c>
      <c r="J101" s="1" t="str">
        <f t="shared" si="10"/>
        <v>Sova H et al., 2019</v>
      </c>
      <c r="K101" s="1" t="str">
        <f t="shared" si="11"/>
        <v>10.1080/09513590.2018.1559807</v>
      </c>
      <c r="L101" s="1" t="str">
        <f t="shared" si="12"/>
        <v>30668196</v>
      </c>
    </row>
    <row r="102" spans="1:12" ht="45" hidden="1" x14ac:dyDescent="0.25">
      <c r="A102" s="1">
        <f>INDEX(rq_evidence_review!A:A, MATCH(B102, rq_evidence_review!B:B, 0))</f>
        <v>1</v>
      </c>
      <c r="B102" s="6" t="s">
        <v>63</v>
      </c>
      <c r="C102" s="1">
        <f t="shared" si="14"/>
        <v>100</v>
      </c>
      <c r="D102" s="1">
        <f>VLOOKUP(B102,rq_evidence_review!$B$1:$L$55,7,FALSE)</f>
        <v>53</v>
      </c>
      <c r="E102" s="8" t="s">
        <v>403</v>
      </c>
      <c r="F102" s="1" t="str">
        <f t="shared" si="8"/>
        <v/>
      </c>
      <c r="H102" s="1" t="str">
        <f t="shared" si="9"/>
        <v>Tola H</v>
      </c>
      <c r="I102" s="1" t="str">
        <f t="shared" si="13"/>
        <v>2018</v>
      </c>
      <c r="J102" s="1" t="str">
        <f t="shared" si="10"/>
        <v>Tola H et al., 2018</v>
      </c>
      <c r="K102" s="9" t="s">
        <v>1479</v>
      </c>
      <c r="L102" s="10">
        <v>30087729</v>
      </c>
    </row>
    <row r="103" spans="1:12" ht="30" hidden="1" x14ac:dyDescent="0.25">
      <c r="A103" s="1">
        <f>INDEX(rq_evidence_review!A:A, MATCH(B103, rq_evidence_review!B:B, 0))</f>
        <v>1</v>
      </c>
      <c r="B103" s="6" t="s">
        <v>63</v>
      </c>
      <c r="C103" s="1">
        <f t="shared" si="14"/>
        <v>101</v>
      </c>
      <c r="D103" s="1">
        <f>VLOOKUP(B103,rq_evidence_review!$B$1:$L$55,7,FALSE)</f>
        <v>53</v>
      </c>
      <c r="E103" s="8" t="s">
        <v>404</v>
      </c>
      <c r="F103" s="1" t="str">
        <f t="shared" si="8"/>
        <v/>
      </c>
      <c r="H103" s="1" t="str">
        <f t="shared" si="9"/>
        <v>Tunҫ S</v>
      </c>
      <c r="I103" s="1" t="str">
        <f t="shared" si="13"/>
        <v>2021</v>
      </c>
      <c r="J103" s="1" t="str">
        <f t="shared" si="10"/>
        <v>Tunҫ S et al., 2021</v>
      </c>
      <c r="K103" s="9" t="s">
        <v>1480</v>
      </c>
      <c r="L103" s="1" t="str">
        <f t="shared" si="12"/>
        <v/>
      </c>
    </row>
    <row r="104" spans="1:12" ht="45" hidden="1" x14ac:dyDescent="0.25">
      <c r="A104" s="1">
        <f>INDEX(rq_evidence_review!A:A, MATCH(B104, rq_evidence_review!B:B, 0))</f>
        <v>1</v>
      </c>
      <c r="B104" s="6" t="s">
        <v>63</v>
      </c>
      <c r="C104" s="1">
        <f t="shared" si="14"/>
        <v>102</v>
      </c>
      <c r="D104" s="1">
        <f>VLOOKUP(B104,rq_evidence_review!$B$1:$L$55,7,FALSE)</f>
        <v>53</v>
      </c>
      <c r="E104" s="8" t="s">
        <v>405</v>
      </c>
      <c r="F104" s="1" t="str">
        <f t="shared" si="8"/>
        <v/>
      </c>
      <c r="H104" s="1" t="str">
        <f t="shared" si="9"/>
        <v>Vagios S</v>
      </c>
      <c r="I104" s="1" t="str">
        <f t="shared" si="13"/>
        <v>2021</v>
      </c>
      <c r="J104" s="1" t="str">
        <f t="shared" si="10"/>
        <v>Vagios S et al., 2021</v>
      </c>
      <c r="K104" s="1" t="str">
        <f t="shared" si="11"/>
        <v>10.1016/j.fertnstert.2020.07.023</v>
      </c>
      <c r="L104" s="1" t="str">
        <f t="shared" si="12"/>
        <v/>
      </c>
    </row>
    <row r="105" spans="1:12" ht="30" hidden="1" x14ac:dyDescent="0.25">
      <c r="A105" s="1">
        <f>INDEX(rq_evidence_review!A:A, MATCH(B105, rq_evidence_review!B:B, 0))</f>
        <v>1</v>
      </c>
      <c r="B105" s="6" t="s">
        <v>63</v>
      </c>
      <c r="C105" s="1">
        <f t="shared" si="14"/>
        <v>103</v>
      </c>
      <c r="D105" s="1">
        <f>VLOOKUP(B105,rq_evidence_review!$B$1:$L$55,7,FALSE)</f>
        <v>53</v>
      </c>
      <c r="E105" s="8" t="s">
        <v>406</v>
      </c>
      <c r="F105" s="1" t="str">
        <f t="shared" si="8"/>
        <v/>
      </c>
      <c r="H105" s="1" t="str">
        <f t="shared" si="9"/>
        <v>Villarroel C</v>
      </c>
      <c r="I105" s="1" t="str">
        <f t="shared" si="13"/>
        <v>2015</v>
      </c>
      <c r="J105" s="1" t="str">
        <f t="shared" si="10"/>
        <v>Villarroel C et al., 2015</v>
      </c>
      <c r="K105" s="1" t="str">
        <f t="shared" si="11"/>
        <v>10.3109/09513590.2015.1025380</v>
      </c>
      <c r="L105" s="1" t="str">
        <f t="shared" si="12"/>
        <v>26190534</v>
      </c>
    </row>
    <row r="106" spans="1:12" ht="30" hidden="1" x14ac:dyDescent="0.25">
      <c r="A106" s="1">
        <f>INDEX(rq_evidence_review!A:A, MATCH(B106, rq_evidence_review!B:B, 0))</f>
        <v>1</v>
      </c>
      <c r="B106" s="6" t="s">
        <v>63</v>
      </c>
      <c r="C106" s="1">
        <f t="shared" si="14"/>
        <v>104</v>
      </c>
      <c r="D106" s="1">
        <f>VLOOKUP(B106,rq_evidence_review!$B$1:$L$55,7,FALSE)</f>
        <v>53</v>
      </c>
      <c r="E106" s="8" t="s">
        <v>407</v>
      </c>
      <c r="F106" s="1" t="str">
        <f t="shared" si="8"/>
        <v/>
      </c>
      <c r="H106" s="1" t="str">
        <f t="shared" si="9"/>
        <v>Wissing ML</v>
      </c>
      <c r="I106" s="1" t="str">
        <f t="shared" si="13"/>
        <v>2019</v>
      </c>
      <c r="J106" s="1" t="str">
        <f t="shared" si="10"/>
        <v>Wissing ML et al., 2019</v>
      </c>
      <c r="K106" s="9" t="s">
        <v>1481</v>
      </c>
      <c r="L106" s="1" t="str">
        <f t="shared" si="12"/>
        <v/>
      </c>
    </row>
    <row r="107" spans="1:12" ht="45" hidden="1" x14ac:dyDescent="0.25">
      <c r="A107" s="1">
        <f>INDEX(rq_evidence_review!A:A, MATCH(B107, rq_evidence_review!B:B, 0))</f>
        <v>1</v>
      </c>
      <c r="B107" s="6" t="s">
        <v>63</v>
      </c>
      <c r="C107" s="1">
        <f t="shared" si="14"/>
        <v>105</v>
      </c>
      <c r="D107" s="1">
        <f>VLOOKUP(B107,rq_evidence_review!$B$1:$L$55,7,FALSE)</f>
        <v>53</v>
      </c>
      <c r="E107" s="8" t="s">
        <v>408</v>
      </c>
      <c r="F107" s="1" t="str">
        <f t="shared" si="8"/>
        <v/>
      </c>
      <c r="H107" s="1" t="str">
        <f t="shared" si="9"/>
        <v>Wongwananuruk T</v>
      </c>
      <c r="I107" s="1" t="str">
        <f t="shared" si="13"/>
        <v>2018</v>
      </c>
      <c r="J107" s="1" t="str">
        <f t="shared" si="10"/>
        <v>Wongwananuruk T et al., 2018</v>
      </c>
      <c r="K107" s="9" t="s">
        <v>1482</v>
      </c>
      <c r="L107" s="1" t="str">
        <f t="shared" si="12"/>
        <v/>
      </c>
    </row>
    <row r="108" spans="1:12" ht="30" hidden="1" x14ac:dyDescent="0.25">
      <c r="A108" s="1">
        <f>INDEX(rq_evidence_review!A:A, MATCH(B108, rq_evidence_review!B:B, 0))</f>
        <v>1</v>
      </c>
      <c r="B108" s="6" t="s">
        <v>63</v>
      </c>
      <c r="C108" s="1">
        <f t="shared" si="14"/>
        <v>106</v>
      </c>
      <c r="D108" s="1">
        <f>VLOOKUP(B108,rq_evidence_review!$B$1:$L$55,7,FALSE)</f>
        <v>53</v>
      </c>
      <c r="E108" s="8" t="s">
        <v>409</v>
      </c>
      <c r="F108" s="1" t="str">
        <f t="shared" si="8"/>
        <v/>
      </c>
      <c r="H108" s="1" t="str">
        <f t="shared" si="9"/>
        <v>Yue CY</v>
      </c>
      <c r="I108" s="1" t="str">
        <f t="shared" si="13"/>
        <v>2018</v>
      </c>
      <c r="J108" s="1" t="str">
        <f t="shared" si="10"/>
        <v>Yue CY et al., 2018</v>
      </c>
      <c r="K108" s="9" t="s">
        <v>1483</v>
      </c>
      <c r="L108" s="1" t="str">
        <f t="shared" si="12"/>
        <v/>
      </c>
    </row>
    <row r="109" spans="1:12" ht="30" hidden="1" x14ac:dyDescent="0.25">
      <c r="A109" s="1">
        <f>INDEX(rq_evidence_review!A:A, MATCH(B109, rq_evidence_review!B:B, 0))</f>
        <v>1</v>
      </c>
      <c r="B109" s="6">
        <f>rq_evidence_review!B7</f>
        <v>1.6</v>
      </c>
      <c r="C109" s="1">
        <f t="shared" si="14"/>
        <v>107</v>
      </c>
      <c r="D109" s="1">
        <f>VLOOKUP(B109,rq_evidence_review!$B$1:$L$55,7,FALSE)</f>
        <v>47</v>
      </c>
      <c r="E109" s="8" t="s">
        <v>410</v>
      </c>
      <c r="F109" s="1" t="str">
        <f t="shared" si="8"/>
        <v/>
      </c>
      <c r="H109" s="1" t="str">
        <f t="shared" si="9"/>
        <v>Asfari MM</v>
      </c>
      <c r="I109" s="1" t="str">
        <f t="shared" si="13"/>
        <v>2020</v>
      </c>
      <c r="J109" s="1" t="str">
        <f t="shared" si="10"/>
        <v>Asfari MM et al., 2020</v>
      </c>
      <c r="K109" s="1" t="str">
        <f t="shared" si="11"/>
        <v>10.1136/bmjgast-2019-000352</v>
      </c>
      <c r="L109" s="1" t="str">
        <f t="shared" si="12"/>
        <v/>
      </c>
    </row>
    <row r="110" spans="1:12" ht="30" hidden="1" x14ac:dyDescent="0.25">
      <c r="A110" s="1">
        <f>INDEX(rq_evidence_review!A:A, MATCH(B110, rq_evidence_review!B:B, 0))</f>
        <v>1</v>
      </c>
      <c r="B110" s="6">
        <v>1.6</v>
      </c>
      <c r="C110" s="1">
        <f t="shared" si="14"/>
        <v>108</v>
      </c>
      <c r="D110" s="1">
        <f>VLOOKUP(B110,rq_evidence_review!$B$1:$L$55,7,FALSE)</f>
        <v>47</v>
      </c>
      <c r="E110" s="8" t="s">
        <v>411</v>
      </c>
      <c r="F110" s="1" t="str">
        <f t="shared" si="8"/>
        <v/>
      </c>
      <c r="H110" s="1" t="str">
        <f t="shared" si="9"/>
        <v>Azziz R</v>
      </c>
      <c r="I110" s="1" t="str">
        <f t="shared" si="13"/>
        <v>2004</v>
      </c>
      <c r="J110" s="1" t="str">
        <f t="shared" si="10"/>
        <v>Azziz R et al., 2004</v>
      </c>
      <c r="K110" s="1" t="str">
        <f t="shared" si="11"/>
        <v>10.1210/jc.2003-032046</v>
      </c>
      <c r="L110" s="10">
        <v>15181052</v>
      </c>
    </row>
    <row r="111" spans="1:12" ht="30" hidden="1" x14ac:dyDescent="0.25">
      <c r="A111" s="1">
        <f>INDEX(rq_evidence_review!A:A, MATCH(B111, rq_evidence_review!B:B, 0))</f>
        <v>1</v>
      </c>
      <c r="B111" s="6">
        <v>1.6</v>
      </c>
      <c r="C111" s="1">
        <f t="shared" si="14"/>
        <v>109</v>
      </c>
      <c r="D111" s="1">
        <f>VLOOKUP(B111,rq_evidence_review!$B$1:$L$55,7,FALSE)</f>
        <v>47</v>
      </c>
      <c r="E111" s="8" t="s">
        <v>412</v>
      </c>
      <c r="F111" s="1" t="str">
        <f t="shared" si="8"/>
        <v/>
      </c>
      <c r="H111" s="1" t="str">
        <f t="shared" si="9"/>
        <v>Christensen SB</v>
      </c>
      <c r="I111" s="1" t="str">
        <f t="shared" si="13"/>
        <v>2013</v>
      </c>
      <c r="J111" s="1" t="str">
        <f t="shared" si="10"/>
        <v>Christensen SB et al., 2013</v>
      </c>
      <c r="K111" s="1" t="str">
        <f t="shared" si="11"/>
        <v>10.1016/j.fertnstert.2013.04.001</v>
      </c>
      <c r="L111" s="1" t="str">
        <f t="shared" si="12"/>
        <v/>
      </c>
    </row>
    <row r="112" spans="1:12" ht="30" hidden="1" x14ac:dyDescent="0.25">
      <c r="A112" s="1">
        <f>INDEX(rq_evidence_review!A:A, MATCH(B112, rq_evidence_review!B:B, 0))</f>
        <v>1</v>
      </c>
      <c r="B112" s="6">
        <v>1.6</v>
      </c>
      <c r="C112" s="1">
        <f t="shared" si="14"/>
        <v>110</v>
      </c>
      <c r="D112" s="1">
        <f>VLOOKUP(B112,rq_evidence_review!$B$1:$L$55,7,FALSE)</f>
        <v>47</v>
      </c>
      <c r="E112" s="8" t="s">
        <v>413</v>
      </c>
      <c r="F112" s="1" t="str">
        <f t="shared" si="8"/>
        <v/>
      </c>
      <c r="H112" s="1" t="str">
        <f t="shared" si="9"/>
        <v>Gabrielli L</v>
      </c>
      <c r="I112" s="1" t="str">
        <f t="shared" si="13"/>
        <v>2012</v>
      </c>
      <c r="J112" s="1" t="str">
        <f t="shared" si="10"/>
        <v>Gabrielli L et al., 2012</v>
      </c>
      <c r="K112" s="1" t="str">
        <f t="shared" si="11"/>
        <v>10.1186/1477-7827-10-96</v>
      </c>
      <c r="L112" s="1" t="str">
        <f t="shared" si="12"/>
        <v/>
      </c>
    </row>
    <row r="113" spans="1:15" ht="30" hidden="1" x14ac:dyDescent="0.25">
      <c r="A113" s="1">
        <f>INDEX(rq_evidence_review!A:A, MATCH(B113, rq_evidence_review!B:B, 0))</f>
        <v>1</v>
      </c>
      <c r="B113" s="6">
        <v>1.6</v>
      </c>
      <c r="C113" s="1">
        <f t="shared" si="14"/>
        <v>111</v>
      </c>
      <c r="D113" s="1">
        <f>VLOOKUP(B113,rq_evidence_review!$B$1:$L$55,7,FALSE)</f>
        <v>47</v>
      </c>
      <c r="E113" s="8" t="s">
        <v>414</v>
      </c>
      <c r="F113" s="1" t="str">
        <f t="shared" si="8"/>
        <v/>
      </c>
      <c r="H113" s="1" t="str">
        <f t="shared" si="9"/>
        <v>Greenwood EA</v>
      </c>
      <c r="I113" s="1" t="str">
        <f t="shared" si="13"/>
        <v>2019</v>
      </c>
      <c r="J113" s="1" t="str">
        <f t="shared" si="10"/>
        <v>Greenwood EA et al., 2019</v>
      </c>
      <c r="K113" s="1" t="str">
        <f t="shared" si="11"/>
        <v>10.1210/jc.2019-00234</v>
      </c>
      <c r="L113" s="1" t="str">
        <f t="shared" si="12"/>
        <v/>
      </c>
    </row>
    <row r="114" spans="1:15" ht="30" hidden="1" x14ac:dyDescent="0.25">
      <c r="A114" s="1">
        <f>INDEX(rq_evidence_review!A:A, MATCH(B114, rq_evidence_review!B:B, 0))</f>
        <v>1</v>
      </c>
      <c r="B114" s="6">
        <v>1.6</v>
      </c>
      <c r="C114" s="1">
        <f t="shared" si="14"/>
        <v>112</v>
      </c>
      <c r="D114" s="1">
        <f>VLOOKUP(B114,rq_evidence_review!$B$1:$L$55,7,FALSE)</f>
        <v>47</v>
      </c>
      <c r="E114" s="8" t="s">
        <v>415</v>
      </c>
      <c r="F114" s="1" t="str">
        <f t="shared" si="8"/>
        <v/>
      </c>
      <c r="H114" s="1" t="str">
        <f t="shared" si="9"/>
        <v>Guo L</v>
      </c>
      <c r="I114" s="1" t="str">
        <f t="shared" si="13"/>
        <v>2021</v>
      </c>
      <c r="J114" s="1" t="str">
        <f t="shared" si="10"/>
        <v>Guo L et al., 2021</v>
      </c>
      <c r="K114" s="1" t="str">
        <f t="shared" si="11"/>
        <v>10.2337/dc21-0373</v>
      </c>
      <c r="L114" s="1" t="str">
        <f t="shared" si="12"/>
        <v/>
      </c>
    </row>
    <row r="115" spans="1:15" ht="45" hidden="1" x14ac:dyDescent="0.25">
      <c r="A115" s="1">
        <f>INDEX(rq_evidence_review!A:A, MATCH(B115, rq_evidence_review!B:B, 0))</f>
        <v>1</v>
      </c>
      <c r="B115" s="6">
        <v>1.6</v>
      </c>
      <c r="C115" s="1">
        <f t="shared" si="14"/>
        <v>113</v>
      </c>
      <c r="D115" s="1">
        <f>VLOOKUP(B115,rq_evidence_review!$B$1:$L$55,7,FALSE)</f>
        <v>47</v>
      </c>
      <c r="E115" s="8" t="s">
        <v>416</v>
      </c>
      <c r="F115" s="1" t="str">
        <f t="shared" si="8"/>
        <v/>
      </c>
      <c r="H115" s="1" t="str">
        <f t="shared" si="9"/>
        <v>He Y</v>
      </c>
      <c r="I115" s="1" t="str">
        <f t="shared" si="13"/>
        <v>2020</v>
      </c>
      <c r="J115" s="1" t="str">
        <f t="shared" si="10"/>
        <v>He Y et al., 2020</v>
      </c>
      <c r="K115" s="1" t="str">
        <f t="shared" si="11"/>
        <v>10.1093/humrep/deaa069</v>
      </c>
      <c r="L115" s="1" t="str">
        <f t="shared" si="12"/>
        <v/>
      </c>
    </row>
    <row r="116" spans="1:15" ht="45" hidden="1" x14ac:dyDescent="0.25">
      <c r="A116" s="1">
        <f>INDEX(rq_evidence_review!A:A, MATCH(B116, rq_evidence_review!B:B, 0))</f>
        <v>1</v>
      </c>
      <c r="B116" s="6">
        <v>1.6</v>
      </c>
      <c r="C116" s="1">
        <f t="shared" si="14"/>
        <v>114</v>
      </c>
      <c r="D116" s="1">
        <f>VLOOKUP(B116,rq_evidence_review!$B$1:$L$55,7,FALSE)</f>
        <v>47</v>
      </c>
      <c r="E116" s="8" t="s">
        <v>417</v>
      </c>
      <c r="F116" s="1" t="str">
        <f t="shared" si="8"/>
        <v/>
      </c>
      <c r="H116" s="1" t="str">
        <f t="shared" si="9"/>
        <v>Knochenhauer ES</v>
      </c>
      <c r="I116" s="1" t="str">
        <f t="shared" si="13"/>
        <v>1998</v>
      </c>
      <c r="J116" s="1" t="str">
        <f t="shared" si="10"/>
        <v>Knochenhauer ES et al., 1998</v>
      </c>
      <c r="K116" s="1" t="str">
        <f t="shared" si="11"/>
        <v>10.1210/jcem.83.9.5090</v>
      </c>
      <c r="L116" s="1" t="str">
        <f t="shared" si="12"/>
        <v/>
      </c>
    </row>
    <row r="117" spans="1:15" ht="45" hidden="1" x14ac:dyDescent="0.25">
      <c r="A117" s="1">
        <f>INDEX(rq_evidence_review!A:A, MATCH(B117, rq_evidence_review!B:B, 0))</f>
        <v>1</v>
      </c>
      <c r="B117" s="6">
        <v>1.6</v>
      </c>
      <c r="C117" s="1">
        <f t="shared" si="14"/>
        <v>115</v>
      </c>
      <c r="D117" s="1">
        <f>VLOOKUP(B117,rq_evidence_review!$B$1:$L$55,7,FALSE)</f>
        <v>47</v>
      </c>
      <c r="E117" s="8" t="s">
        <v>418</v>
      </c>
      <c r="F117" s="1" t="str">
        <f t="shared" si="8"/>
        <v/>
      </c>
      <c r="H117" s="1" t="str">
        <f t="shared" si="9"/>
        <v>Meyer ML</v>
      </c>
      <c r="I117" s="1" t="str">
        <f t="shared" si="13"/>
        <v>2018</v>
      </c>
      <c r="J117" s="1" t="str">
        <f t="shared" si="10"/>
        <v>Meyer ML et al., 2018</v>
      </c>
      <c r="K117" s="1" t="str">
        <f t="shared" si="11"/>
        <v>10.1210/clinem/dgaa012</v>
      </c>
      <c r="L117" s="1" t="str">
        <f t="shared" si="12"/>
        <v/>
      </c>
    </row>
    <row r="118" spans="1:15" ht="30" hidden="1" x14ac:dyDescent="0.25">
      <c r="A118" s="1">
        <f>INDEX(rq_evidence_review!A:A, MATCH(B118, rq_evidence_review!B:B, 0))</f>
        <v>1</v>
      </c>
      <c r="B118" s="6">
        <v>1.6</v>
      </c>
      <c r="C118" s="1">
        <f t="shared" si="14"/>
        <v>116</v>
      </c>
      <c r="D118" s="1">
        <f>VLOOKUP(B118,rq_evidence_review!$B$1:$L$55,7,FALSE)</f>
        <v>47</v>
      </c>
      <c r="E118" s="8" t="s">
        <v>419</v>
      </c>
      <c r="F118" s="1" t="str">
        <f t="shared" si="8"/>
        <v/>
      </c>
      <c r="H118" s="1" t="str">
        <f t="shared" si="9"/>
        <v>Moran C</v>
      </c>
      <c r="I118" s="1" t="str">
        <f t="shared" si="13"/>
        <v>2010</v>
      </c>
      <c r="J118" s="1" t="str">
        <f t="shared" si="10"/>
        <v>Moran C et al., 2010</v>
      </c>
      <c r="K118" s="1" t="str">
        <f t="shared" si="11"/>
        <v>10.1159/000277640</v>
      </c>
      <c r="L118" s="1" t="str">
        <f t="shared" si="12"/>
        <v/>
      </c>
    </row>
    <row r="119" spans="1:15" ht="45" hidden="1" x14ac:dyDescent="0.25">
      <c r="A119" s="1">
        <f>INDEX(rq_evidence_review!A:A, MATCH(B119, rq_evidence_review!B:B, 0))</f>
        <v>1</v>
      </c>
      <c r="B119" s="6">
        <v>1.6</v>
      </c>
      <c r="C119" s="1">
        <f t="shared" si="14"/>
        <v>117</v>
      </c>
      <c r="D119" s="1">
        <f>VLOOKUP(B119,rq_evidence_review!$B$1:$L$55,7,FALSE)</f>
        <v>47</v>
      </c>
      <c r="E119" s="8" t="s">
        <v>420</v>
      </c>
      <c r="F119" s="1" t="str">
        <f t="shared" si="8"/>
        <v/>
      </c>
      <c r="H119" s="1" t="str">
        <f t="shared" si="9"/>
        <v>Morrison JA</v>
      </c>
      <c r="I119" s="1" t="str">
        <f t="shared" si="13"/>
        <v>2011</v>
      </c>
      <c r="J119" s="1" t="str">
        <f t="shared" si="10"/>
        <v>Morrison JA et al., 2011</v>
      </c>
      <c r="K119" s="1" t="str">
        <f t="shared" si="11"/>
        <v>10.1016/j.metabol.2011.01.012</v>
      </c>
      <c r="L119" s="1" t="str">
        <f t="shared" si="12"/>
        <v/>
      </c>
    </row>
    <row r="120" spans="1:15" ht="30" hidden="1" x14ac:dyDescent="0.25">
      <c r="A120" s="1">
        <f>INDEX(rq_evidence_review!A:A, MATCH(B120, rq_evidence_review!B:B, 0))</f>
        <v>1</v>
      </c>
      <c r="B120" s="6">
        <v>1.6</v>
      </c>
      <c r="C120" s="1">
        <f t="shared" si="14"/>
        <v>118</v>
      </c>
      <c r="D120" s="1">
        <f>VLOOKUP(B120,rq_evidence_review!$B$1:$L$55,7,FALSE)</f>
        <v>47</v>
      </c>
      <c r="E120" s="8" t="s">
        <v>421</v>
      </c>
      <c r="F120" s="1" t="str">
        <f t="shared" si="8"/>
        <v/>
      </c>
      <c r="H120" s="1" t="str">
        <f t="shared" si="9"/>
        <v>Wang ET</v>
      </c>
      <c r="I120" s="1" t="str">
        <f t="shared" si="13"/>
        <v>2011</v>
      </c>
      <c r="J120" s="1" t="str">
        <f t="shared" si="10"/>
        <v>Wang ET et al., 2011</v>
      </c>
      <c r="K120" s="1" t="str">
        <f t="shared" si="11"/>
        <v>10.1097/AOG.0b013e31820209bb</v>
      </c>
      <c r="L120" s="1" t="str">
        <f t="shared" si="12"/>
        <v/>
      </c>
    </row>
    <row r="121" spans="1:15" ht="30" hidden="1" x14ac:dyDescent="0.25">
      <c r="A121" s="1">
        <f>INDEX(rq_evidence_review!A:A, MATCH(B121, rq_evidence_review!B:B, 0))</f>
        <v>1</v>
      </c>
      <c r="B121" s="6">
        <v>1.6</v>
      </c>
      <c r="C121" s="1">
        <f t="shared" si="14"/>
        <v>119</v>
      </c>
      <c r="D121" s="1">
        <f>VLOOKUP(B121,rq_evidence_review!$B$1:$L$55,7,FALSE)</f>
        <v>47</v>
      </c>
      <c r="E121" s="8" t="s">
        <v>422</v>
      </c>
      <c r="F121" s="1" t="str">
        <f t="shared" si="8"/>
        <v/>
      </c>
      <c r="H121" s="1" t="str">
        <f t="shared" si="9"/>
        <v>Deswal R</v>
      </c>
      <c r="I121" s="1" t="str">
        <f t="shared" si="13"/>
        <v>2014</v>
      </c>
      <c r="J121" s="1" t="str">
        <f t="shared" si="10"/>
        <v>Deswal R et al., 2014</v>
      </c>
      <c r="K121" s="1" t="str">
        <f t="shared" si="11"/>
        <v/>
      </c>
      <c r="L121" s="1" t="str">
        <f t="shared" si="12"/>
        <v/>
      </c>
      <c r="M121" s="9" t="s">
        <v>1486</v>
      </c>
      <c r="O121" s="1" t="s">
        <v>2005</v>
      </c>
    </row>
    <row r="122" spans="1:15" ht="30" hidden="1" x14ac:dyDescent="0.25">
      <c r="A122" s="1">
        <f>INDEX(rq_evidence_review!A:A, MATCH(B122, rq_evidence_review!B:B, 0))</f>
        <v>1</v>
      </c>
      <c r="B122" s="6">
        <v>1.6</v>
      </c>
      <c r="C122" s="1">
        <f t="shared" si="14"/>
        <v>120</v>
      </c>
      <c r="D122" s="1">
        <f>VLOOKUP(B122,rq_evidence_review!$B$1:$L$55,7,FALSE)</f>
        <v>47</v>
      </c>
      <c r="E122" s="8" t="s">
        <v>423</v>
      </c>
      <c r="F122" s="1" t="str">
        <f t="shared" si="8"/>
        <v/>
      </c>
      <c r="H122" s="1" t="str">
        <f t="shared" si="9"/>
        <v>Kaewnin J</v>
      </c>
      <c r="I122" s="1" t="str">
        <f t="shared" si="13"/>
        <v>2018</v>
      </c>
      <c r="J122" s="1" t="str">
        <f t="shared" si="10"/>
        <v>Kaewnin J et al., 2018</v>
      </c>
      <c r="K122" s="1" t="str">
        <f t="shared" si="11"/>
        <v>10.1080/09513590.2017.1409716</v>
      </c>
      <c r="L122" s="1" t="str">
        <f t="shared" si="12"/>
        <v/>
      </c>
    </row>
    <row r="123" spans="1:15" ht="45" hidden="1" x14ac:dyDescent="0.25">
      <c r="A123" s="1">
        <f>INDEX(rq_evidence_review!A:A, MATCH(B123, rq_evidence_review!B:B, 0))</f>
        <v>1</v>
      </c>
      <c r="B123" s="6">
        <v>1.6</v>
      </c>
      <c r="C123" s="1">
        <f t="shared" si="14"/>
        <v>121</v>
      </c>
      <c r="D123" s="1">
        <f>VLOOKUP(B123,rq_evidence_review!$B$1:$L$55,7,FALSE)</f>
        <v>47</v>
      </c>
      <c r="E123" s="8" t="s">
        <v>424</v>
      </c>
      <c r="F123" s="1" t="str">
        <f t="shared" si="8"/>
        <v/>
      </c>
      <c r="H123" s="1" t="str">
        <f t="shared" si="9"/>
        <v>Kumarapeli V</v>
      </c>
      <c r="I123" s="1" t="str">
        <f t="shared" si="13"/>
        <v>2008</v>
      </c>
      <c r="J123" s="1" t="str">
        <f t="shared" si="10"/>
        <v>Kumarapeli V et al., 2008</v>
      </c>
      <c r="K123" s="1" t="str">
        <f t="shared" si="11"/>
        <v>10.1093/aje/kwn137</v>
      </c>
      <c r="L123" s="1" t="str">
        <f t="shared" si="12"/>
        <v/>
      </c>
    </row>
    <row r="124" spans="1:15" ht="30" hidden="1" x14ac:dyDescent="0.25">
      <c r="A124" s="1">
        <f>INDEX(rq_evidence_review!A:A, MATCH(B124, rq_evidence_review!B:B, 0))</f>
        <v>1</v>
      </c>
      <c r="B124" s="6">
        <v>1.6</v>
      </c>
      <c r="C124" s="1">
        <f t="shared" si="14"/>
        <v>122</v>
      </c>
      <c r="D124" s="1">
        <f>VLOOKUP(B124,rq_evidence_review!$B$1:$L$55,7,FALSE)</f>
        <v>47</v>
      </c>
      <c r="E124" s="8" t="s">
        <v>425</v>
      </c>
      <c r="F124" s="1" t="str">
        <f t="shared" si="8"/>
        <v/>
      </c>
      <c r="H124" s="1" t="str">
        <f t="shared" si="9"/>
        <v>Nidhi R</v>
      </c>
      <c r="I124" s="1" t="str">
        <f t="shared" si="13"/>
        <v>2011</v>
      </c>
      <c r="J124" s="1" t="str">
        <f t="shared" si="10"/>
        <v>Nidhi R et al., 2011</v>
      </c>
      <c r="K124" s="1" t="str">
        <f t="shared" si="11"/>
        <v>10.1016/j.jpag.2011.03.002</v>
      </c>
      <c r="L124" s="1" t="str">
        <f t="shared" si="12"/>
        <v/>
      </c>
    </row>
    <row r="125" spans="1:15" ht="30" hidden="1" x14ac:dyDescent="0.25">
      <c r="A125" s="1">
        <f>INDEX(rq_evidence_review!A:A, MATCH(B125, rq_evidence_review!B:B, 0))</f>
        <v>1</v>
      </c>
      <c r="B125" s="6">
        <v>1.6</v>
      </c>
      <c r="C125" s="1">
        <f t="shared" si="14"/>
        <v>123</v>
      </c>
      <c r="D125" s="1">
        <f>VLOOKUP(B125,rq_evidence_review!$B$1:$L$55,7,FALSE)</f>
        <v>47</v>
      </c>
      <c r="E125" s="8" t="s">
        <v>426</v>
      </c>
      <c r="F125" s="1" t="str">
        <f t="shared" si="8"/>
        <v/>
      </c>
      <c r="H125" s="1" t="str">
        <f t="shared" si="9"/>
        <v>Vidya Bharathi R</v>
      </c>
      <c r="I125" s="1" t="str">
        <f t="shared" si="13"/>
        <v>2017</v>
      </c>
      <c r="J125" s="1" t="str">
        <f t="shared" si="10"/>
        <v>Vidya Bharathi R et al., 2017</v>
      </c>
      <c r="K125" s="1" t="str">
        <f t="shared" si="11"/>
        <v>10.1016/j.mefs.2017.05.007</v>
      </c>
      <c r="L125" s="1" t="str">
        <f t="shared" si="12"/>
        <v/>
      </c>
    </row>
    <row r="126" spans="1:15" ht="30" hidden="1" x14ac:dyDescent="0.25">
      <c r="A126" s="1">
        <f>INDEX(rq_evidence_review!A:A, MATCH(B126, rq_evidence_review!B:B, 0))</f>
        <v>1</v>
      </c>
      <c r="B126" s="6">
        <v>1.6</v>
      </c>
      <c r="C126" s="1">
        <f t="shared" si="14"/>
        <v>124</v>
      </c>
      <c r="D126" s="1">
        <f>VLOOKUP(B126,rq_evidence_review!$B$1:$L$55,7,FALSE)</f>
        <v>47</v>
      </c>
      <c r="E126" s="8" t="s">
        <v>427</v>
      </c>
      <c r="F126" s="1" t="str">
        <f t="shared" si="8"/>
        <v/>
      </c>
      <c r="H126" s="1" t="str">
        <f t="shared" si="9"/>
        <v>Assens M</v>
      </c>
      <c r="I126" s="1" t="str">
        <f t="shared" si="13"/>
        <v>2020</v>
      </c>
      <c r="J126" s="1" t="str">
        <f t="shared" si="10"/>
        <v>Assens M et al., 2020</v>
      </c>
      <c r="K126" s="1" t="str">
        <f t="shared" si="11"/>
        <v>10.1210/clinem/dgaa355</v>
      </c>
      <c r="L126" s="1" t="str">
        <f t="shared" si="12"/>
        <v/>
      </c>
    </row>
    <row r="127" spans="1:15" ht="30" hidden="1" x14ac:dyDescent="0.25">
      <c r="A127" s="1">
        <f>INDEX(rq_evidence_review!A:A, MATCH(B127, rq_evidence_review!B:B, 0))</f>
        <v>1</v>
      </c>
      <c r="B127" s="6">
        <v>1.6</v>
      </c>
      <c r="C127" s="1">
        <f t="shared" si="14"/>
        <v>125</v>
      </c>
      <c r="D127" s="1">
        <f>VLOOKUP(B127,rq_evidence_review!$B$1:$L$55,7,FALSE)</f>
        <v>47</v>
      </c>
      <c r="E127" s="8" t="s">
        <v>428</v>
      </c>
      <c r="F127" s="1" t="str">
        <f t="shared" si="8"/>
        <v/>
      </c>
      <c r="H127" s="1" t="str">
        <f t="shared" si="9"/>
        <v>Asuncion M</v>
      </c>
      <c r="I127" s="1" t="str">
        <f t="shared" si="13"/>
        <v>2000</v>
      </c>
      <c r="J127" s="1" t="str">
        <f t="shared" si="10"/>
        <v>Asuncion M et al., 2000</v>
      </c>
      <c r="K127" s="1" t="str">
        <f t="shared" si="11"/>
        <v>10.1210/jcem.85.7.6682</v>
      </c>
      <c r="L127" s="1" t="str">
        <f t="shared" si="12"/>
        <v/>
      </c>
    </row>
    <row r="128" spans="1:15" ht="30" hidden="1" x14ac:dyDescent="0.25">
      <c r="A128" s="1">
        <f>INDEX(rq_evidence_review!A:A, MATCH(B128, rq_evidence_review!B:B, 0))</f>
        <v>1</v>
      </c>
      <c r="B128" s="6">
        <v>1.6</v>
      </c>
      <c r="C128" s="1">
        <f t="shared" si="14"/>
        <v>126</v>
      </c>
      <c r="D128" s="1">
        <f>VLOOKUP(B128,rq_evidence_review!$B$1:$L$55,7,FALSE)</f>
        <v>47</v>
      </c>
      <c r="E128" s="8" t="s">
        <v>429</v>
      </c>
      <c r="F128" s="1" t="str">
        <f t="shared" si="8"/>
        <v/>
      </c>
      <c r="H128" s="1" t="str">
        <f t="shared" si="9"/>
        <v>Diamanti-Kandarakis E</v>
      </c>
      <c r="I128" s="1" t="str">
        <f t="shared" si="13"/>
        <v>1999</v>
      </c>
      <c r="J128" s="1" t="str">
        <f t="shared" si="10"/>
        <v>Diamanti-Kandarakis E et al., 1999</v>
      </c>
      <c r="K128" s="1" t="str">
        <f t="shared" si="11"/>
        <v>10.1210/jcem.84.11.6148</v>
      </c>
      <c r="L128" s="1" t="str">
        <f t="shared" si="12"/>
        <v/>
      </c>
    </row>
    <row r="129" spans="1:12" ht="30" hidden="1" x14ac:dyDescent="0.25">
      <c r="A129" s="1">
        <f>INDEX(rq_evidence_review!A:A, MATCH(B129, rq_evidence_review!B:B, 0))</f>
        <v>1</v>
      </c>
      <c r="B129" s="6">
        <v>1.6</v>
      </c>
      <c r="C129" s="1">
        <f t="shared" si="14"/>
        <v>127</v>
      </c>
      <c r="D129" s="1">
        <f>VLOOKUP(B129,rq_evidence_review!$B$1:$L$55,7,FALSE)</f>
        <v>47</v>
      </c>
      <c r="E129" s="8" t="s">
        <v>430</v>
      </c>
      <c r="F129" s="1" t="str">
        <f t="shared" si="8"/>
        <v/>
      </c>
      <c r="H129" s="1" t="str">
        <f t="shared" si="9"/>
        <v>Gambineri A</v>
      </c>
      <c r="I129" s="1" t="str">
        <f t="shared" si="13"/>
        <v>2013</v>
      </c>
      <c r="J129" s="1" t="str">
        <f t="shared" si="10"/>
        <v>Gambineri A et al., 2013</v>
      </c>
      <c r="K129" s="1" t="str">
        <f t="shared" si="11"/>
        <v>10.1210/jc.2012-3537</v>
      </c>
      <c r="L129" s="1" t="str">
        <f t="shared" si="12"/>
        <v/>
      </c>
    </row>
    <row r="130" spans="1:12" ht="30" hidden="1" x14ac:dyDescent="0.25">
      <c r="A130" s="1">
        <f>INDEX(rq_evidence_review!A:A, MATCH(B130, rq_evidence_review!B:B, 0))</f>
        <v>1</v>
      </c>
      <c r="B130" s="6">
        <v>1.6</v>
      </c>
      <c r="C130" s="1">
        <f t="shared" si="14"/>
        <v>128</v>
      </c>
      <c r="D130" s="1">
        <f>VLOOKUP(B130,rq_evidence_review!$B$1:$L$55,7,FALSE)</f>
        <v>47</v>
      </c>
      <c r="E130" s="8" t="s">
        <v>431</v>
      </c>
      <c r="F130" s="1" t="str">
        <f t="shared" si="8"/>
        <v/>
      </c>
      <c r="H130" s="1" t="str">
        <f t="shared" si="9"/>
        <v>Mumm H</v>
      </c>
      <c r="I130" s="1" t="str">
        <f t="shared" si="13"/>
        <v>1973</v>
      </c>
      <c r="J130" s="1" t="str">
        <f t="shared" si="10"/>
        <v>Mumm H et al., 1973</v>
      </c>
      <c r="K130" s="1" t="str">
        <f t="shared" si="11"/>
        <v>10.1016/j.fertnstert.2012.11.004</v>
      </c>
      <c r="L130" s="1" t="str">
        <f t="shared" si="12"/>
        <v/>
      </c>
    </row>
    <row r="131" spans="1:12" ht="30" hidden="1" x14ac:dyDescent="0.25">
      <c r="A131" s="1">
        <f>INDEX(rq_evidence_review!A:A, MATCH(B131, rq_evidence_review!B:B, 0))</f>
        <v>1</v>
      </c>
      <c r="B131" s="6">
        <v>1.6</v>
      </c>
      <c r="C131" s="1">
        <f t="shared" si="14"/>
        <v>129</v>
      </c>
      <c r="D131" s="1">
        <f>VLOOKUP(B131,rq_evidence_review!$B$1:$L$55,7,FALSE)</f>
        <v>47</v>
      </c>
      <c r="E131" s="8" t="s">
        <v>432</v>
      </c>
      <c r="F131" s="1" t="str">
        <f t="shared" ref="F131:F194" si="15">IF(ISNUMBER(SEARCH("primary citation", E131)), "primary_citation", "")</f>
        <v/>
      </c>
      <c r="H131" s="1" t="str">
        <f t="shared" ref="H131:H194" si="16">LEFT(E131, FIND(",", E131) - 1)</f>
        <v>Valgeirsdottir H</v>
      </c>
      <c r="I131" s="1" t="str">
        <f t="shared" si="13"/>
        <v>2019</v>
      </c>
      <c r="J131" s="1" t="str">
        <f t="shared" ref="J131:J194" si="17">H131 &amp; " et al., " &amp; I131</f>
        <v>Valgeirsdottir H et al., 2019</v>
      </c>
      <c r="K131" s="1" t="str">
        <f t="shared" ref="K131:K194" si="18">ExtractDOI(E131)</f>
        <v>10.1111/1471-0528.15236</v>
      </c>
      <c r="L131" s="1" t="str">
        <f t="shared" ref="L131:L194" si="19">ExtractPMID(E131)</f>
        <v/>
      </c>
    </row>
    <row r="132" spans="1:12" ht="30" hidden="1" x14ac:dyDescent="0.25">
      <c r="A132" s="1">
        <f>INDEX(rq_evidence_review!A:A, MATCH(B132, rq_evidence_review!B:B, 0))</f>
        <v>1</v>
      </c>
      <c r="B132" s="6">
        <v>1.6</v>
      </c>
      <c r="C132" s="1">
        <f t="shared" si="14"/>
        <v>130</v>
      </c>
      <c r="D132" s="1">
        <f>VLOOKUP(B132,rq_evidence_review!$B$1:$L$55,7,FALSE)</f>
        <v>47</v>
      </c>
      <c r="E132" s="8" t="s">
        <v>433</v>
      </c>
      <c r="F132" s="1" t="str">
        <f t="shared" si="15"/>
        <v/>
      </c>
      <c r="H132" s="1" t="str">
        <f t="shared" si="16"/>
        <v>Yildiz BO</v>
      </c>
      <c r="I132" s="1" t="str">
        <f t="shared" ref="I132:I195" si="20">ExtractYear(E132)</f>
        <v>2012</v>
      </c>
      <c r="J132" s="1" t="str">
        <f t="shared" si="17"/>
        <v>Yildiz BO et al., 2012</v>
      </c>
      <c r="K132" s="1" t="str">
        <f t="shared" si="18"/>
        <v>10.1093/humrep/des232</v>
      </c>
      <c r="L132" s="1" t="str">
        <f t="shared" si="19"/>
        <v/>
      </c>
    </row>
    <row r="133" spans="1:12" ht="30" hidden="1" x14ac:dyDescent="0.25">
      <c r="A133" s="1">
        <f>INDEX(rq_evidence_review!A:A, MATCH(B133, rq_evidence_review!B:B, 0))</f>
        <v>1</v>
      </c>
      <c r="B133" s="6">
        <v>1.6</v>
      </c>
      <c r="C133" s="1">
        <f t="shared" ref="C133:C154" si="21">C132+1</f>
        <v>131</v>
      </c>
      <c r="D133" s="1">
        <f>VLOOKUP(B133,rq_evidence_review!$B$1:$L$55,7,FALSE)</f>
        <v>47</v>
      </c>
      <c r="E133" s="8" t="s">
        <v>434</v>
      </c>
      <c r="F133" s="1" t="str">
        <f t="shared" si="15"/>
        <v/>
      </c>
      <c r="H133" s="1" t="str">
        <f t="shared" si="16"/>
        <v>Dargham SR</v>
      </c>
      <c r="I133" s="1" t="str">
        <f t="shared" si="20"/>
        <v>2017</v>
      </c>
      <c r="J133" s="1" t="str">
        <f t="shared" si="17"/>
        <v>Dargham SR et al., 2017</v>
      </c>
      <c r="K133" s="1" t="str">
        <f t="shared" si="18"/>
        <v>10.1371/journal.pone.0181467</v>
      </c>
      <c r="L133" s="1" t="str">
        <f t="shared" si="19"/>
        <v/>
      </c>
    </row>
    <row r="134" spans="1:12" ht="30" hidden="1" x14ac:dyDescent="0.25">
      <c r="A134" s="1">
        <f>INDEX(rq_evidence_review!A:A, MATCH(B134, rq_evidence_review!B:B, 0))</f>
        <v>1</v>
      </c>
      <c r="B134" s="6">
        <v>1.6</v>
      </c>
      <c r="C134" s="1">
        <f t="shared" si="21"/>
        <v>132</v>
      </c>
      <c r="D134" s="1">
        <f>VLOOKUP(B134,rq_evidence_review!$B$1:$L$55,7,FALSE)</f>
        <v>47</v>
      </c>
      <c r="E134" s="8" t="s">
        <v>435</v>
      </c>
      <c r="F134" s="1" t="str">
        <f t="shared" si="15"/>
        <v/>
      </c>
      <c r="H134" s="1" t="str">
        <f t="shared" si="16"/>
        <v>Dargham SR</v>
      </c>
      <c r="I134" s="1" t="str">
        <f t="shared" si="20"/>
        <v>2018</v>
      </c>
      <c r="J134" s="1" t="str">
        <f t="shared" si="17"/>
        <v>Dargham SR et al., 2018</v>
      </c>
      <c r="K134" s="1" t="str">
        <f t="shared" si="18"/>
        <v>10.1038/s41598-018-21987-6</v>
      </c>
      <c r="L134" s="1" t="str">
        <f t="shared" si="19"/>
        <v/>
      </c>
    </row>
    <row r="135" spans="1:12" ht="30" hidden="1" x14ac:dyDescent="0.25">
      <c r="A135" s="1">
        <f>INDEX(rq_evidence_review!A:A, MATCH(B135, rq_evidence_review!B:B, 0))</f>
        <v>1</v>
      </c>
      <c r="B135" s="6">
        <v>1.6</v>
      </c>
      <c r="C135" s="1">
        <f t="shared" si="21"/>
        <v>133</v>
      </c>
      <c r="D135" s="1">
        <f>VLOOKUP(B135,rq_evidence_review!$B$1:$L$55,7,FALSE)</f>
        <v>47</v>
      </c>
      <c r="E135" s="8" t="s">
        <v>436</v>
      </c>
      <c r="F135" s="1" t="str">
        <f t="shared" si="15"/>
        <v/>
      </c>
      <c r="H135" s="1" t="str">
        <f t="shared" si="16"/>
        <v>Esmaeilzadeh S</v>
      </c>
      <c r="I135" s="1" t="str">
        <f t="shared" si="20"/>
        <v>2014</v>
      </c>
      <c r="J135" s="1" t="str">
        <f t="shared" si="17"/>
        <v>Esmaeilzadeh S et al., 2014</v>
      </c>
      <c r="K135" s="9" t="s">
        <v>1924</v>
      </c>
      <c r="L135" s="1" t="str">
        <f t="shared" si="19"/>
        <v/>
      </c>
    </row>
    <row r="136" spans="1:12" ht="45" hidden="1" x14ac:dyDescent="0.25">
      <c r="A136" s="1">
        <f>INDEX(rq_evidence_review!A:A, MATCH(B136, rq_evidence_review!B:B, 0))</f>
        <v>1</v>
      </c>
      <c r="B136" s="6">
        <v>1.6</v>
      </c>
      <c r="C136" s="1">
        <f t="shared" si="21"/>
        <v>134</v>
      </c>
      <c r="D136" s="1">
        <f>VLOOKUP(B136,rq_evidence_review!$B$1:$L$55,7,FALSE)</f>
        <v>47</v>
      </c>
      <c r="E136" s="8" t="s">
        <v>437</v>
      </c>
      <c r="F136" s="1" t="str">
        <f t="shared" si="15"/>
        <v/>
      </c>
      <c r="H136" s="1" t="str">
        <f t="shared" si="16"/>
        <v>Farhadi-Azar M</v>
      </c>
      <c r="I136" s="1" t="str">
        <f t="shared" si="20"/>
        <v>2022</v>
      </c>
      <c r="J136" s="1" t="str">
        <f t="shared" si="17"/>
        <v>Farhadi-Azar M et al., 2022</v>
      </c>
      <c r="K136" s="1" t="str">
        <f t="shared" si="18"/>
        <v>10.3389/fendo.2022.825528</v>
      </c>
      <c r="L136" s="1" t="str">
        <f t="shared" si="19"/>
        <v/>
      </c>
    </row>
    <row r="137" spans="1:12" ht="30" hidden="1" x14ac:dyDescent="0.25">
      <c r="A137" s="1">
        <f>INDEX(rq_evidence_review!A:A, MATCH(B137, rq_evidence_review!B:B, 0))</f>
        <v>1</v>
      </c>
      <c r="B137" s="6">
        <v>1.6</v>
      </c>
      <c r="C137" s="1">
        <f t="shared" si="21"/>
        <v>135</v>
      </c>
      <c r="D137" s="1">
        <f>VLOOKUP(B137,rq_evidence_review!$B$1:$L$55,7,FALSE)</f>
        <v>47</v>
      </c>
      <c r="E137" s="8" t="s">
        <v>438</v>
      </c>
      <c r="F137" s="1" t="str">
        <f t="shared" si="15"/>
        <v/>
      </c>
      <c r="H137" s="1" t="str">
        <f t="shared" si="16"/>
        <v>Mehrabian F</v>
      </c>
      <c r="I137" s="1" t="str">
        <f t="shared" si="20"/>
        <v>2011</v>
      </c>
      <c r="J137" s="1" t="str">
        <f t="shared" si="17"/>
        <v>Mehrabian F et al., 2011</v>
      </c>
      <c r="K137" s="1" t="str">
        <f t="shared" si="18"/>
        <v/>
      </c>
      <c r="L137" s="10">
        <v>21717406</v>
      </c>
    </row>
    <row r="138" spans="1:12" ht="30" hidden="1" x14ac:dyDescent="0.25">
      <c r="A138" s="1">
        <f>INDEX(rq_evidence_review!A:A, MATCH(B138, rq_evidence_review!B:B, 0))</f>
        <v>1</v>
      </c>
      <c r="B138" s="6">
        <v>1.6</v>
      </c>
      <c r="C138" s="1">
        <f t="shared" si="21"/>
        <v>136</v>
      </c>
      <c r="D138" s="1">
        <f>VLOOKUP(B138,rq_evidence_review!$B$1:$L$55,7,FALSE)</f>
        <v>47</v>
      </c>
      <c r="E138" s="8" t="s">
        <v>439</v>
      </c>
      <c r="F138" s="1" t="str">
        <f t="shared" si="15"/>
        <v/>
      </c>
      <c r="H138" s="1" t="str">
        <f t="shared" si="16"/>
        <v>Musmar S</v>
      </c>
      <c r="I138" s="1" t="str">
        <f t="shared" si="20"/>
        <v>2013</v>
      </c>
      <c r="J138" s="1" t="str">
        <f t="shared" si="17"/>
        <v>Musmar S et al., 2013</v>
      </c>
      <c r="K138" s="1" t="str">
        <f t="shared" si="18"/>
        <v>10.1186/1477-7827-11-47</v>
      </c>
      <c r="L138" s="1" t="str">
        <f t="shared" si="19"/>
        <v/>
      </c>
    </row>
    <row r="139" spans="1:12" ht="30" hidden="1" x14ac:dyDescent="0.25">
      <c r="A139" s="1">
        <f>INDEX(rq_evidence_review!A:A, MATCH(B139, rq_evidence_review!B:B, 0))</f>
        <v>1</v>
      </c>
      <c r="B139" s="6">
        <v>1.6</v>
      </c>
      <c r="C139" s="1">
        <f t="shared" si="21"/>
        <v>137</v>
      </c>
      <c r="D139" s="1">
        <f>VLOOKUP(B139,rq_evidence_review!$B$1:$L$55,7,FALSE)</f>
        <v>47</v>
      </c>
      <c r="E139" s="8" t="s">
        <v>440</v>
      </c>
      <c r="F139" s="1" t="str">
        <f t="shared" si="15"/>
        <v/>
      </c>
      <c r="H139" s="1" t="str">
        <f t="shared" si="16"/>
        <v>Pramodh S. Exploration of lifestyle choices</v>
      </c>
      <c r="I139" s="1" t="str">
        <f t="shared" si="20"/>
        <v>2020</v>
      </c>
      <c r="J139" s="1" t="str">
        <f t="shared" si="17"/>
        <v>Pramodh S. Exploration of lifestyle choices et al., 2020</v>
      </c>
      <c r="K139" s="1" t="str">
        <f t="shared" si="18"/>
        <v>10.2147/IJWH.S272867</v>
      </c>
      <c r="L139" s="1" t="str">
        <f t="shared" si="19"/>
        <v/>
      </c>
    </row>
    <row r="140" spans="1:12" ht="30" hidden="1" x14ac:dyDescent="0.25">
      <c r="A140" s="1">
        <f>INDEX(rq_evidence_review!A:A, MATCH(B140, rq_evidence_review!B:B, 0))</f>
        <v>1</v>
      </c>
      <c r="B140" s="6">
        <v>1.6</v>
      </c>
      <c r="C140" s="1">
        <f t="shared" si="21"/>
        <v>138</v>
      </c>
      <c r="D140" s="1">
        <f>VLOOKUP(B140,rq_evidence_review!$B$1:$L$55,7,FALSE)</f>
        <v>47</v>
      </c>
      <c r="E140" s="8" t="s">
        <v>441</v>
      </c>
      <c r="F140" s="1" t="str">
        <f t="shared" si="15"/>
        <v/>
      </c>
      <c r="H140" s="1" t="str">
        <f t="shared" si="16"/>
        <v>Salehpour S</v>
      </c>
      <c r="I140" s="1" t="str">
        <f t="shared" si="20"/>
        <v>2005</v>
      </c>
      <c r="J140" s="1" t="str">
        <f t="shared" si="17"/>
        <v>Salehpour S et al., 2005</v>
      </c>
      <c r="K140" s="9" t="s">
        <v>1484</v>
      </c>
      <c r="L140" s="1" t="str">
        <f t="shared" si="19"/>
        <v/>
      </c>
    </row>
    <row r="141" spans="1:12" ht="30" hidden="1" x14ac:dyDescent="0.25">
      <c r="A141" s="1">
        <f>INDEX(rq_evidence_review!A:A, MATCH(B141, rq_evidence_review!B:B, 0))</f>
        <v>1</v>
      </c>
      <c r="B141" s="6">
        <v>1.6</v>
      </c>
      <c r="C141" s="1">
        <f t="shared" si="21"/>
        <v>139</v>
      </c>
      <c r="D141" s="1">
        <f>VLOOKUP(B141,rq_evidence_review!$B$1:$L$55,7,FALSE)</f>
        <v>47</v>
      </c>
      <c r="E141" s="8" t="s">
        <v>442</v>
      </c>
      <c r="F141" s="1" t="str">
        <f t="shared" si="15"/>
        <v/>
      </c>
      <c r="H141" s="1" t="str">
        <f t="shared" si="16"/>
        <v>Sharif E</v>
      </c>
      <c r="I141" s="1" t="str">
        <f t="shared" si="20"/>
        <v>2017</v>
      </c>
      <c r="J141" s="1" t="str">
        <f t="shared" si="17"/>
        <v>Sharif E et al., 2017</v>
      </c>
      <c r="K141" s="1" t="str">
        <f t="shared" si="18"/>
        <v>10.2147/IJWH.S120027</v>
      </c>
      <c r="L141" s="1" t="str">
        <f t="shared" si="19"/>
        <v/>
      </c>
    </row>
    <row r="142" spans="1:12" ht="30" hidden="1" x14ac:dyDescent="0.25">
      <c r="A142" s="1">
        <f>INDEX(rq_evidence_review!A:A, MATCH(B142, rq_evidence_review!B:B, 0))</f>
        <v>1</v>
      </c>
      <c r="B142" s="6">
        <v>1.6</v>
      </c>
      <c r="C142" s="1">
        <f t="shared" si="21"/>
        <v>140</v>
      </c>
      <c r="D142" s="1">
        <f>VLOOKUP(B142,rq_evidence_review!$B$1:$L$55,7,FALSE)</f>
        <v>47</v>
      </c>
      <c r="E142" s="8" t="s">
        <v>443</v>
      </c>
      <c r="F142" s="1" t="str">
        <f t="shared" si="15"/>
        <v/>
      </c>
      <c r="H142" s="1" t="str">
        <f t="shared" si="16"/>
        <v>Tehrani FR</v>
      </c>
      <c r="I142" s="1" t="str">
        <f t="shared" si="20"/>
        <v>2011</v>
      </c>
      <c r="J142" s="1" t="str">
        <f t="shared" si="17"/>
        <v>Tehrani FR et al., 2011</v>
      </c>
      <c r="K142" s="1" t="str">
        <f t="shared" si="18"/>
        <v>10.1186/1477-7827-9-144</v>
      </c>
      <c r="L142" s="1" t="str">
        <f t="shared" si="19"/>
        <v/>
      </c>
    </row>
    <row r="143" spans="1:12" ht="30" hidden="1" x14ac:dyDescent="0.25">
      <c r="A143" s="1">
        <f>INDEX(rq_evidence_review!A:A, MATCH(B143, rq_evidence_review!B:B, 0))</f>
        <v>1</v>
      </c>
      <c r="B143" s="6">
        <v>1.6</v>
      </c>
      <c r="C143" s="1">
        <f t="shared" si="21"/>
        <v>141</v>
      </c>
      <c r="D143" s="1">
        <f>VLOOKUP(B143,rq_evidence_review!$B$1:$L$55,7,FALSE)</f>
        <v>47</v>
      </c>
      <c r="E143" s="8" t="s">
        <v>444</v>
      </c>
      <c r="F143" s="1" t="str">
        <f t="shared" si="15"/>
        <v/>
      </c>
      <c r="H143" s="1" t="str">
        <f t="shared" si="16"/>
        <v>Boyle JA</v>
      </c>
      <c r="I143" s="1" t="str">
        <f t="shared" si="20"/>
        <v>2012</v>
      </c>
      <c r="J143" s="1" t="str">
        <f t="shared" si="17"/>
        <v>Boyle JA et al., 2012</v>
      </c>
      <c r="K143" s="1" t="str">
        <f t="shared" si="18"/>
        <v>10.5694/mja11.10553</v>
      </c>
      <c r="L143" s="1" t="str">
        <f t="shared" si="19"/>
        <v/>
      </c>
    </row>
    <row r="144" spans="1:12" ht="30" hidden="1" x14ac:dyDescent="0.25">
      <c r="A144" s="1">
        <f>INDEX(rq_evidence_review!A:A, MATCH(B144, rq_evidence_review!B:B, 0))</f>
        <v>1</v>
      </c>
      <c r="B144" s="6">
        <v>1.6</v>
      </c>
      <c r="C144" s="1">
        <f t="shared" si="21"/>
        <v>142</v>
      </c>
      <c r="D144" s="1">
        <f>VLOOKUP(B144,rq_evidence_review!$B$1:$L$55,7,FALSE)</f>
        <v>47</v>
      </c>
      <c r="E144" s="8" t="s">
        <v>445</v>
      </c>
      <c r="F144" s="1" t="str">
        <f t="shared" si="15"/>
        <v/>
      </c>
      <c r="H144" s="1" t="str">
        <f t="shared" si="16"/>
        <v>Chen X</v>
      </c>
      <c r="I144" s="1" t="str">
        <f t="shared" si="20"/>
        <v>2008</v>
      </c>
      <c r="J144" s="1" t="str">
        <f t="shared" si="17"/>
        <v>Chen X et al., 2008</v>
      </c>
      <c r="K144" s="1" t="str">
        <f t="shared" si="18"/>
        <v>10.1016/j.ejogrb.2007.12.018</v>
      </c>
      <c r="L144" s="1" t="str">
        <f t="shared" si="19"/>
        <v/>
      </c>
    </row>
    <row r="145" spans="1:12" ht="30" hidden="1" x14ac:dyDescent="0.25">
      <c r="A145" s="1">
        <f>INDEX(rq_evidence_review!A:A, MATCH(B145, rq_evidence_review!B:B, 0))</f>
        <v>1</v>
      </c>
      <c r="B145" s="6">
        <v>1.6</v>
      </c>
      <c r="C145" s="1">
        <f t="shared" si="21"/>
        <v>143</v>
      </c>
      <c r="D145" s="1">
        <f>VLOOKUP(B145,rq_evidence_review!$B$1:$L$55,7,FALSE)</f>
        <v>47</v>
      </c>
      <c r="E145" s="8" t="s">
        <v>446</v>
      </c>
      <c r="F145" s="1" t="str">
        <f t="shared" si="15"/>
        <v/>
      </c>
      <c r="H145" s="1" t="str">
        <f t="shared" si="16"/>
        <v>Dashti S</v>
      </c>
      <c r="I145" s="1" t="str">
        <f t="shared" si="20"/>
        <v>2019</v>
      </c>
      <c r="J145" s="1" t="str">
        <f t="shared" si="17"/>
        <v>Dashti S et al., 2019</v>
      </c>
      <c r="K145" s="1" t="str">
        <f t="shared" si="18"/>
        <v>10.22038/jmrh.2018.30370.1329</v>
      </c>
      <c r="L145" s="1" t="str">
        <f t="shared" si="19"/>
        <v/>
      </c>
    </row>
    <row r="146" spans="1:12" ht="30" hidden="1" x14ac:dyDescent="0.25">
      <c r="A146" s="1">
        <f>INDEX(rq_evidence_review!A:A, MATCH(B146, rq_evidence_review!B:B, 0))</f>
        <v>1</v>
      </c>
      <c r="B146" s="6">
        <v>1.6</v>
      </c>
      <c r="C146" s="1">
        <f t="shared" si="21"/>
        <v>144</v>
      </c>
      <c r="D146" s="1">
        <f>VLOOKUP(B146,rq_evidence_review!$B$1:$L$55,7,FALSE)</f>
        <v>47</v>
      </c>
      <c r="E146" s="8" t="s">
        <v>447</v>
      </c>
      <c r="F146" s="1" t="str">
        <f t="shared" si="15"/>
        <v/>
      </c>
      <c r="H146" s="1" t="str">
        <f t="shared" si="16"/>
        <v>Davis SR</v>
      </c>
      <c r="I146" s="1" t="str">
        <f t="shared" si="20"/>
        <v>2002</v>
      </c>
      <c r="J146" s="1" t="str">
        <f t="shared" si="17"/>
        <v>Davis SR et al., 2002</v>
      </c>
      <c r="K146" s="1" t="str">
        <f t="shared" si="18"/>
        <v>10.1080/gye.16.6.443.446</v>
      </c>
      <c r="L146" s="1" t="str">
        <f t="shared" si="19"/>
        <v/>
      </c>
    </row>
    <row r="147" spans="1:12" ht="30" hidden="1" x14ac:dyDescent="0.25">
      <c r="A147" s="1">
        <f>INDEX(rq_evidence_review!A:A, MATCH(B147, rq_evidence_review!B:B, 0))</f>
        <v>1</v>
      </c>
      <c r="B147" s="6">
        <v>1.6</v>
      </c>
      <c r="C147" s="1">
        <f t="shared" si="21"/>
        <v>145</v>
      </c>
      <c r="D147" s="1">
        <f>VLOOKUP(B147,rq_evidence_review!$B$1:$L$55,7,FALSE)</f>
        <v>47</v>
      </c>
      <c r="E147" s="8" t="s">
        <v>448</v>
      </c>
      <c r="F147" s="1" t="str">
        <f t="shared" si="15"/>
        <v/>
      </c>
      <c r="H147" s="1" t="str">
        <f t="shared" si="16"/>
        <v>Li R</v>
      </c>
      <c r="I147" s="1" t="str">
        <f t="shared" si="20"/>
        <v>2013</v>
      </c>
      <c r="J147" s="1" t="str">
        <f t="shared" si="17"/>
        <v>Li R et al., 2013</v>
      </c>
      <c r="K147" s="1" t="str">
        <f t="shared" si="18"/>
        <v>10.1093/humrep/det262</v>
      </c>
      <c r="L147" s="1" t="str">
        <f t="shared" si="19"/>
        <v/>
      </c>
    </row>
    <row r="148" spans="1:12" ht="30" hidden="1" x14ac:dyDescent="0.25">
      <c r="A148" s="1">
        <f>INDEX(rq_evidence_review!A:A, MATCH(B148, rq_evidence_review!B:B, 0))</f>
        <v>1</v>
      </c>
      <c r="B148" s="6">
        <v>1.6</v>
      </c>
      <c r="C148" s="1">
        <f t="shared" si="21"/>
        <v>146</v>
      </c>
      <c r="D148" s="1">
        <f>VLOOKUP(B148,rq_evidence_review!$B$1:$L$55,7,FALSE)</f>
        <v>47</v>
      </c>
      <c r="E148" s="8" t="s">
        <v>449</v>
      </c>
      <c r="F148" s="1" t="str">
        <f t="shared" si="15"/>
        <v/>
      </c>
      <c r="H148" s="1" t="str">
        <f t="shared" si="16"/>
        <v>Jiao J</v>
      </c>
      <c r="I148" s="1" t="str">
        <f t="shared" si="20"/>
        <v>2014</v>
      </c>
      <c r="J148" s="1" t="str">
        <f t="shared" si="17"/>
        <v>Jiao J et al., 2014</v>
      </c>
      <c r="K148" s="1" t="str">
        <f t="shared" si="18"/>
        <v>10.12891/ceog16282014</v>
      </c>
      <c r="L148" s="1" t="str">
        <f t="shared" si="19"/>
        <v/>
      </c>
    </row>
    <row r="149" spans="1:12" ht="30" hidden="1" x14ac:dyDescent="0.25">
      <c r="A149" s="1">
        <f>INDEX(rq_evidence_review!A:A, MATCH(B149, rq_evidence_review!B:B, 0))</f>
        <v>1</v>
      </c>
      <c r="B149" s="6">
        <v>1.6</v>
      </c>
      <c r="C149" s="1">
        <f t="shared" si="21"/>
        <v>147</v>
      </c>
      <c r="D149" s="1">
        <f>VLOOKUP(B149,rq_evidence_review!$B$1:$L$55,7,FALSE)</f>
        <v>47</v>
      </c>
      <c r="E149" s="8" t="s">
        <v>450</v>
      </c>
      <c r="F149" s="1" t="str">
        <f t="shared" si="15"/>
        <v/>
      </c>
      <c r="H149" s="1" t="str">
        <f t="shared" si="16"/>
        <v>Kim JH</v>
      </c>
      <c r="I149" s="1" t="str">
        <f t="shared" si="20"/>
        <v>2010</v>
      </c>
      <c r="J149" s="1" t="str">
        <f t="shared" si="17"/>
        <v>Kim JH et al., 2010</v>
      </c>
      <c r="K149" s="1" t="str">
        <f t="shared" si="18"/>
        <v>10.3349/ymj.2022.63.8.794</v>
      </c>
      <c r="L149" s="1" t="str">
        <f t="shared" si="19"/>
        <v/>
      </c>
    </row>
    <row r="150" spans="1:12" ht="30" hidden="1" x14ac:dyDescent="0.25">
      <c r="A150" s="1">
        <f>INDEX(rq_evidence_review!A:A, MATCH(B150, rq_evidence_review!B:B, 0))</f>
        <v>1</v>
      </c>
      <c r="B150" s="6">
        <v>1.6</v>
      </c>
      <c r="C150" s="1">
        <f t="shared" si="21"/>
        <v>148</v>
      </c>
      <c r="D150" s="1">
        <f>VLOOKUP(B150,rq_evidence_review!$B$1:$L$55,7,FALSE)</f>
        <v>47</v>
      </c>
      <c r="E150" s="8" t="s">
        <v>451</v>
      </c>
      <c r="F150" s="1" t="str">
        <f t="shared" si="15"/>
        <v/>
      </c>
      <c r="H150" s="1" t="str">
        <f t="shared" si="16"/>
        <v>Maredia H</v>
      </c>
      <c r="I150" s="1" t="str">
        <f t="shared" si="20"/>
        <v>2018</v>
      </c>
      <c r="J150" s="1" t="str">
        <f t="shared" si="17"/>
        <v>Maredia H et al., 2018</v>
      </c>
      <c r="K150" s="1" t="str">
        <f t="shared" si="18"/>
        <v>10.1002/ajhb.23106</v>
      </c>
      <c r="L150" s="1" t="str">
        <f t="shared" si="19"/>
        <v/>
      </c>
    </row>
    <row r="151" spans="1:12" ht="30" hidden="1" x14ac:dyDescent="0.25">
      <c r="A151" s="1">
        <f>INDEX(rq_evidence_review!A:A, MATCH(B151, rq_evidence_review!B:B, 0))</f>
        <v>1</v>
      </c>
      <c r="B151" s="6">
        <v>1.6</v>
      </c>
      <c r="C151" s="1">
        <f t="shared" si="21"/>
        <v>149</v>
      </c>
      <c r="D151" s="1">
        <f>VLOOKUP(B151,rq_evidence_review!$B$1:$L$55,7,FALSE)</f>
        <v>47</v>
      </c>
      <c r="E151" s="8" t="s">
        <v>452</v>
      </c>
      <c r="F151" s="1" t="str">
        <f t="shared" si="15"/>
        <v/>
      </c>
      <c r="H151" s="1" t="str">
        <f t="shared" si="16"/>
        <v>Min D</v>
      </c>
      <c r="I151" s="1" t="str">
        <f t="shared" si="20"/>
        <v>2022</v>
      </c>
      <c r="J151" s="1" t="str">
        <f t="shared" si="17"/>
        <v>Min D et al., 2022</v>
      </c>
      <c r="K151" s="1" t="str">
        <f t="shared" si="18"/>
        <v>10.1089/met.2021.0123</v>
      </c>
      <c r="L151" s="1" t="str">
        <f t="shared" si="19"/>
        <v/>
      </c>
    </row>
    <row r="152" spans="1:12" ht="30" hidden="1" x14ac:dyDescent="0.25">
      <c r="A152" s="1">
        <f>INDEX(rq_evidence_review!A:A, MATCH(B152, rq_evidence_review!B:B, 0))</f>
        <v>1</v>
      </c>
      <c r="B152" s="6">
        <v>1.6</v>
      </c>
      <c r="C152" s="1">
        <f t="shared" si="21"/>
        <v>150</v>
      </c>
      <c r="D152" s="1">
        <f>VLOOKUP(B152,rq_evidence_review!$B$1:$L$55,7,FALSE)</f>
        <v>47</v>
      </c>
      <c r="E152" s="8" t="s">
        <v>453</v>
      </c>
      <c r="F152" s="1" t="str">
        <f t="shared" si="15"/>
        <v/>
      </c>
      <c r="H152" s="1" t="str">
        <f t="shared" si="16"/>
        <v>Park YJ</v>
      </c>
      <c r="I152" s="1" t="str">
        <f t="shared" si="20"/>
        <v>2021</v>
      </c>
      <c r="J152" s="1" t="str">
        <f t="shared" si="17"/>
        <v>Park YJ et al., 2021</v>
      </c>
      <c r="K152" s="1" t="str">
        <f t="shared" si="18"/>
        <v>10.3390/healthcare9010056</v>
      </c>
      <c r="L152" s="1" t="str">
        <f t="shared" si="19"/>
        <v>33430265</v>
      </c>
    </row>
    <row r="153" spans="1:12" ht="30" hidden="1" x14ac:dyDescent="0.25">
      <c r="A153" s="1">
        <f>INDEX(rq_evidence_review!A:A, MATCH(B153, rq_evidence_review!B:B, 0))</f>
        <v>1</v>
      </c>
      <c r="B153" s="6">
        <v>1.6</v>
      </c>
      <c r="C153" s="1">
        <f t="shared" si="21"/>
        <v>151</v>
      </c>
      <c r="D153" s="1">
        <f>VLOOKUP(B153,rq_evidence_review!$B$1:$L$55,7,FALSE)</f>
        <v>47</v>
      </c>
      <c r="E153" s="8" t="s">
        <v>454</v>
      </c>
      <c r="F153" s="1" t="str">
        <f t="shared" si="15"/>
        <v/>
      </c>
      <c r="H153" s="1" t="str">
        <f t="shared" si="16"/>
        <v>Yang R</v>
      </c>
      <c r="I153" s="1" t="str">
        <f t="shared" si="20"/>
        <v>2022</v>
      </c>
      <c r="J153" s="1" t="str">
        <f t="shared" si="17"/>
        <v>Yang R et al., 2022</v>
      </c>
      <c r="K153" s="1" t="str">
        <f t="shared" si="18"/>
        <v>10.1016/j.lanwpc.2022.100494</v>
      </c>
      <c r="L153" s="1" t="str">
        <f t="shared" si="19"/>
        <v/>
      </c>
    </row>
    <row r="154" spans="1:12" ht="30" hidden="1" x14ac:dyDescent="0.25">
      <c r="A154" s="1">
        <f>INDEX(rq_evidence_review!A:A, MATCH(B154, rq_evidence_review!B:B, 0))</f>
        <v>1</v>
      </c>
      <c r="B154" s="6">
        <v>1.6</v>
      </c>
      <c r="C154" s="1">
        <f t="shared" si="21"/>
        <v>152</v>
      </c>
      <c r="D154" s="1">
        <f>VLOOKUP(B154,rq_evidence_review!$B$1:$L$55,7,FALSE)</f>
        <v>47</v>
      </c>
      <c r="E154" s="8" t="s">
        <v>455</v>
      </c>
      <c r="F154" s="1" t="str">
        <f t="shared" si="15"/>
        <v/>
      </c>
      <c r="H154" s="1" t="str">
        <f t="shared" si="16"/>
        <v>Zhuang J</v>
      </c>
      <c r="I154" s="1" t="str">
        <f t="shared" si="20"/>
        <v>2014</v>
      </c>
      <c r="J154" s="1" t="str">
        <f t="shared" si="17"/>
        <v>Zhuang J et al., 2014</v>
      </c>
      <c r="K154" s="1" t="str">
        <f t="shared" si="18"/>
        <v>10.1159/000358485</v>
      </c>
      <c r="L154" s="1" t="str">
        <f t="shared" si="19"/>
        <v/>
      </c>
    </row>
    <row r="155" spans="1:12" hidden="1" x14ac:dyDescent="0.25">
      <c r="A155" s="1">
        <f>INDEX(rq_evidence_review!A:A, MATCH(B155, rq_evidence_review!B:B, 0))</f>
        <v>1</v>
      </c>
      <c r="B155" s="6">
        <f>rq_evidence_review!B8</f>
        <v>1.7</v>
      </c>
      <c r="D155" s="1">
        <f>VLOOKUP(B155,rq_evidence_review!$B$1:$L$55,7,FALSE)</f>
        <v>0</v>
      </c>
      <c r="F155" s="1" t="str">
        <f t="shared" si="15"/>
        <v/>
      </c>
      <c r="H155" s="1" t="e">
        <f t="shared" si="16"/>
        <v>#VALUE!</v>
      </c>
      <c r="I155" s="1" t="str">
        <f t="shared" si="20"/>
        <v/>
      </c>
      <c r="J155" s="1" t="e">
        <f t="shared" si="17"/>
        <v>#VALUE!</v>
      </c>
      <c r="K155" s="1" t="str">
        <f t="shared" si="18"/>
        <v/>
      </c>
      <c r="L155" s="1" t="str">
        <f t="shared" si="19"/>
        <v/>
      </c>
    </row>
    <row r="156" spans="1:12" ht="30" hidden="1" x14ac:dyDescent="0.25">
      <c r="A156" s="1">
        <f>INDEX(rq_evidence_review!A:A, MATCH(B156, rq_evidence_review!B:B, 0))</f>
        <v>1</v>
      </c>
      <c r="B156" s="6">
        <f>rq_evidence_review!B9</f>
        <v>1.8</v>
      </c>
      <c r="C156" s="1">
        <f>C154+1</f>
        <v>153</v>
      </c>
      <c r="D156" s="1">
        <f>VLOOKUP(B156,rq_evidence_review!$B$1:$L$55,7,FALSE)</f>
        <v>20</v>
      </c>
      <c r="E156" s="8" t="s">
        <v>456</v>
      </c>
      <c r="F156" s="1" t="str">
        <f t="shared" si="15"/>
        <v/>
      </c>
      <c r="H156" s="1" t="str">
        <f t="shared" si="16"/>
        <v>Berni TR</v>
      </c>
      <c r="I156" s="1" t="str">
        <f t="shared" si="20"/>
        <v>2021</v>
      </c>
      <c r="J156" s="1" t="str">
        <f t="shared" si="17"/>
        <v>Berni TR et al., 2021</v>
      </c>
      <c r="K156" s="1" t="str">
        <f t="shared" si="18"/>
        <v>10.1210/clinem/dgab392</v>
      </c>
      <c r="L156" s="1" t="str">
        <f t="shared" si="19"/>
        <v>34061968</v>
      </c>
    </row>
    <row r="157" spans="1:12" ht="60" hidden="1" x14ac:dyDescent="0.25">
      <c r="A157" s="1">
        <f>INDEX(rq_evidence_review!A:A, MATCH(B157, rq_evidence_review!B:B, 0))</f>
        <v>1</v>
      </c>
      <c r="B157" s="6">
        <v>1.8</v>
      </c>
      <c r="C157" s="1">
        <f>C156+1</f>
        <v>154</v>
      </c>
      <c r="D157" s="1">
        <f>VLOOKUP(B157,rq_evidence_review!$B$1:$L$55,7,FALSE)</f>
        <v>20</v>
      </c>
      <c r="E157" s="8" t="s">
        <v>457</v>
      </c>
      <c r="F157" s="1" t="str">
        <f t="shared" si="15"/>
        <v/>
      </c>
      <c r="H157" s="1" t="str">
        <f t="shared" si="16"/>
        <v>Calderon-Margalit R</v>
      </c>
      <c r="I157" s="1" t="str">
        <f t="shared" si="20"/>
        <v>2014</v>
      </c>
      <c r="J157" s="1" t="str">
        <f t="shared" si="17"/>
        <v>Calderon-Margalit R et al., 2014</v>
      </c>
      <c r="K157" s="1" t="str">
        <f t="shared" si="18"/>
        <v>10.1161/ATVBAHA.114.304136</v>
      </c>
      <c r="L157" s="1" t="str">
        <f t="shared" si="19"/>
        <v>25359859</v>
      </c>
    </row>
    <row r="158" spans="1:12" ht="45" hidden="1" x14ac:dyDescent="0.25">
      <c r="A158" s="1">
        <f>INDEX(rq_evidence_review!A:A, MATCH(B158, rq_evidence_review!B:B, 0))</f>
        <v>1</v>
      </c>
      <c r="B158" s="6">
        <v>1.8</v>
      </c>
      <c r="C158" s="1">
        <f t="shared" ref="C158:C221" si="22">C157+1</f>
        <v>155</v>
      </c>
      <c r="D158" s="1">
        <f>VLOOKUP(B158,rq_evidence_review!$B$1:$L$55,7,FALSE)</f>
        <v>20</v>
      </c>
      <c r="E158" s="8" t="s">
        <v>458</v>
      </c>
      <c r="F158" s="1" t="str">
        <f t="shared" si="15"/>
        <v/>
      </c>
      <c r="H158" s="1" t="str">
        <f t="shared" si="16"/>
        <v>Cibula D</v>
      </c>
      <c r="I158" s="1" t="str">
        <f t="shared" si="20"/>
        <v>2000</v>
      </c>
      <c r="J158" s="1" t="str">
        <f t="shared" si="17"/>
        <v>Cibula D et al., 2000</v>
      </c>
      <c r="K158" s="1" t="str">
        <f t="shared" si="18"/>
        <v>10.1093/humrep/15.4.785</v>
      </c>
      <c r="L158" s="1" t="str">
        <f t="shared" si="19"/>
        <v>10739820</v>
      </c>
    </row>
    <row r="159" spans="1:12" ht="30" hidden="1" x14ac:dyDescent="0.25">
      <c r="A159" s="1">
        <f>INDEX(rq_evidence_review!A:A, MATCH(B159, rq_evidence_review!B:B, 0))</f>
        <v>1</v>
      </c>
      <c r="B159" s="6">
        <v>1.8</v>
      </c>
      <c r="C159" s="1">
        <f t="shared" si="22"/>
        <v>156</v>
      </c>
      <c r="D159" s="1">
        <f>VLOOKUP(B159,rq_evidence_review!$B$1:$L$55,7,FALSE)</f>
        <v>20</v>
      </c>
      <c r="E159" s="8" t="s">
        <v>459</v>
      </c>
      <c r="F159" s="1" t="str">
        <f t="shared" si="15"/>
        <v/>
      </c>
      <c r="H159" s="1" t="str">
        <f t="shared" si="16"/>
        <v>Ding DC</v>
      </c>
      <c r="I159" s="1" t="str">
        <f t="shared" si="20"/>
        <v>2018</v>
      </c>
      <c r="J159" s="1" t="str">
        <f t="shared" si="17"/>
        <v>Ding DC et al., 2018</v>
      </c>
      <c r="K159" s="1" t="str">
        <f t="shared" si="18"/>
        <v>10.18632/oncotarget.23985</v>
      </c>
      <c r="L159" s="1" t="str">
        <f t="shared" si="19"/>
        <v>29492235</v>
      </c>
    </row>
    <row r="160" spans="1:12" ht="30" hidden="1" x14ac:dyDescent="0.25">
      <c r="A160" s="1">
        <f>INDEX(rq_evidence_review!A:A, MATCH(B160, rq_evidence_review!B:B, 0))</f>
        <v>1</v>
      </c>
      <c r="B160" s="6">
        <v>1.8</v>
      </c>
      <c r="C160" s="1">
        <f t="shared" si="22"/>
        <v>157</v>
      </c>
      <c r="D160" s="1">
        <f>VLOOKUP(B160,rq_evidence_review!$B$1:$L$55,7,FALSE)</f>
        <v>20</v>
      </c>
      <c r="E160" s="8" t="s">
        <v>460</v>
      </c>
      <c r="F160" s="1" t="str">
        <f t="shared" si="15"/>
        <v/>
      </c>
      <c r="H160" s="1" t="str">
        <f t="shared" si="16"/>
        <v>Forslund M</v>
      </c>
      <c r="I160" s="1" t="str">
        <f t="shared" si="20"/>
        <v>2022</v>
      </c>
      <c r="J160" s="1" t="str">
        <f t="shared" si="17"/>
        <v>Forslund M et al., 2022</v>
      </c>
      <c r="K160" s="1" t="str">
        <f t="shared" si="18"/>
        <v>10.1016/j.ejogrb.2022.02.020</v>
      </c>
      <c r="L160" s="1" t="str">
        <f t="shared" si="19"/>
        <v>35220175</v>
      </c>
    </row>
    <row r="161" spans="1:12" ht="30" hidden="1" x14ac:dyDescent="0.25">
      <c r="A161" s="1">
        <f>INDEX(rq_evidence_review!A:A, MATCH(B161, rq_evidence_review!B:B, 0))</f>
        <v>1</v>
      </c>
      <c r="B161" s="6">
        <v>1.8</v>
      </c>
      <c r="C161" s="1">
        <f t="shared" si="22"/>
        <v>158</v>
      </c>
      <c r="D161" s="1">
        <f>VLOOKUP(B161,rq_evidence_review!$B$1:$L$55,7,FALSE)</f>
        <v>20</v>
      </c>
      <c r="E161" s="8" t="s">
        <v>461</v>
      </c>
      <c r="F161" s="1" t="str">
        <f t="shared" si="15"/>
        <v/>
      </c>
      <c r="H161" s="1" t="str">
        <f t="shared" si="16"/>
        <v>Glintborg D</v>
      </c>
      <c r="I161" s="1" t="str">
        <f t="shared" si="20"/>
        <v>2018</v>
      </c>
      <c r="J161" s="1" t="str">
        <f t="shared" si="17"/>
        <v>Glintborg D et al., 2018</v>
      </c>
      <c r="K161" s="1" t="str">
        <f t="shared" si="18"/>
        <v>10.1186/s12933-018-0680-5</v>
      </c>
      <c r="L161" s="1" t="str">
        <f t="shared" si="19"/>
        <v>29519249</v>
      </c>
    </row>
    <row r="162" spans="1:12" ht="30" hidden="1" x14ac:dyDescent="0.25">
      <c r="A162" s="1">
        <f>INDEX(rq_evidence_review!A:A, MATCH(B162, rq_evidence_review!B:B, 0))</f>
        <v>1</v>
      </c>
      <c r="B162" s="6">
        <v>1.8</v>
      </c>
      <c r="C162" s="1">
        <f t="shared" si="22"/>
        <v>159</v>
      </c>
      <c r="D162" s="1">
        <f>VLOOKUP(B162,rq_evidence_review!$B$1:$L$55,7,FALSE)</f>
        <v>20</v>
      </c>
      <c r="E162" s="8" t="s">
        <v>462</v>
      </c>
      <c r="F162" s="1" t="str">
        <f t="shared" si="15"/>
        <v/>
      </c>
      <c r="H162" s="1" t="str">
        <f t="shared" si="16"/>
        <v>Iftikhar S</v>
      </c>
      <c r="I162" s="1" t="str">
        <f t="shared" si="20"/>
        <v>2012</v>
      </c>
      <c r="J162" s="1" t="str">
        <f t="shared" si="17"/>
        <v>Iftikhar S et al., 2012</v>
      </c>
      <c r="K162" s="1" t="str">
        <f t="shared" si="18"/>
        <v/>
      </c>
      <c r="L162" s="1" t="str">
        <f t="shared" si="19"/>
        <v>22418753</v>
      </c>
    </row>
    <row r="163" spans="1:12" ht="30" hidden="1" x14ac:dyDescent="0.25">
      <c r="A163" s="1">
        <f>INDEX(rq_evidence_review!A:A, MATCH(B163, rq_evidence_review!B:B, 0))</f>
        <v>1</v>
      </c>
      <c r="B163" s="6">
        <v>1.8</v>
      </c>
      <c r="C163" s="1">
        <f t="shared" si="22"/>
        <v>160</v>
      </c>
      <c r="D163" s="1">
        <f>VLOOKUP(B163,rq_evidence_review!$B$1:$L$55,7,FALSE)</f>
        <v>20</v>
      </c>
      <c r="E163" s="8" t="s">
        <v>463</v>
      </c>
      <c r="F163" s="1" t="str">
        <f t="shared" si="15"/>
        <v/>
      </c>
      <c r="H163" s="1" t="str">
        <f t="shared" si="16"/>
        <v>Lunde O</v>
      </c>
      <c r="I163" s="1" t="str">
        <f t="shared" si="20"/>
        <v>2007</v>
      </c>
      <c r="J163" s="1" t="str">
        <f t="shared" si="17"/>
        <v>Lunde O et al., 2007</v>
      </c>
      <c r="K163" s="1" t="str">
        <f t="shared" si="18"/>
        <v>10.1080/09513590701705189</v>
      </c>
      <c r="L163" s="1" t="str">
        <f t="shared" si="19"/>
        <v>18075845</v>
      </c>
    </row>
    <row r="164" spans="1:12" ht="45" hidden="1" x14ac:dyDescent="0.25">
      <c r="A164" s="1">
        <f>INDEX(rq_evidence_review!A:A, MATCH(B164, rq_evidence_review!B:B, 0))</f>
        <v>1</v>
      </c>
      <c r="B164" s="6">
        <v>1.8</v>
      </c>
      <c r="C164" s="1">
        <f t="shared" si="22"/>
        <v>161</v>
      </c>
      <c r="D164" s="1">
        <f>VLOOKUP(B164,rq_evidence_review!$B$1:$L$55,7,FALSE)</f>
        <v>20</v>
      </c>
      <c r="E164" s="8" t="s">
        <v>464</v>
      </c>
      <c r="F164" s="1" t="str">
        <f t="shared" si="15"/>
        <v/>
      </c>
      <c r="H164" s="1" t="str">
        <f t="shared" si="16"/>
        <v>Mahboobifard F</v>
      </c>
      <c r="I164" s="1" t="str">
        <f t="shared" si="20"/>
        <v>2022</v>
      </c>
      <c r="J164" s="1" t="str">
        <f t="shared" si="17"/>
        <v>Mahboobifard F et al., 2022</v>
      </c>
      <c r="K164" s="1" t="str">
        <f t="shared" si="18"/>
        <v>10.1016/j.arcmed.2021.11.001</v>
      </c>
      <c r="L164" s="1" t="str">
        <f t="shared" si="19"/>
        <v>34823887</v>
      </c>
    </row>
    <row r="165" spans="1:12" ht="45" hidden="1" x14ac:dyDescent="0.25">
      <c r="A165" s="1">
        <f>INDEX(rq_evidence_review!A:A, MATCH(B165, rq_evidence_review!B:B, 0))</f>
        <v>1</v>
      </c>
      <c r="B165" s="6">
        <v>1.8</v>
      </c>
      <c r="C165" s="1">
        <f t="shared" si="22"/>
        <v>162</v>
      </c>
      <c r="D165" s="1">
        <f>VLOOKUP(B165,rq_evidence_review!$B$1:$L$55,7,FALSE)</f>
        <v>20</v>
      </c>
      <c r="E165" s="8" t="s">
        <v>465</v>
      </c>
      <c r="F165" s="1" t="str">
        <f t="shared" si="15"/>
        <v/>
      </c>
      <c r="H165" s="1" t="str">
        <f t="shared" si="16"/>
        <v>Mani H</v>
      </c>
      <c r="I165" s="1" t="str">
        <f t="shared" si="20"/>
        <v>2013</v>
      </c>
      <c r="J165" s="1" t="str">
        <f t="shared" si="17"/>
        <v>Mani H et al., 2013</v>
      </c>
      <c r="K165" s="1" t="str">
        <f t="shared" si="18"/>
        <v>10.1111/cen.12068</v>
      </c>
      <c r="L165" s="1" t="str">
        <f t="shared" si="19"/>
        <v>23046078</v>
      </c>
    </row>
    <row r="166" spans="1:12" ht="45" hidden="1" x14ac:dyDescent="0.25">
      <c r="A166" s="1">
        <f>INDEX(rq_evidence_review!A:A, MATCH(B166, rq_evidence_review!B:B, 0))</f>
        <v>1</v>
      </c>
      <c r="B166" s="6">
        <v>1.8</v>
      </c>
      <c r="C166" s="1">
        <f t="shared" si="22"/>
        <v>163</v>
      </c>
      <c r="D166" s="1">
        <f>VLOOKUP(B166,rq_evidence_review!$B$1:$L$55,7,FALSE)</f>
        <v>20</v>
      </c>
      <c r="E166" s="8" t="s">
        <v>466</v>
      </c>
      <c r="F166" s="1" t="str">
        <f t="shared" si="15"/>
        <v/>
      </c>
      <c r="H166" s="1" t="str">
        <f t="shared" si="16"/>
        <v>Meun C</v>
      </c>
      <c r="I166" s="1" t="str">
        <f t="shared" si="20"/>
        <v>2018</v>
      </c>
      <c r="J166" s="1" t="str">
        <f t="shared" si="17"/>
        <v>Meun C et al., 2018</v>
      </c>
      <c r="K166" s="1" t="str">
        <f t="shared" si="18"/>
        <v>10.1210/jc.2017-02421</v>
      </c>
      <c r="L166" s="1" t="str">
        <f t="shared" si="19"/>
        <v>29408955</v>
      </c>
    </row>
    <row r="167" spans="1:12" ht="45" hidden="1" x14ac:dyDescent="0.25">
      <c r="A167" s="1">
        <f>INDEX(rq_evidence_review!A:A, MATCH(B167, rq_evidence_review!B:B, 0))</f>
        <v>1</v>
      </c>
      <c r="B167" s="6">
        <v>1.8</v>
      </c>
      <c r="C167" s="1">
        <f t="shared" si="22"/>
        <v>164</v>
      </c>
      <c r="D167" s="1">
        <f>VLOOKUP(B167,rq_evidence_review!$B$1:$L$55,7,FALSE)</f>
        <v>20</v>
      </c>
      <c r="E167" s="8" t="s">
        <v>467</v>
      </c>
      <c r="F167" s="1" t="str">
        <f t="shared" si="15"/>
        <v/>
      </c>
      <c r="H167" s="1" t="str">
        <f t="shared" si="16"/>
        <v>Morgan CL</v>
      </c>
      <c r="I167" s="1" t="str">
        <f t="shared" si="20"/>
        <v>2012</v>
      </c>
      <c r="J167" s="1" t="str">
        <f t="shared" si="17"/>
        <v>Morgan CL et al., 2012</v>
      </c>
      <c r="K167" s="1" t="str">
        <f t="shared" si="18"/>
        <v>10.1210/jc.2012-1690</v>
      </c>
      <c r="L167" s="1" t="str">
        <f t="shared" si="19"/>
        <v>22767635</v>
      </c>
    </row>
    <row r="168" spans="1:12" ht="45" hidden="1" x14ac:dyDescent="0.25">
      <c r="A168" s="1">
        <f>INDEX(rq_evidence_review!A:A, MATCH(B168, rq_evidence_review!B:B, 0))</f>
        <v>1</v>
      </c>
      <c r="B168" s="6">
        <v>1.8</v>
      </c>
      <c r="C168" s="1">
        <f t="shared" si="22"/>
        <v>165</v>
      </c>
      <c r="D168" s="1">
        <f>VLOOKUP(B168,rq_evidence_review!$B$1:$L$55,7,FALSE)</f>
        <v>20</v>
      </c>
      <c r="E168" s="8" t="s">
        <v>468</v>
      </c>
      <c r="F168" s="1" t="str">
        <f t="shared" si="15"/>
        <v/>
      </c>
      <c r="H168" s="1" t="str">
        <f t="shared" si="16"/>
        <v>Ollila ME</v>
      </c>
      <c r="I168" s="1" t="str">
        <f t="shared" si="20"/>
        <v>1966</v>
      </c>
      <c r="J168" s="1" t="str">
        <f t="shared" si="17"/>
        <v>Ollila ME et al., 1966</v>
      </c>
      <c r="K168" s="1" t="str">
        <f t="shared" si="18"/>
        <v>10.1210/jc.2018-00570</v>
      </c>
      <c r="L168" s="1" t="str">
        <f t="shared" si="19"/>
        <v>30445634</v>
      </c>
    </row>
    <row r="169" spans="1:12" ht="30" hidden="1" x14ac:dyDescent="0.25">
      <c r="A169" s="1">
        <f>INDEX(rq_evidence_review!A:A, MATCH(B169, rq_evidence_review!B:B, 0))</f>
        <v>1</v>
      </c>
      <c r="B169" s="6">
        <v>1.8</v>
      </c>
      <c r="C169" s="1">
        <f t="shared" si="22"/>
        <v>166</v>
      </c>
      <c r="D169" s="1">
        <f>VLOOKUP(B169,rq_evidence_review!$B$1:$L$55,7,FALSE)</f>
        <v>20</v>
      </c>
      <c r="E169" s="8" t="s">
        <v>469</v>
      </c>
      <c r="F169" s="1" t="str">
        <f t="shared" si="15"/>
        <v/>
      </c>
      <c r="H169" s="1" t="str">
        <f t="shared" si="16"/>
        <v>Schmidt J</v>
      </c>
      <c r="I169" s="1" t="str">
        <f t="shared" si="20"/>
        <v>2011</v>
      </c>
      <c r="J169" s="1" t="str">
        <f t="shared" si="17"/>
        <v>Schmidt J et al., 2011</v>
      </c>
      <c r="K169" s="1" t="str">
        <f t="shared" si="18"/>
        <v>10.1210/jc.2011-1677</v>
      </c>
      <c r="L169" s="1" t="str">
        <f t="shared" si="19"/>
        <v>21956415</v>
      </c>
    </row>
    <row r="170" spans="1:12" ht="30" hidden="1" x14ac:dyDescent="0.25">
      <c r="A170" s="1">
        <f>INDEX(rq_evidence_review!A:A, MATCH(B170, rq_evidence_review!B:B, 0))</f>
        <v>1</v>
      </c>
      <c r="B170" s="6">
        <v>1.8</v>
      </c>
      <c r="C170" s="1">
        <f t="shared" si="22"/>
        <v>167</v>
      </c>
      <c r="D170" s="1">
        <f>VLOOKUP(B170,rq_evidence_review!$B$1:$L$55,7,FALSE)</f>
        <v>20</v>
      </c>
      <c r="E170" s="8" t="s">
        <v>470</v>
      </c>
      <c r="F170" s="1" t="str">
        <f t="shared" si="15"/>
        <v/>
      </c>
      <c r="H170" s="1" t="str">
        <f t="shared" si="16"/>
        <v>Wild S</v>
      </c>
      <c r="I170" s="1" t="str">
        <f t="shared" si="20"/>
        <v>2000</v>
      </c>
      <c r="J170" s="1" t="str">
        <f t="shared" si="17"/>
        <v>Wild S et al., 2000</v>
      </c>
      <c r="K170" s="1" t="str">
        <f t="shared" si="18"/>
        <v>10.1046/j.1365-2265.2000.01000.x</v>
      </c>
      <c r="L170" s="1" t="str">
        <f t="shared" si="19"/>
        <v>10792339</v>
      </c>
    </row>
    <row r="171" spans="1:12" ht="30" hidden="1" x14ac:dyDescent="0.25">
      <c r="A171" s="1">
        <f>INDEX(rq_evidence_review!A:A, MATCH(B171, rq_evidence_review!B:B, 0))</f>
        <v>1</v>
      </c>
      <c r="B171" s="6">
        <v>1.8</v>
      </c>
      <c r="C171" s="1">
        <f t="shared" si="22"/>
        <v>168</v>
      </c>
      <c r="D171" s="1">
        <f>VLOOKUP(B171,rq_evidence_review!$B$1:$L$55,7,FALSE)</f>
        <v>20</v>
      </c>
      <c r="E171" s="8" t="s">
        <v>471</v>
      </c>
      <c r="F171" s="1" t="str">
        <f t="shared" si="15"/>
        <v/>
      </c>
      <c r="G171" s="1" t="s">
        <v>65</v>
      </c>
      <c r="H171" s="1" t="str">
        <f t="shared" si="16"/>
        <v>Bolijn R</v>
      </c>
      <c r="I171" s="1" t="str">
        <f t="shared" si="20"/>
        <v>2017</v>
      </c>
      <c r="J171" s="1" t="str">
        <f t="shared" si="17"/>
        <v>Bolijn R et al., 2017</v>
      </c>
      <c r="K171" s="1" t="str">
        <f t="shared" si="18"/>
        <v>10.1016/j.maturitas.2017.09.004</v>
      </c>
      <c r="L171" s="1" t="str">
        <f t="shared" si="19"/>
        <v>29150167</v>
      </c>
    </row>
    <row r="172" spans="1:12" ht="30" hidden="1" x14ac:dyDescent="0.25">
      <c r="A172" s="1">
        <f>INDEX(rq_evidence_review!A:A, MATCH(B172, rq_evidence_review!B:B, 0))</f>
        <v>1</v>
      </c>
      <c r="B172" s="6">
        <v>1.8</v>
      </c>
      <c r="C172" s="1">
        <f t="shared" si="22"/>
        <v>169</v>
      </c>
      <c r="D172" s="1">
        <f>VLOOKUP(B172,rq_evidence_review!$B$1:$L$55,7,FALSE)</f>
        <v>20</v>
      </c>
      <c r="E172" s="8" t="s">
        <v>472</v>
      </c>
      <c r="F172" s="1" t="str">
        <f t="shared" si="15"/>
        <v/>
      </c>
      <c r="G172" s="1" t="s">
        <v>65</v>
      </c>
      <c r="H172" s="1" t="str">
        <f t="shared" si="16"/>
        <v>Helvaci N</v>
      </c>
      <c r="I172" s="1" t="str">
        <f t="shared" si="20"/>
        <v>2020</v>
      </c>
      <c r="J172" s="1" t="str">
        <f t="shared" si="17"/>
        <v>Helvaci N et al., 2020</v>
      </c>
      <c r="K172" s="1" t="str">
        <f t="shared" si="18"/>
        <v>10.1080/17446651.2020.1719067</v>
      </c>
      <c r="L172" s="1" t="str">
        <f t="shared" si="19"/>
        <v>31990594</v>
      </c>
    </row>
    <row r="173" spans="1:12" ht="45" hidden="1" x14ac:dyDescent="0.25">
      <c r="A173" s="1">
        <f>INDEX(rq_evidence_review!A:A, MATCH(B173, rq_evidence_review!B:B, 0))</f>
        <v>1</v>
      </c>
      <c r="B173" s="6">
        <v>1.8</v>
      </c>
      <c r="C173" s="1">
        <f t="shared" si="22"/>
        <v>170</v>
      </c>
      <c r="D173" s="1">
        <f>VLOOKUP(B173,rq_evidence_review!$B$1:$L$55,7,FALSE)</f>
        <v>20</v>
      </c>
      <c r="E173" s="8" t="s">
        <v>473</v>
      </c>
      <c r="F173" s="1" t="str">
        <f t="shared" si="15"/>
        <v/>
      </c>
      <c r="G173" s="1" t="s">
        <v>65</v>
      </c>
      <c r="H173" s="1" t="str">
        <f t="shared" si="16"/>
        <v>Ramezani Tehrani F</v>
      </c>
      <c r="I173" s="1" t="str">
        <f t="shared" si="20"/>
        <v>2020</v>
      </c>
      <c r="J173" s="1" t="str">
        <f t="shared" si="17"/>
        <v>Ramezani Tehrani F et al., 2020</v>
      </c>
      <c r="K173" s="1" t="str">
        <f t="shared" si="18"/>
        <v>10.1080/09513590.2019.1650337</v>
      </c>
      <c r="L173" s="1" t="str">
        <f t="shared" si="19"/>
        <v>31385729</v>
      </c>
    </row>
    <row r="174" spans="1:12" ht="45" hidden="1" x14ac:dyDescent="0.25">
      <c r="A174" s="1">
        <f>INDEX(rq_evidence_review!A:A, MATCH(B174, rq_evidence_review!B:B, 0))</f>
        <v>1</v>
      </c>
      <c r="B174" s="6">
        <v>1.8</v>
      </c>
      <c r="C174" s="1">
        <f t="shared" si="22"/>
        <v>171</v>
      </c>
      <c r="D174" s="1">
        <f>VLOOKUP(B174,rq_evidence_review!$B$1:$L$55,7,FALSE)</f>
        <v>20</v>
      </c>
      <c r="E174" s="8" t="s">
        <v>474</v>
      </c>
      <c r="F174" s="1" t="str">
        <f t="shared" si="15"/>
        <v/>
      </c>
      <c r="G174" s="1" t="s">
        <v>65</v>
      </c>
      <c r="H174" s="1" t="str">
        <f t="shared" si="16"/>
        <v>Wekker V</v>
      </c>
      <c r="I174" s="1" t="str">
        <f t="shared" si="20"/>
        <v>2020</v>
      </c>
      <c r="J174" s="1" t="str">
        <f t="shared" si="17"/>
        <v>Wekker V et al., 2020</v>
      </c>
      <c r="K174" s="1" t="str">
        <f t="shared" si="18"/>
        <v>10.1093/humupd/dmaa029</v>
      </c>
      <c r="L174" s="1" t="str">
        <f t="shared" si="19"/>
        <v>32995872</v>
      </c>
    </row>
    <row r="175" spans="1:12" ht="30" hidden="1" x14ac:dyDescent="0.25">
      <c r="A175" s="1">
        <f>INDEX(rq_evidence_review!A:A, MATCH(B175, rq_evidence_review!B:B, 0))</f>
        <v>1</v>
      </c>
      <c r="B175" s="6">
        <v>1.8</v>
      </c>
      <c r="C175" s="1">
        <f t="shared" si="22"/>
        <v>172</v>
      </c>
      <c r="D175" s="1">
        <f>VLOOKUP(B175,rq_evidence_review!$B$1:$L$55,7,FALSE)</f>
        <v>20</v>
      </c>
      <c r="E175" s="8" t="s">
        <v>475</v>
      </c>
      <c r="F175" s="1" t="str">
        <f t="shared" si="15"/>
        <v/>
      </c>
      <c r="G175" s="1" t="s">
        <v>945</v>
      </c>
      <c r="H175" s="1" t="str">
        <f t="shared" si="16"/>
        <v>Glintborg D</v>
      </c>
      <c r="I175" s="1" t="str">
        <f t="shared" si="20"/>
        <v>2015</v>
      </c>
      <c r="J175" s="1" t="str">
        <f t="shared" si="17"/>
        <v>Glintborg D et al., 2015</v>
      </c>
      <c r="K175" s="1" t="str">
        <f t="shared" si="18"/>
        <v>10.1530/EJE-14-1108</v>
      </c>
      <c r="L175" s="1" t="str">
        <f t="shared" si="19"/>
        <v>25656495</v>
      </c>
    </row>
    <row r="176" spans="1:12" ht="30" hidden="1" x14ac:dyDescent="0.25">
      <c r="A176" s="1">
        <f>INDEX(rq_evidence_review!A:A, MATCH(B176, rq_evidence_review!B:B, 0))</f>
        <v>1</v>
      </c>
      <c r="B176" s="6">
        <v>1.8</v>
      </c>
      <c r="C176" s="1">
        <f t="shared" si="22"/>
        <v>173</v>
      </c>
      <c r="D176" s="1">
        <f>VLOOKUP(B176,rq_evidence_review!$B$1:$L$55,7,FALSE)</f>
        <v>20</v>
      </c>
      <c r="E176" s="8" t="s">
        <v>476</v>
      </c>
      <c r="F176" s="1" t="str">
        <f t="shared" si="15"/>
        <v/>
      </c>
      <c r="G176" s="1" t="s">
        <v>945</v>
      </c>
      <c r="H176" s="1" t="str">
        <f t="shared" si="16"/>
        <v>Haakova L</v>
      </c>
      <c r="I176" s="1" t="str">
        <f t="shared" si="20"/>
        <v>2003</v>
      </c>
      <c r="J176" s="1" t="str">
        <f t="shared" si="17"/>
        <v>Haakova L et al., 2003</v>
      </c>
      <c r="K176" s="1" t="str">
        <f t="shared" si="18"/>
        <v>10.1093/humrep/deg289</v>
      </c>
      <c r="L176" s="1" t="str">
        <f t="shared" si="19"/>
        <v>12832369</v>
      </c>
    </row>
    <row r="177" spans="1:12" ht="30" hidden="1" x14ac:dyDescent="0.25">
      <c r="A177" s="1">
        <f>INDEX(rq_evidence_review!A:A, MATCH(B177, rq_evidence_review!B:B, 0))</f>
        <v>1</v>
      </c>
      <c r="B177" s="6">
        <v>1.8</v>
      </c>
      <c r="C177" s="1">
        <f t="shared" si="22"/>
        <v>174</v>
      </c>
      <c r="D177" s="1">
        <f>VLOOKUP(B177,rq_evidence_review!$B$1:$L$55,7,FALSE)</f>
        <v>20</v>
      </c>
      <c r="E177" s="8" t="s">
        <v>477</v>
      </c>
      <c r="F177" s="1" t="str">
        <f t="shared" si="15"/>
        <v/>
      </c>
      <c r="G177" s="1" t="s">
        <v>945</v>
      </c>
      <c r="H177" s="1" t="str">
        <f t="shared" si="16"/>
        <v>Hart R</v>
      </c>
      <c r="I177" s="1" t="str">
        <f t="shared" si="20"/>
        <v>2015</v>
      </c>
      <c r="J177" s="1" t="str">
        <f t="shared" si="17"/>
        <v>Hart R et al., 2015</v>
      </c>
      <c r="K177" s="1" t="str">
        <f t="shared" si="18"/>
        <v>10.1210/jc.2014-3886</v>
      </c>
      <c r="L177" s="1" t="str">
        <f t="shared" si="19"/>
        <v>25532045</v>
      </c>
    </row>
    <row r="178" spans="1:12" ht="30" hidden="1" x14ac:dyDescent="0.25">
      <c r="A178" s="1">
        <f>INDEX(rq_evidence_review!A:A, MATCH(B178, rq_evidence_review!B:B, 0))</f>
        <v>1</v>
      </c>
      <c r="B178" s="6">
        <v>1.8</v>
      </c>
      <c r="C178" s="1">
        <f t="shared" si="22"/>
        <v>175</v>
      </c>
      <c r="D178" s="1">
        <f>VLOOKUP(B178,rq_evidence_review!$B$1:$L$55,7,FALSE)</f>
        <v>20</v>
      </c>
      <c r="E178" s="8" t="s">
        <v>478</v>
      </c>
      <c r="F178" s="1" t="str">
        <f t="shared" si="15"/>
        <v/>
      </c>
      <c r="G178" s="1" t="s">
        <v>945</v>
      </c>
      <c r="H178" s="1" t="str">
        <f t="shared" si="16"/>
        <v>Lo JC</v>
      </c>
      <c r="I178" s="1" t="str">
        <f t="shared" si="20"/>
        <v>2006</v>
      </c>
      <c r="J178" s="1" t="str">
        <f t="shared" si="17"/>
        <v>Lo JC et al., 2006</v>
      </c>
      <c r="K178" s="1" t="str">
        <f t="shared" si="18"/>
        <v>10.1210/jc.2005-2430</v>
      </c>
      <c r="L178" s="1" t="str">
        <f t="shared" si="19"/>
        <v>16434451</v>
      </c>
    </row>
    <row r="179" spans="1:12" ht="45" hidden="1" x14ac:dyDescent="0.25">
      <c r="A179" s="1">
        <f>INDEX(rq_evidence_review!A:A, MATCH(B179, rq_evidence_review!B:B, 0))</f>
        <v>1</v>
      </c>
      <c r="B179" s="6">
        <v>1.8</v>
      </c>
      <c r="C179" s="1">
        <f t="shared" si="22"/>
        <v>176</v>
      </c>
      <c r="D179" s="1">
        <f>VLOOKUP(B179,rq_evidence_review!$B$1:$L$55,7,FALSE)</f>
        <v>20</v>
      </c>
      <c r="E179" s="8" t="s">
        <v>479</v>
      </c>
      <c r="F179" s="1" t="str">
        <f t="shared" si="15"/>
        <v/>
      </c>
      <c r="G179" s="1" t="s">
        <v>945</v>
      </c>
      <c r="H179" s="1" t="str">
        <f t="shared" si="16"/>
        <v>Merz CN</v>
      </c>
      <c r="I179" s="1" t="str">
        <f t="shared" si="20"/>
        <v>2016</v>
      </c>
      <c r="J179" s="1" t="str">
        <f t="shared" si="17"/>
        <v>Merz CN et al., 2016</v>
      </c>
      <c r="K179" s="1" t="str">
        <f t="shared" si="18"/>
        <v>10.1089/jwh.2015.5441</v>
      </c>
      <c r="L179" s="1" t="str">
        <f t="shared" si="19"/>
        <v>27267867</v>
      </c>
    </row>
    <row r="180" spans="1:12" ht="30" hidden="1" x14ac:dyDescent="0.25">
      <c r="A180" s="1">
        <f>INDEX(rq_evidence_review!A:A, MATCH(B180, rq_evidence_review!B:B, 0))</f>
        <v>1</v>
      </c>
      <c r="B180" s="6">
        <v>1.8</v>
      </c>
      <c r="C180" s="1">
        <f t="shared" si="22"/>
        <v>177</v>
      </c>
      <c r="D180" s="1">
        <f>VLOOKUP(B180,rq_evidence_review!$B$1:$L$55,7,FALSE)</f>
        <v>20</v>
      </c>
      <c r="E180" s="8" t="s">
        <v>480</v>
      </c>
      <c r="F180" s="1" t="str">
        <f t="shared" si="15"/>
        <v/>
      </c>
      <c r="G180" s="1" t="s">
        <v>945</v>
      </c>
      <c r="H180" s="1" t="str">
        <f t="shared" si="16"/>
        <v>Okoroh EM</v>
      </c>
      <c r="I180" s="1" t="str">
        <f t="shared" si="20"/>
        <v>2015</v>
      </c>
      <c r="J180" s="1" t="str">
        <f t="shared" si="17"/>
        <v>Okoroh EM et al., 2015</v>
      </c>
      <c r="K180" s="1" t="str">
        <f t="shared" si="18"/>
        <v>10.1016/j.thromres.2015.10.022</v>
      </c>
      <c r="L180" s="1" t="str">
        <f t="shared" si="19"/>
        <v>26489726</v>
      </c>
    </row>
    <row r="181" spans="1:12" ht="30" hidden="1" x14ac:dyDescent="0.25">
      <c r="A181" s="1">
        <f>INDEX(rq_evidence_review!A:A, MATCH(B181, rq_evidence_review!B:B, 0))</f>
        <v>1</v>
      </c>
      <c r="B181" s="6">
        <v>1.8</v>
      </c>
      <c r="C181" s="1">
        <f t="shared" si="22"/>
        <v>178</v>
      </c>
      <c r="D181" s="1">
        <f>VLOOKUP(B181,rq_evidence_review!$B$1:$L$55,7,FALSE)</f>
        <v>20</v>
      </c>
      <c r="E181" s="8" t="s">
        <v>481</v>
      </c>
      <c r="F181" s="1" t="str">
        <f t="shared" si="15"/>
        <v/>
      </c>
      <c r="G181" s="1" t="s">
        <v>945</v>
      </c>
      <c r="H181" s="1" t="str">
        <f t="shared" si="16"/>
        <v>Pierpoint T</v>
      </c>
      <c r="I181" s="1" t="str">
        <f t="shared" si="20"/>
        <v>1998</v>
      </c>
      <c r="J181" s="1" t="str">
        <f t="shared" si="17"/>
        <v>Pierpoint T et al., 1998</v>
      </c>
      <c r="K181" s="1" t="str">
        <f t="shared" si="18"/>
        <v>10.1016/s0895-4356(98)00035-3</v>
      </c>
      <c r="L181" s="1" t="str">
        <f t="shared" si="19"/>
        <v>9674665</v>
      </c>
    </row>
    <row r="182" spans="1:12" ht="30" hidden="1" x14ac:dyDescent="0.25">
      <c r="A182" s="1">
        <f>INDEX(rq_evidence_review!A:A, MATCH(B182, rq_evidence_review!B:B, 0))</f>
        <v>1</v>
      </c>
      <c r="B182" s="6">
        <v>1.8</v>
      </c>
      <c r="C182" s="1">
        <f t="shared" si="22"/>
        <v>179</v>
      </c>
      <c r="D182" s="1">
        <f>VLOOKUP(B182,rq_evidence_review!$B$1:$L$55,7,FALSE)</f>
        <v>20</v>
      </c>
      <c r="E182" s="8" t="s">
        <v>482</v>
      </c>
      <c r="F182" s="1" t="str">
        <f t="shared" si="15"/>
        <v/>
      </c>
      <c r="G182" s="1" t="s">
        <v>945</v>
      </c>
      <c r="H182" s="1" t="str">
        <f t="shared" si="16"/>
        <v>Polotsky AJ</v>
      </c>
      <c r="I182" s="1" t="str">
        <f t="shared" si="20"/>
        <v>2014</v>
      </c>
      <c r="J182" s="1" t="str">
        <f t="shared" si="17"/>
        <v>Polotsky AJ et al., 2014</v>
      </c>
      <c r="K182" s="11" t="s">
        <v>1925</v>
      </c>
      <c r="L182" s="1" t="str">
        <f t="shared" si="19"/>
        <v/>
      </c>
    </row>
    <row r="183" spans="1:12" ht="30" hidden="1" x14ac:dyDescent="0.25">
      <c r="A183" s="1">
        <f>INDEX(rq_evidence_review!A:A, MATCH(B183, rq_evidence_review!B:B, 0))</f>
        <v>1</v>
      </c>
      <c r="B183" s="6">
        <v>1.8</v>
      </c>
      <c r="C183" s="1">
        <f t="shared" si="22"/>
        <v>180</v>
      </c>
      <c r="D183" s="1">
        <f>VLOOKUP(B183,rq_evidence_review!$B$1:$L$55,7,FALSE)</f>
        <v>20</v>
      </c>
      <c r="E183" s="8" t="s">
        <v>483</v>
      </c>
      <c r="F183" s="1" t="str">
        <f t="shared" si="15"/>
        <v/>
      </c>
      <c r="G183" s="1" t="s">
        <v>945</v>
      </c>
      <c r="H183" s="1" t="str">
        <f t="shared" si="16"/>
        <v>Sirmans SM</v>
      </c>
      <c r="I183" s="1" t="str">
        <f t="shared" si="20"/>
        <v>2014</v>
      </c>
      <c r="J183" s="1" t="str">
        <f t="shared" si="17"/>
        <v>Sirmans SM et al., 2014</v>
      </c>
      <c r="K183" s="1" t="str">
        <f t="shared" si="18"/>
        <v>10.1097/01.JIM.0000446834.90599.5d</v>
      </c>
      <c r="L183" s="1" t="str">
        <f t="shared" si="19"/>
        <v>24844662</v>
      </c>
    </row>
    <row r="184" spans="1:12" ht="30" hidden="1" x14ac:dyDescent="0.25">
      <c r="A184" s="1">
        <f>INDEX(rq_evidence_review!A:A, MATCH(B184, rq_evidence_review!B:B, 0))</f>
        <v>1</v>
      </c>
      <c r="B184" s="6" t="str">
        <f>rq_evidence_review!B10</f>
        <v>1.9.1</v>
      </c>
      <c r="C184" s="1">
        <f t="shared" si="22"/>
        <v>181</v>
      </c>
      <c r="D184" s="1">
        <f>VLOOKUP(B184,rq_evidence_review!$B$1:$L$55,7,FALSE)</f>
        <v>18</v>
      </c>
      <c r="E184" s="8" t="s">
        <v>484</v>
      </c>
      <c r="F184" s="1" t="str">
        <f t="shared" si="15"/>
        <v/>
      </c>
      <c r="H184" s="1" t="str">
        <f t="shared" si="16"/>
        <v>Anagnostis</v>
      </c>
      <c r="I184" s="1" t="str">
        <f t="shared" si="20"/>
        <v>2021</v>
      </c>
      <c r="J184" s="1" t="str">
        <f t="shared" si="17"/>
        <v>Anagnostis et al., 2021</v>
      </c>
      <c r="K184" s="1" t="str">
        <f t="shared" si="18"/>
        <v>10.1007/s12020-021-02801-2</v>
      </c>
      <c r="L184" s="1" t="str">
        <f t="shared" si="19"/>
        <v/>
      </c>
    </row>
    <row r="185" spans="1:12" ht="45" hidden="1" x14ac:dyDescent="0.25">
      <c r="A185" s="1">
        <f>INDEX(rq_evidence_review!A:A, MATCH(B185, rq_evidence_review!B:B, 0))</f>
        <v>1</v>
      </c>
      <c r="B185" s="6" t="s">
        <v>16</v>
      </c>
      <c r="C185" s="1">
        <f t="shared" si="22"/>
        <v>182</v>
      </c>
      <c r="D185" s="1">
        <f>VLOOKUP(B185,rq_evidence_review!$B$1:$L$55,7,FALSE)</f>
        <v>18</v>
      </c>
      <c r="E185" s="8" t="s">
        <v>485</v>
      </c>
      <c r="F185" s="1" t="str">
        <f t="shared" si="15"/>
        <v/>
      </c>
      <c r="H185" s="1" t="str">
        <f t="shared" si="16"/>
        <v>Begum</v>
      </c>
      <c r="I185" s="1" t="str">
        <f t="shared" si="20"/>
        <v>2019</v>
      </c>
      <c r="J185" s="1" t="str">
        <f t="shared" si="17"/>
        <v>Begum et al., 2019</v>
      </c>
      <c r="K185" s="1" t="str">
        <f t="shared" si="18"/>
        <v>10.3329/BJOG.V34I2.58273</v>
      </c>
      <c r="L185" s="1" t="str">
        <f t="shared" si="19"/>
        <v/>
      </c>
    </row>
    <row r="186" spans="1:12" ht="30" hidden="1" x14ac:dyDescent="0.25">
      <c r="A186" s="1">
        <f>INDEX(rq_evidence_review!A:A, MATCH(B186, rq_evidence_review!B:B, 0))</f>
        <v>1</v>
      </c>
      <c r="B186" s="6" t="s">
        <v>16</v>
      </c>
      <c r="C186" s="1">
        <f t="shared" si="22"/>
        <v>183</v>
      </c>
      <c r="D186" s="1">
        <f>VLOOKUP(B186,rq_evidence_review!$B$1:$L$55,7,FALSE)</f>
        <v>18</v>
      </c>
      <c r="E186" s="8" t="s">
        <v>486</v>
      </c>
      <c r="F186" s="1" t="str">
        <f t="shared" si="15"/>
        <v/>
      </c>
      <c r="H186" s="1" t="str">
        <f t="shared" si="16"/>
        <v>Carmina</v>
      </c>
      <c r="I186" s="1" t="str">
        <f t="shared" si="20"/>
        <v>2019</v>
      </c>
      <c r="J186" s="1" t="str">
        <f t="shared" si="17"/>
        <v>Carmina et al., 2019</v>
      </c>
      <c r="K186" s="1" t="str">
        <f t="shared" si="18"/>
        <v>10.1111/cen.14063</v>
      </c>
      <c r="L186" s="1" t="str">
        <f t="shared" si="19"/>
        <v/>
      </c>
    </row>
    <row r="187" spans="1:12" ht="30" hidden="1" x14ac:dyDescent="0.25">
      <c r="A187" s="1">
        <f>INDEX(rq_evidence_review!A:A, MATCH(B187, rq_evidence_review!B:B, 0))</f>
        <v>1</v>
      </c>
      <c r="B187" s="6" t="s">
        <v>16</v>
      </c>
      <c r="C187" s="1">
        <f t="shared" si="22"/>
        <v>184</v>
      </c>
      <c r="D187" s="1">
        <f>VLOOKUP(B187,rq_evidence_review!$B$1:$L$55,7,FALSE)</f>
        <v>18</v>
      </c>
      <c r="E187" s="8" t="s">
        <v>487</v>
      </c>
      <c r="F187" s="1" t="str">
        <f t="shared" si="15"/>
        <v/>
      </c>
      <c r="H187" s="1" t="str">
        <f t="shared" si="16"/>
        <v>Dargham</v>
      </c>
      <c r="I187" s="1" t="str">
        <f t="shared" si="20"/>
        <v>2018</v>
      </c>
      <c r="J187" s="1" t="str">
        <f t="shared" si="17"/>
        <v>Dargham et al., 2018</v>
      </c>
      <c r="K187" s="1" t="str">
        <f t="shared" si="18"/>
        <v>10.1038/s41598-018-21987-6</v>
      </c>
      <c r="L187" s="1" t="str">
        <f t="shared" si="19"/>
        <v/>
      </c>
    </row>
    <row r="188" spans="1:12" ht="30" hidden="1" x14ac:dyDescent="0.25">
      <c r="A188" s="1">
        <f>INDEX(rq_evidence_review!A:A, MATCH(B188, rq_evidence_review!B:B, 0))</f>
        <v>1</v>
      </c>
      <c r="B188" s="6" t="s">
        <v>16</v>
      </c>
      <c r="C188" s="1">
        <f t="shared" si="22"/>
        <v>185</v>
      </c>
      <c r="D188" s="1">
        <f>VLOOKUP(B188,rq_evidence_review!$B$1:$L$55,7,FALSE)</f>
        <v>18</v>
      </c>
      <c r="E188" s="8" t="s">
        <v>488</v>
      </c>
      <c r="F188" s="1" t="str">
        <f t="shared" si="15"/>
        <v/>
      </c>
      <c r="H188" s="1" t="str">
        <f t="shared" si="16"/>
        <v>Forslund</v>
      </c>
      <c r="I188" s="1" t="str">
        <f t="shared" si="20"/>
        <v>2020</v>
      </c>
      <c r="J188" s="1" t="str">
        <f t="shared" si="17"/>
        <v>Forslund et al., 2020</v>
      </c>
      <c r="K188" s="1" t="str">
        <f t="shared" si="18"/>
        <v>10.1093/hropen/hoz042</v>
      </c>
      <c r="L188" s="1" t="str">
        <f t="shared" si="19"/>
        <v/>
      </c>
    </row>
    <row r="189" spans="1:12" ht="30" hidden="1" x14ac:dyDescent="0.25">
      <c r="A189" s="1">
        <f>INDEX(rq_evidence_review!A:A, MATCH(B189, rq_evidence_review!B:B, 0))</f>
        <v>1</v>
      </c>
      <c r="B189" s="6" t="s">
        <v>16</v>
      </c>
      <c r="C189" s="1">
        <f t="shared" si="22"/>
        <v>186</v>
      </c>
      <c r="D189" s="1">
        <f>VLOOKUP(B189,rq_evidence_review!$B$1:$L$55,7,FALSE)</f>
        <v>18</v>
      </c>
      <c r="E189" s="8" t="s">
        <v>489</v>
      </c>
      <c r="F189" s="1" t="str">
        <f t="shared" si="15"/>
        <v/>
      </c>
      <c r="H189" s="1" t="str">
        <f t="shared" si="16"/>
        <v>Fuad</v>
      </c>
      <c r="I189" s="1" t="str">
        <f t="shared" si="20"/>
        <v>2018</v>
      </c>
      <c r="J189" s="1" t="str">
        <f t="shared" si="17"/>
        <v>Fuad et al., 2018</v>
      </c>
      <c r="K189" s="1" t="str">
        <f t="shared" si="18"/>
        <v>10.5958/0976-5506.2018.00659.9</v>
      </c>
      <c r="L189" s="1" t="str">
        <f t="shared" si="19"/>
        <v/>
      </c>
    </row>
    <row r="190" spans="1:12" ht="30" hidden="1" x14ac:dyDescent="0.25">
      <c r="A190" s="1">
        <f>INDEX(rq_evidence_review!A:A, MATCH(B190, rq_evidence_review!B:B, 0))</f>
        <v>1</v>
      </c>
      <c r="B190" s="6" t="s">
        <v>16</v>
      </c>
      <c r="C190" s="1">
        <f t="shared" si="22"/>
        <v>187</v>
      </c>
      <c r="D190" s="1">
        <f>VLOOKUP(B190,rq_evidence_review!$B$1:$L$55,7,FALSE)</f>
        <v>18</v>
      </c>
      <c r="E190" s="8" t="s">
        <v>490</v>
      </c>
      <c r="F190" s="1" t="str">
        <f t="shared" si="15"/>
        <v/>
      </c>
      <c r="H190" s="1" t="str">
        <f t="shared" si="16"/>
        <v>Kakoly</v>
      </c>
      <c r="I190" s="1" t="str">
        <f t="shared" si="20"/>
        <v>2018</v>
      </c>
      <c r="J190" s="1" t="str">
        <f t="shared" si="17"/>
        <v>Kakoly et al., 2018</v>
      </c>
      <c r="K190" s="1" t="str">
        <f t="shared" si="18"/>
        <v>10.1093/humupd/dmy007</v>
      </c>
      <c r="L190" s="1" t="str">
        <f t="shared" si="19"/>
        <v/>
      </c>
    </row>
    <row r="191" spans="1:12" ht="30" hidden="1" x14ac:dyDescent="0.25">
      <c r="A191" s="1">
        <f>INDEX(rq_evidence_review!A:A, MATCH(B191, rq_evidence_review!B:B, 0))</f>
        <v>1</v>
      </c>
      <c r="B191" s="6" t="s">
        <v>16</v>
      </c>
      <c r="C191" s="1">
        <f t="shared" si="22"/>
        <v>188</v>
      </c>
      <c r="D191" s="1">
        <f>VLOOKUP(B191,rq_evidence_review!$B$1:$L$55,7,FALSE)</f>
        <v>18</v>
      </c>
      <c r="E191" s="8" t="s">
        <v>491</v>
      </c>
      <c r="F191" s="1" t="str">
        <f t="shared" si="15"/>
        <v/>
      </c>
      <c r="H191" s="1" t="str">
        <f t="shared" si="16"/>
        <v>Kazemi Jaliseh</v>
      </c>
      <c r="I191" s="1" t="str">
        <f t="shared" si="20"/>
        <v>2017</v>
      </c>
      <c r="J191" s="1" t="str">
        <f t="shared" si="17"/>
        <v>Kazemi Jaliseh et al., 2017</v>
      </c>
      <c r="K191" s="1" t="str">
        <f t="shared" si="18"/>
        <v>10.1016/j.fertnstert.2017.09.004</v>
      </c>
      <c r="L191" s="1" t="str">
        <f t="shared" si="19"/>
        <v/>
      </c>
    </row>
    <row r="192" spans="1:12" ht="30" hidden="1" x14ac:dyDescent="0.25">
      <c r="A192" s="1">
        <f>INDEX(rq_evidence_review!A:A, MATCH(B192, rq_evidence_review!B:B, 0))</f>
        <v>1</v>
      </c>
      <c r="B192" s="6" t="s">
        <v>16</v>
      </c>
      <c r="C192" s="1">
        <f t="shared" si="22"/>
        <v>189</v>
      </c>
      <c r="D192" s="1">
        <f>VLOOKUP(B192,rq_evidence_review!$B$1:$L$55,7,FALSE)</f>
        <v>18</v>
      </c>
      <c r="E192" s="8" t="s">
        <v>492</v>
      </c>
      <c r="F192" s="1" t="str">
        <f t="shared" si="15"/>
        <v/>
      </c>
      <c r="H192" s="1" t="str">
        <f t="shared" si="16"/>
        <v>Kazemi</v>
      </c>
      <c r="I192" s="1" t="str">
        <f t="shared" si="20"/>
        <v>2018</v>
      </c>
      <c r="J192" s="1" t="str">
        <f t="shared" si="17"/>
        <v>Kazemi et al., 2018</v>
      </c>
      <c r="K192" s="1" t="str">
        <f t="shared" si="18"/>
        <v>10.1016/j.jogc.2018.11.026</v>
      </c>
      <c r="L192" s="1" t="str">
        <f t="shared" si="19"/>
        <v/>
      </c>
    </row>
    <row r="193" spans="1:12" ht="30" hidden="1" x14ac:dyDescent="0.25">
      <c r="A193" s="1">
        <f>INDEX(rq_evidence_review!A:A, MATCH(B193, rq_evidence_review!B:B, 0))</f>
        <v>1</v>
      </c>
      <c r="B193" s="6" t="s">
        <v>16</v>
      </c>
      <c r="C193" s="1">
        <f t="shared" si="22"/>
        <v>190</v>
      </c>
      <c r="D193" s="1">
        <f>VLOOKUP(B193,rq_evidence_review!$B$1:$L$55,7,FALSE)</f>
        <v>18</v>
      </c>
      <c r="E193" s="8" t="s">
        <v>493</v>
      </c>
      <c r="F193" s="1" t="str">
        <f t="shared" si="15"/>
        <v/>
      </c>
      <c r="H193" s="1" t="str">
        <f t="shared" si="16"/>
        <v>Kiconco</v>
      </c>
      <c r="I193" s="1" t="str">
        <f t="shared" si="20"/>
        <v>2022</v>
      </c>
      <c r="J193" s="1" t="str">
        <f t="shared" si="17"/>
        <v>Kiconco et al., 2022</v>
      </c>
      <c r="K193" s="1" t="str">
        <f t="shared" si="18"/>
        <v>10.1111/cen.14647</v>
      </c>
      <c r="L193" s="1" t="str">
        <f t="shared" si="19"/>
        <v/>
      </c>
    </row>
    <row r="194" spans="1:12" ht="30" hidden="1" x14ac:dyDescent="0.25">
      <c r="A194" s="1">
        <f>INDEX(rq_evidence_review!A:A, MATCH(B194, rq_evidence_review!B:B, 0))</f>
        <v>1</v>
      </c>
      <c r="B194" s="6" t="s">
        <v>16</v>
      </c>
      <c r="C194" s="1">
        <f t="shared" si="22"/>
        <v>191</v>
      </c>
      <c r="D194" s="1">
        <f>VLOOKUP(B194,rq_evidence_review!$B$1:$L$55,7,FALSE)</f>
        <v>18</v>
      </c>
      <c r="E194" s="8" t="s">
        <v>494</v>
      </c>
      <c r="F194" s="1" t="str">
        <f t="shared" si="15"/>
        <v/>
      </c>
      <c r="H194" s="1" t="str">
        <f t="shared" si="16"/>
        <v>Liao</v>
      </c>
      <c r="I194" s="1" t="str">
        <f t="shared" si="20"/>
        <v>2022</v>
      </c>
      <c r="J194" s="1" t="str">
        <f t="shared" si="17"/>
        <v>Liao et al., 2022</v>
      </c>
      <c r="K194" s="1" t="str">
        <f t="shared" si="18"/>
        <v>10.4239/wjd.v13.i3.240</v>
      </c>
      <c r="L194" s="1" t="str">
        <f t="shared" si="19"/>
        <v/>
      </c>
    </row>
    <row r="195" spans="1:12" ht="30" hidden="1" x14ac:dyDescent="0.25">
      <c r="A195" s="1">
        <f>INDEX(rq_evidence_review!A:A, MATCH(B195, rq_evidence_review!B:B, 0))</f>
        <v>1</v>
      </c>
      <c r="B195" s="6" t="s">
        <v>16</v>
      </c>
      <c r="C195" s="1">
        <f t="shared" si="22"/>
        <v>192</v>
      </c>
      <c r="D195" s="1">
        <f>VLOOKUP(B195,rq_evidence_review!$B$1:$L$55,7,FALSE)</f>
        <v>18</v>
      </c>
      <c r="E195" s="8" t="s">
        <v>495</v>
      </c>
      <c r="F195" s="1" t="str">
        <f t="shared" ref="F195:F258" si="23">IF(ISNUMBER(SEARCH("primary citation", E195)), "primary_citation", "")</f>
        <v/>
      </c>
      <c r="H195" s="1" t="str">
        <f t="shared" ref="H195:H258" si="24">LEFT(E195, FIND(",", E195) - 1)</f>
        <v>Meun</v>
      </c>
      <c r="I195" s="1" t="str">
        <f t="shared" si="20"/>
        <v>2020</v>
      </c>
      <c r="J195" s="1" t="str">
        <f t="shared" ref="J195:J258" si="25">H195 &amp; " et al., " &amp; I195</f>
        <v>Meun et al., 2020</v>
      </c>
      <c r="K195" s="1" t="str">
        <f t="shared" ref="K195:K201" si="26">ExtractDOI(E195)</f>
        <v>10.1111/cen.14117</v>
      </c>
      <c r="L195" s="1" t="str">
        <f t="shared" ref="L195:L258" si="27">ExtractPMID(E195)</f>
        <v/>
      </c>
    </row>
    <row r="196" spans="1:12" ht="30" hidden="1" x14ac:dyDescent="0.25">
      <c r="A196" s="1">
        <f>INDEX(rq_evidence_review!A:A, MATCH(B196, rq_evidence_review!B:B, 0))</f>
        <v>1</v>
      </c>
      <c r="B196" s="6" t="s">
        <v>16</v>
      </c>
      <c r="C196" s="1">
        <f t="shared" si="22"/>
        <v>193</v>
      </c>
      <c r="D196" s="1">
        <f>VLOOKUP(B196,rq_evidence_review!$B$1:$L$55,7,FALSE)</f>
        <v>18</v>
      </c>
      <c r="E196" s="8" t="s">
        <v>496</v>
      </c>
      <c r="F196" s="1" t="str">
        <f t="shared" si="23"/>
        <v/>
      </c>
      <c r="H196" s="1" t="str">
        <f t="shared" si="24"/>
        <v>Ng</v>
      </c>
      <c r="I196" s="1" t="str">
        <f t="shared" ref="I196:I259" si="28">ExtractYear(E196)</f>
        <v>2019</v>
      </c>
      <c r="J196" s="1" t="str">
        <f t="shared" si="25"/>
        <v>Ng et al., 2019</v>
      </c>
      <c r="K196" s="1" t="str">
        <f t="shared" si="26"/>
        <v>10.1371/journal.pmed.1002953</v>
      </c>
      <c r="L196" s="1" t="str">
        <f t="shared" si="27"/>
        <v/>
      </c>
    </row>
    <row r="197" spans="1:12" ht="30" hidden="1" x14ac:dyDescent="0.25">
      <c r="A197" s="1">
        <f>INDEX(rq_evidence_review!A:A, MATCH(B197, rq_evidence_review!B:B, 0))</f>
        <v>1</v>
      </c>
      <c r="B197" s="6" t="s">
        <v>16</v>
      </c>
      <c r="C197" s="1">
        <f t="shared" si="22"/>
        <v>194</v>
      </c>
      <c r="D197" s="1">
        <f>VLOOKUP(B197,rq_evidence_review!$B$1:$L$55,7,FALSE)</f>
        <v>18</v>
      </c>
      <c r="E197" s="8" t="s">
        <v>497</v>
      </c>
      <c r="F197" s="1" t="str">
        <f t="shared" si="23"/>
        <v/>
      </c>
      <c r="H197" s="1" t="str">
        <f t="shared" si="24"/>
        <v>Rubin</v>
      </c>
      <c r="I197" s="1" t="str">
        <f t="shared" si="28"/>
        <v>2017</v>
      </c>
      <c r="J197" s="1" t="str">
        <f t="shared" si="25"/>
        <v>Rubin et al., 2017</v>
      </c>
      <c r="K197" s="1" t="str">
        <f t="shared" si="26"/>
        <v>10.1210/jc.2017-01354</v>
      </c>
      <c r="L197" s="1" t="str">
        <f t="shared" si="27"/>
        <v/>
      </c>
    </row>
    <row r="198" spans="1:12" ht="30" hidden="1" x14ac:dyDescent="0.25">
      <c r="A198" s="1">
        <f>INDEX(rq_evidence_review!A:A, MATCH(B198, rq_evidence_review!B:B, 0))</f>
        <v>1</v>
      </c>
      <c r="B198" s="6" t="s">
        <v>16</v>
      </c>
      <c r="C198" s="1">
        <f t="shared" si="22"/>
        <v>195</v>
      </c>
      <c r="D198" s="1">
        <f>VLOOKUP(B198,rq_evidence_review!$B$1:$L$55,7,FALSE)</f>
        <v>18</v>
      </c>
      <c r="E198" s="8" t="s">
        <v>498</v>
      </c>
      <c r="F198" s="1" t="str">
        <f t="shared" si="23"/>
        <v/>
      </c>
      <c r="H198" s="1" t="str">
        <f t="shared" si="24"/>
        <v>Ryu</v>
      </c>
      <c r="I198" s="1" t="str">
        <f t="shared" si="28"/>
        <v>2020</v>
      </c>
      <c r="J198" s="1" t="str">
        <f t="shared" si="25"/>
        <v>Ryu et al., 2020</v>
      </c>
      <c r="K198" s="1" t="str">
        <f t="shared" si="26"/>
        <v>10.1016/j.fertnstert.2020.12.018</v>
      </c>
      <c r="L198" s="1" t="str">
        <f t="shared" si="27"/>
        <v/>
      </c>
    </row>
    <row r="199" spans="1:12" ht="30" hidden="1" x14ac:dyDescent="0.25">
      <c r="A199" s="1">
        <f>INDEX(rq_evidence_review!A:A, MATCH(B199, rq_evidence_review!B:B, 0))</f>
        <v>1</v>
      </c>
      <c r="B199" s="6" t="s">
        <v>16</v>
      </c>
      <c r="C199" s="1">
        <f t="shared" si="22"/>
        <v>196</v>
      </c>
      <c r="D199" s="1">
        <f>VLOOKUP(B199,rq_evidence_review!$B$1:$L$55,7,FALSE)</f>
        <v>18</v>
      </c>
      <c r="E199" s="8" t="s">
        <v>499</v>
      </c>
      <c r="F199" s="1" t="str">
        <f t="shared" si="23"/>
        <v/>
      </c>
      <c r="H199" s="1" t="str">
        <f t="shared" si="24"/>
        <v>Vuguin</v>
      </c>
      <c r="I199" s="1" t="str">
        <f t="shared" si="28"/>
        <v>2017</v>
      </c>
      <c r="J199" s="1" t="str">
        <f t="shared" si="25"/>
        <v>Vuguin et al., 2017</v>
      </c>
      <c r="K199" s="1" t="str">
        <f t="shared" si="26"/>
        <v>10.1159/000471804</v>
      </c>
      <c r="L199" s="1" t="str">
        <f t="shared" si="27"/>
        <v/>
      </c>
    </row>
    <row r="200" spans="1:12" ht="30" hidden="1" x14ac:dyDescent="0.25">
      <c r="A200" s="1">
        <f>INDEX(rq_evidence_review!A:A, MATCH(B200, rq_evidence_review!B:B, 0))</f>
        <v>1</v>
      </c>
      <c r="B200" s="6" t="s">
        <v>16</v>
      </c>
      <c r="C200" s="1">
        <f t="shared" si="22"/>
        <v>197</v>
      </c>
      <c r="D200" s="1">
        <f>VLOOKUP(B200,rq_evidence_review!$B$1:$L$55,7,FALSE)</f>
        <v>18</v>
      </c>
      <c r="E200" s="8" t="s">
        <v>500</v>
      </c>
      <c r="F200" s="1" t="str">
        <f t="shared" si="23"/>
        <v/>
      </c>
      <c r="H200" s="1" t="str">
        <f t="shared" si="24"/>
        <v>Wekker</v>
      </c>
      <c r="I200" s="1" t="str">
        <f t="shared" si="28"/>
        <v>2020</v>
      </c>
      <c r="J200" s="1" t="str">
        <f t="shared" si="25"/>
        <v>Wekker et al., 2020</v>
      </c>
      <c r="K200" s="1" t="str">
        <f t="shared" si="26"/>
        <v>10.1093/humupd/dmaa029</v>
      </c>
      <c r="L200" s="1" t="str">
        <f t="shared" si="27"/>
        <v/>
      </c>
    </row>
    <row r="201" spans="1:12" ht="30" hidden="1" x14ac:dyDescent="0.25">
      <c r="A201" s="1">
        <f>INDEX(rq_evidence_review!A:A, MATCH(B201, rq_evidence_review!B:B, 0))</f>
        <v>1</v>
      </c>
      <c r="B201" s="6" t="s">
        <v>16</v>
      </c>
      <c r="C201" s="1">
        <f t="shared" si="22"/>
        <v>198</v>
      </c>
      <c r="D201" s="1">
        <f>VLOOKUP(B201,rq_evidence_review!$B$1:$L$55,7,FALSE)</f>
        <v>18</v>
      </c>
      <c r="E201" s="8" t="s">
        <v>501</v>
      </c>
      <c r="F201" s="1" t="str">
        <f t="shared" si="23"/>
        <v/>
      </c>
      <c r="H201" s="1" t="str">
        <f t="shared" si="24"/>
        <v>Zhu</v>
      </c>
      <c r="I201" s="1" t="str">
        <f t="shared" si="28"/>
        <v>2018</v>
      </c>
      <c r="J201" s="1" t="str">
        <f t="shared" si="25"/>
        <v>Zhu et al., 2018</v>
      </c>
      <c r="K201" s="1" t="str">
        <f t="shared" si="26"/>
        <v>10.1016/j.fertnstert.2018.09.013</v>
      </c>
      <c r="L201" s="1" t="str">
        <f t="shared" si="27"/>
        <v/>
      </c>
    </row>
    <row r="202" spans="1:12" ht="30" hidden="1" x14ac:dyDescent="0.25">
      <c r="A202" s="1">
        <f>INDEX(rq_evidence_review!A:A, MATCH(B202, rq_evidence_review!B:B, 0))</f>
        <v>1</v>
      </c>
      <c r="B202" s="6" t="s">
        <v>16</v>
      </c>
      <c r="C202" s="1">
        <f t="shared" si="22"/>
        <v>199</v>
      </c>
      <c r="D202" s="1">
        <f>VLOOKUP(B202,rq_evidence_review!$B$1:$L$55,7,FALSE)</f>
        <v>18</v>
      </c>
      <c r="E202" s="8" t="s">
        <v>502</v>
      </c>
      <c r="F202" s="1" t="str">
        <f t="shared" si="23"/>
        <v/>
      </c>
      <c r="G202" s="1" t="s">
        <v>945</v>
      </c>
      <c r="H202" s="1" t="str">
        <f t="shared" si="24"/>
        <v>Alvarez-Blasco F</v>
      </c>
      <c r="I202" s="1" t="str">
        <f t="shared" si="28"/>
        <v>2006</v>
      </c>
      <c r="J202" s="1" t="str">
        <f t="shared" si="25"/>
        <v>Alvarez-Blasco F et al., 2006</v>
      </c>
      <c r="K202" s="9" t="s">
        <v>1487</v>
      </c>
      <c r="L202" s="1" t="str">
        <f t="shared" si="27"/>
        <v/>
      </c>
    </row>
    <row r="203" spans="1:12" ht="30" hidden="1" x14ac:dyDescent="0.25">
      <c r="A203" s="1">
        <f>INDEX(rq_evidence_review!A:A, MATCH(B203, rq_evidence_review!B:B, 0))</f>
        <v>1</v>
      </c>
      <c r="B203" s="6" t="s">
        <v>16</v>
      </c>
      <c r="C203" s="1">
        <f t="shared" si="22"/>
        <v>200</v>
      </c>
      <c r="D203" s="1">
        <f>VLOOKUP(B203,rq_evidence_review!$B$1:$L$55,7,FALSE)</f>
        <v>18</v>
      </c>
      <c r="E203" s="8" t="s">
        <v>503</v>
      </c>
      <c r="F203" s="1" t="str">
        <f t="shared" si="23"/>
        <v/>
      </c>
      <c r="G203" s="1" t="s">
        <v>945</v>
      </c>
      <c r="H203" s="1" t="str">
        <f t="shared" si="24"/>
        <v>Attaoua R</v>
      </c>
      <c r="I203" s="1" t="str">
        <f t="shared" si="28"/>
        <v>2008</v>
      </c>
      <c r="J203" s="1" t="str">
        <f t="shared" si="25"/>
        <v>Attaoua R et al., 2008</v>
      </c>
      <c r="K203" s="9" t="s">
        <v>1488</v>
      </c>
      <c r="L203" s="1" t="str">
        <f t="shared" si="27"/>
        <v/>
      </c>
    </row>
    <row r="204" spans="1:12" hidden="1" x14ac:dyDescent="0.25">
      <c r="A204" s="1">
        <f>INDEX(rq_evidence_review!A:A, MATCH(B204, rq_evidence_review!B:B, 0))</f>
        <v>1</v>
      </c>
      <c r="B204" s="6" t="s">
        <v>16</v>
      </c>
      <c r="C204" s="1">
        <f t="shared" si="22"/>
        <v>201</v>
      </c>
      <c r="D204" s="1">
        <f>VLOOKUP(B204,rq_evidence_review!$B$1:$L$55,7,FALSE)</f>
        <v>18</v>
      </c>
      <c r="E204" s="8" t="s">
        <v>1489</v>
      </c>
      <c r="F204" s="1" t="str">
        <f t="shared" si="23"/>
        <v/>
      </c>
      <c r="G204" s="1" t="s">
        <v>945</v>
      </c>
      <c r="H204" s="1" t="str">
        <f t="shared" si="24"/>
        <v>Bhattacharya SM</v>
      </c>
      <c r="I204" s="1" t="str">
        <f t="shared" si="28"/>
        <v>2009</v>
      </c>
      <c r="J204" s="1" t="str">
        <f t="shared" si="25"/>
        <v>Bhattacharya SM et al., 2009</v>
      </c>
      <c r="K204" s="9" t="s">
        <v>1490</v>
      </c>
      <c r="L204" s="1" t="str">
        <f t="shared" si="27"/>
        <v/>
      </c>
    </row>
    <row r="205" spans="1:12" ht="30" hidden="1" x14ac:dyDescent="0.25">
      <c r="A205" s="1">
        <f>INDEX(rq_evidence_review!A:A, MATCH(B205, rq_evidence_review!B:B, 0))</f>
        <v>1</v>
      </c>
      <c r="B205" s="6" t="s">
        <v>16</v>
      </c>
      <c r="C205" s="1">
        <f t="shared" si="22"/>
        <v>202</v>
      </c>
      <c r="D205" s="1">
        <f>VLOOKUP(B205,rq_evidence_review!$B$1:$L$55,7,FALSE)</f>
        <v>18</v>
      </c>
      <c r="E205" s="8" t="s">
        <v>504</v>
      </c>
      <c r="F205" s="1" t="str">
        <f t="shared" si="23"/>
        <v/>
      </c>
      <c r="G205" s="1" t="s">
        <v>945</v>
      </c>
      <c r="H205" s="1" t="str">
        <f t="shared" si="24"/>
        <v>Boudreaux MY</v>
      </c>
      <c r="I205" s="1" t="str">
        <f t="shared" si="28"/>
        <v>2006</v>
      </c>
      <c r="J205" s="1" t="str">
        <f t="shared" si="25"/>
        <v>Boudreaux MY et al., 2006</v>
      </c>
      <c r="K205" s="9" t="s">
        <v>1491</v>
      </c>
      <c r="L205" s="1" t="str">
        <f t="shared" si="27"/>
        <v/>
      </c>
    </row>
    <row r="206" spans="1:12" ht="30" hidden="1" x14ac:dyDescent="0.25">
      <c r="A206" s="1">
        <f>INDEX(rq_evidence_review!A:A, MATCH(B206, rq_evidence_review!B:B, 0))</f>
        <v>1</v>
      </c>
      <c r="B206" s="6" t="s">
        <v>16</v>
      </c>
      <c r="C206" s="1">
        <f t="shared" si="22"/>
        <v>203</v>
      </c>
      <c r="D206" s="1">
        <f>VLOOKUP(B206,rq_evidence_review!$B$1:$L$55,7,FALSE)</f>
        <v>18</v>
      </c>
      <c r="E206" s="8" t="s">
        <v>505</v>
      </c>
      <c r="F206" s="1" t="str">
        <f t="shared" si="23"/>
        <v/>
      </c>
      <c r="G206" s="1" t="s">
        <v>945</v>
      </c>
      <c r="H206" s="1" t="str">
        <f t="shared" si="24"/>
        <v>Boyle JA</v>
      </c>
      <c r="I206" s="1" t="str">
        <f t="shared" si="28"/>
        <v>2015</v>
      </c>
      <c r="J206" s="1" t="str">
        <f t="shared" si="25"/>
        <v>Boyle JA et al., 2015</v>
      </c>
      <c r="K206" s="9" t="s">
        <v>1492</v>
      </c>
      <c r="L206" s="1" t="str">
        <f t="shared" si="27"/>
        <v/>
      </c>
    </row>
    <row r="207" spans="1:12" ht="30" hidden="1" x14ac:dyDescent="0.25">
      <c r="A207" s="1">
        <f>INDEX(rq_evidence_review!A:A, MATCH(B207, rq_evidence_review!B:B, 0))</f>
        <v>1</v>
      </c>
      <c r="B207" s="6" t="s">
        <v>16</v>
      </c>
      <c r="C207" s="1">
        <f t="shared" si="22"/>
        <v>204</v>
      </c>
      <c r="D207" s="1">
        <f>VLOOKUP(B207,rq_evidence_review!$B$1:$L$55,7,FALSE)</f>
        <v>18</v>
      </c>
      <c r="E207" s="8" t="s">
        <v>506</v>
      </c>
      <c r="F207" s="1" t="str">
        <f t="shared" si="23"/>
        <v/>
      </c>
      <c r="G207" s="1" t="s">
        <v>945</v>
      </c>
      <c r="H207" s="1" t="str">
        <f t="shared" si="24"/>
        <v>Celik C</v>
      </c>
      <c r="I207" s="1" t="str">
        <f t="shared" si="28"/>
        <v>2014</v>
      </c>
      <c r="J207" s="1" t="str">
        <f t="shared" si="25"/>
        <v>Celik C et al., 2014</v>
      </c>
      <c r="K207" s="9" t="s">
        <v>1493</v>
      </c>
      <c r="L207" s="1" t="str">
        <f t="shared" si="27"/>
        <v/>
      </c>
    </row>
    <row r="208" spans="1:12" ht="30" hidden="1" x14ac:dyDescent="0.25">
      <c r="A208" s="1">
        <f>INDEX(rq_evidence_review!A:A, MATCH(B208, rq_evidence_review!B:B, 0))</f>
        <v>1</v>
      </c>
      <c r="B208" s="6" t="s">
        <v>16</v>
      </c>
      <c r="C208" s="1">
        <f t="shared" si="22"/>
        <v>205</v>
      </c>
      <c r="D208" s="1">
        <f>VLOOKUP(B208,rq_evidence_review!$B$1:$L$55,7,FALSE)</f>
        <v>18</v>
      </c>
      <c r="E208" s="8" t="s">
        <v>507</v>
      </c>
      <c r="F208" s="1" t="str">
        <f t="shared" si="23"/>
        <v/>
      </c>
      <c r="G208" s="1" t="s">
        <v>945</v>
      </c>
      <c r="H208" s="1" t="str">
        <f t="shared" si="24"/>
        <v>Ciampelli M</v>
      </c>
      <c r="I208" s="1" t="str">
        <f t="shared" si="28"/>
        <v>1998</v>
      </c>
      <c r="J208" s="1" t="str">
        <f t="shared" si="25"/>
        <v>Ciampelli M et al., 1998</v>
      </c>
      <c r="K208" s="1" t="s">
        <v>1494</v>
      </c>
      <c r="L208" s="1" t="str">
        <f t="shared" si="27"/>
        <v/>
      </c>
    </row>
    <row r="209" spans="1:12" ht="30" hidden="1" x14ac:dyDescent="0.25">
      <c r="A209" s="1">
        <f>INDEX(rq_evidence_review!A:A, MATCH(B209, rq_evidence_review!B:B, 0))</f>
        <v>1</v>
      </c>
      <c r="B209" s="6" t="s">
        <v>16</v>
      </c>
      <c r="C209" s="1">
        <f t="shared" si="22"/>
        <v>206</v>
      </c>
      <c r="D209" s="1">
        <f>VLOOKUP(B209,rq_evidence_review!$B$1:$L$55,7,FALSE)</f>
        <v>18</v>
      </c>
      <c r="E209" s="8" t="s">
        <v>508</v>
      </c>
      <c r="F209" s="1" t="str">
        <f t="shared" si="23"/>
        <v/>
      </c>
      <c r="G209" s="1" t="s">
        <v>945</v>
      </c>
      <c r="H209" s="1" t="str">
        <f t="shared" si="24"/>
        <v>Cibula D</v>
      </c>
      <c r="I209" s="1" t="str">
        <f t="shared" si="28"/>
        <v>2000</v>
      </c>
      <c r="J209" s="1" t="str">
        <f t="shared" si="25"/>
        <v>Cibula D et al., 2000</v>
      </c>
      <c r="K209" s="9" t="s">
        <v>1495</v>
      </c>
      <c r="L209" s="1" t="str">
        <f t="shared" si="27"/>
        <v/>
      </c>
    </row>
    <row r="210" spans="1:12" ht="30" hidden="1" x14ac:dyDescent="0.25">
      <c r="A210" s="1">
        <f>INDEX(rq_evidence_review!A:A, MATCH(B210, rq_evidence_review!B:B, 0))</f>
        <v>1</v>
      </c>
      <c r="B210" s="6" t="s">
        <v>16</v>
      </c>
      <c r="C210" s="1">
        <f t="shared" si="22"/>
        <v>207</v>
      </c>
      <c r="D210" s="1">
        <f>VLOOKUP(B210,rq_evidence_review!$B$1:$L$55,7,FALSE)</f>
        <v>18</v>
      </c>
      <c r="E210" s="8" t="s">
        <v>509</v>
      </c>
      <c r="F210" s="1" t="str">
        <f t="shared" si="23"/>
        <v/>
      </c>
      <c r="G210" s="1" t="s">
        <v>945</v>
      </c>
      <c r="H210" s="1" t="str">
        <f t="shared" si="24"/>
        <v>Diamanti-Kandarakis E</v>
      </c>
      <c r="I210" s="1" t="str">
        <f t="shared" si="28"/>
        <v>2005</v>
      </c>
      <c r="J210" s="1" t="str">
        <f t="shared" si="25"/>
        <v>Diamanti-Kandarakis E et al., 2005</v>
      </c>
      <c r="K210" s="1" t="s">
        <v>1916</v>
      </c>
      <c r="L210" s="1" t="str">
        <f t="shared" si="27"/>
        <v/>
      </c>
    </row>
    <row r="211" spans="1:12" ht="30" hidden="1" x14ac:dyDescent="0.25">
      <c r="A211" s="1">
        <f>INDEX(rq_evidence_review!A:A, MATCH(B211, rq_evidence_review!B:B, 0))</f>
        <v>1</v>
      </c>
      <c r="B211" s="6" t="s">
        <v>16</v>
      </c>
      <c r="C211" s="1">
        <f t="shared" si="22"/>
        <v>208</v>
      </c>
      <c r="D211" s="1">
        <f>VLOOKUP(B211,rq_evidence_review!$B$1:$L$55,7,FALSE)</f>
        <v>18</v>
      </c>
      <c r="E211" s="8" t="s">
        <v>510</v>
      </c>
      <c r="F211" s="1" t="str">
        <f t="shared" si="23"/>
        <v/>
      </c>
      <c r="G211" s="1" t="s">
        <v>945</v>
      </c>
      <c r="H211" s="1" t="str">
        <f t="shared" si="24"/>
        <v>Dos Reis RM</v>
      </c>
      <c r="I211" s="1" t="str">
        <f t="shared" si="28"/>
        <v>1995</v>
      </c>
      <c r="J211" s="1" t="str">
        <f t="shared" si="25"/>
        <v>Dos Reis RM et al., 1995</v>
      </c>
      <c r="K211" s="9" t="s">
        <v>1496</v>
      </c>
      <c r="L211" s="1" t="str">
        <f t="shared" si="27"/>
        <v/>
      </c>
    </row>
    <row r="212" spans="1:12" ht="30" hidden="1" x14ac:dyDescent="0.25">
      <c r="A212" s="1">
        <f>INDEX(rq_evidence_review!A:A, MATCH(B212, rq_evidence_review!B:B, 0))</f>
        <v>1</v>
      </c>
      <c r="B212" s="6" t="s">
        <v>16</v>
      </c>
      <c r="C212" s="1">
        <f t="shared" si="22"/>
        <v>209</v>
      </c>
      <c r="D212" s="1">
        <f>VLOOKUP(B212,rq_evidence_review!$B$1:$L$55,7,FALSE)</f>
        <v>18</v>
      </c>
      <c r="E212" s="8" t="s">
        <v>511</v>
      </c>
      <c r="F212" s="1" t="str">
        <f t="shared" si="23"/>
        <v/>
      </c>
      <c r="G212" s="1" t="s">
        <v>945</v>
      </c>
      <c r="H212" s="1" t="str">
        <f t="shared" si="24"/>
        <v>Dunaif A</v>
      </c>
      <c r="I212" s="1" t="str">
        <f t="shared" si="28"/>
        <v>2001</v>
      </c>
      <c r="J212" s="1" t="str">
        <f t="shared" si="25"/>
        <v>Dunaif A et al., 2001</v>
      </c>
      <c r="K212" s="9" t="s">
        <v>1497</v>
      </c>
      <c r="L212" s="1" t="str">
        <f t="shared" si="27"/>
        <v/>
      </c>
    </row>
    <row r="213" spans="1:12" ht="45" hidden="1" x14ac:dyDescent="0.25">
      <c r="A213" s="1">
        <f>INDEX(rq_evidence_review!A:A, MATCH(B213, rq_evidence_review!B:B, 0))</f>
        <v>1</v>
      </c>
      <c r="B213" s="6" t="s">
        <v>16</v>
      </c>
      <c r="C213" s="1">
        <f t="shared" si="22"/>
        <v>210</v>
      </c>
      <c r="D213" s="1">
        <f>VLOOKUP(B213,rq_evidence_review!$B$1:$L$55,7,FALSE)</f>
        <v>18</v>
      </c>
      <c r="E213" s="8" t="s">
        <v>512</v>
      </c>
      <c r="F213" s="1" t="str">
        <f t="shared" si="23"/>
        <v/>
      </c>
      <c r="G213" s="1" t="s">
        <v>945</v>
      </c>
      <c r="H213" s="1" t="str">
        <f t="shared" si="24"/>
        <v>Echiburu B</v>
      </c>
      <c r="I213" s="1" t="str">
        <f t="shared" si="28"/>
        <v>2008</v>
      </c>
      <c r="J213" s="1" t="str">
        <f t="shared" si="25"/>
        <v>Echiburu B et al., 2008</v>
      </c>
      <c r="K213" s="9" t="s">
        <v>1498</v>
      </c>
      <c r="L213" s="1" t="str">
        <f t="shared" si="27"/>
        <v/>
      </c>
    </row>
    <row r="214" spans="1:12" ht="30" hidden="1" x14ac:dyDescent="0.25">
      <c r="A214" s="1">
        <f>INDEX(rq_evidence_review!A:A, MATCH(B214, rq_evidence_review!B:B, 0))</f>
        <v>1</v>
      </c>
      <c r="B214" s="6" t="s">
        <v>16</v>
      </c>
      <c r="C214" s="1">
        <f t="shared" si="22"/>
        <v>211</v>
      </c>
      <c r="D214" s="1">
        <f>VLOOKUP(B214,rq_evidence_review!$B$1:$L$55,7,FALSE)</f>
        <v>18</v>
      </c>
      <c r="E214" s="8" t="s">
        <v>513</v>
      </c>
      <c r="F214" s="1" t="str">
        <f t="shared" si="23"/>
        <v/>
      </c>
      <c r="G214" s="1" t="s">
        <v>945</v>
      </c>
      <c r="H214" s="1" t="str">
        <f t="shared" si="24"/>
        <v>Faloia E</v>
      </c>
      <c r="I214" s="1" t="str">
        <f t="shared" si="28"/>
        <v>2004</v>
      </c>
      <c r="J214" s="1" t="str">
        <f t="shared" si="25"/>
        <v>Faloia E et al., 2004</v>
      </c>
      <c r="K214" s="9" t="s">
        <v>1499</v>
      </c>
      <c r="L214" s="1" t="str">
        <f t="shared" si="27"/>
        <v/>
      </c>
    </row>
    <row r="215" spans="1:12" ht="30" hidden="1" x14ac:dyDescent="0.25">
      <c r="A215" s="1">
        <f>INDEX(rq_evidence_review!A:A, MATCH(B215, rq_evidence_review!B:B, 0))</f>
        <v>1</v>
      </c>
      <c r="B215" s="6" t="s">
        <v>16</v>
      </c>
      <c r="C215" s="1">
        <f t="shared" si="22"/>
        <v>212</v>
      </c>
      <c r="D215" s="1">
        <f>VLOOKUP(B215,rq_evidence_review!$B$1:$L$55,7,FALSE)</f>
        <v>18</v>
      </c>
      <c r="E215" s="8" t="s">
        <v>514</v>
      </c>
      <c r="F215" s="1" t="str">
        <f t="shared" si="23"/>
        <v/>
      </c>
      <c r="G215" s="1" t="s">
        <v>945</v>
      </c>
      <c r="H215" s="1" t="str">
        <f t="shared" si="24"/>
        <v>Fulghesu A</v>
      </c>
      <c r="I215" s="1" t="str">
        <f t="shared" si="28"/>
        <v>2010</v>
      </c>
      <c r="J215" s="1" t="str">
        <f t="shared" si="25"/>
        <v>Fulghesu A et al., 2010</v>
      </c>
      <c r="K215" s="9" t="s">
        <v>1500</v>
      </c>
      <c r="L215" s="1" t="str">
        <f t="shared" si="27"/>
        <v/>
      </c>
    </row>
    <row r="216" spans="1:12" ht="30" hidden="1" x14ac:dyDescent="0.25">
      <c r="A216" s="1">
        <f>INDEX(rq_evidence_review!A:A, MATCH(B216, rq_evidence_review!B:B, 0))</f>
        <v>1</v>
      </c>
      <c r="B216" s="6" t="s">
        <v>16</v>
      </c>
      <c r="C216" s="1">
        <f t="shared" si="22"/>
        <v>213</v>
      </c>
      <c r="D216" s="1">
        <f>VLOOKUP(B216,rq_evidence_review!$B$1:$L$55,7,FALSE)</f>
        <v>18</v>
      </c>
      <c r="E216" s="8" t="s">
        <v>515</v>
      </c>
      <c r="F216" s="1" t="str">
        <f t="shared" si="23"/>
        <v/>
      </c>
      <c r="G216" s="1" t="s">
        <v>945</v>
      </c>
      <c r="H216" s="1" t="str">
        <f t="shared" si="24"/>
        <v>Glintborg D</v>
      </c>
      <c r="I216" s="1" t="str">
        <f t="shared" si="28"/>
        <v>2015</v>
      </c>
      <c r="J216" s="1" t="str">
        <f t="shared" si="25"/>
        <v>Glintborg D et al., 2015</v>
      </c>
      <c r="K216" s="9" t="s">
        <v>1501</v>
      </c>
      <c r="L216" s="1" t="str">
        <f t="shared" si="27"/>
        <v/>
      </c>
    </row>
    <row r="217" spans="1:12" ht="30" hidden="1" x14ac:dyDescent="0.25">
      <c r="A217" s="1">
        <f>INDEX(rq_evidence_review!A:A, MATCH(B217, rq_evidence_review!B:B, 0))</f>
        <v>1</v>
      </c>
      <c r="B217" s="6" t="s">
        <v>16</v>
      </c>
      <c r="C217" s="1">
        <f t="shared" si="22"/>
        <v>214</v>
      </c>
      <c r="D217" s="1">
        <f>VLOOKUP(B217,rq_evidence_review!$B$1:$L$55,7,FALSE)</f>
        <v>18</v>
      </c>
      <c r="E217" s="8" t="s">
        <v>516</v>
      </c>
      <c r="F217" s="1" t="str">
        <f t="shared" si="23"/>
        <v/>
      </c>
      <c r="G217" s="1" t="s">
        <v>945</v>
      </c>
      <c r="H217" s="1" t="str">
        <f t="shared" si="24"/>
        <v>Hossain N</v>
      </c>
      <c r="I217" s="1" t="str">
        <f t="shared" si="28"/>
        <v>2011</v>
      </c>
      <c r="J217" s="1" t="str">
        <f t="shared" si="25"/>
        <v>Hossain N et al., 2011</v>
      </c>
      <c r="K217" s="9" t="s">
        <v>1502</v>
      </c>
      <c r="L217" s="1" t="str">
        <f t="shared" si="27"/>
        <v/>
      </c>
    </row>
    <row r="218" spans="1:12" ht="30" hidden="1" x14ac:dyDescent="0.25">
      <c r="A218" s="1">
        <f>INDEX(rq_evidence_review!A:A, MATCH(B218, rq_evidence_review!B:B, 0))</f>
        <v>1</v>
      </c>
      <c r="B218" s="6" t="s">
        <v>16</v>
      </c>
      <c r="C218" s="1">
        <f t="shared" si="22"/>
        <v>215</v>
      </c>
      <c r="D218" s="1">
        <f>VLOOKUP(B218,rq_evidence_review!$B$1:$L$55,7,FALSE)</f>
        <v>18</v>
      </c>
      <c r="E218" s="8" t="s">
        <v>517</v>
      </c>
      <c r="F218" s="1" t="str">
        <f t="shared" si="23"/>
        <v/>
      </c>
      <c r="G218" s="1" t="s">
        <v>945</v>
      </c>
      <c r="H218" s="1" t="str">
        <f t="shared" si="24"/>
        <v>Huang J</v>
      </c>
      <c r="I218" s="1" t="str">
        <f t="shared" si="28"/>
        <v>2010</v>
      </c>
      <c r="J218" s="1" t="str">
        <f t="shared" si="25"/>
        <v>Huang J et al., 2010</v>
      </c>
      <c r="K218" s="9" t="s">
        <v>1503</v>
      </c>
      <c r="L218" s="1" t="str">
        <f t="shared" si="27"/>
        <v/>
      </c>
    </row>
    <row r="219" spans="1:12" ht="30" hidden="1" x14ac:dyDescent="0.25">
      <c r="A219" s="1">
        <f>INDEX(rq_evidence_review!A:A, MATCH(B219, rq_evidence_review!B:B, 0))</f>
        <v>1</v>
      </c>
      <c r="B219" s="6" t="s">
        <v>16</v>
      </c>
      <c r="C219" s="1">
        <f t="shared" si="22"/>
        <v>216</v>
      </c>
      <c r="D219" s="1">
        <f>VLOOKUP(B219,rq_evidence_review!$B$1:$L$55,7,FALSE)</f>
        <v>18</v>
      </c>
      <c r="E219" s="8" t="s">
        <v>518</v>
      </c>
      <c r="F219" s="1" t="str">
        <f t="shared" si="23"/>
        <v/>
      </c>
      <c r="G219" s="1" t="s">
        <v>945</v>
      </c>
      <c r="H219" s="1" t="str">
        <f t="shared" si="24"/>
        <v>Hudecova M</v>
      </c>
      <c r="I219" s="1" t="str">
        <f t="shared" si="28"/>
        <v>2011</v>
      </c>
      <c r="J219" s="1" t="str">
        <f t="shared" si="25"/>
        <v>Hudecova M et al., 2011</v>
      </c>
      <c r="K219" s="9" t="s">
        <v>1504</v>
      </c>
      <c r="L219" s="1" t="str">
        <f t="shared" si="27"/>
        <v/>
      </c>
    </row>
    <row r="220" spans="1:12" ht="30" hidden="1" x14ac:dyDescent="0.25">
      <c r="A220" s="1">
        <f>INDEX(rq_evidence_review!A:A, MATCH(B220, rq_evidence_review!B:B, 0))</f>
        <v>1</v>
      </c>
      <c r="B220" s="6" t="s">
        <v>16</v>
      </c>
      <c r="C220" s="1">
        <f t="shared" si="22"/>
        <v>217</v>
      </c>
      <c r="D220" s="1">
        <f>VLOOKUP(B220,rq_evidence_review!$B$1:$L$55,7,FALSE)</f>
        <v>18</v>
      </c>
      <c r="E220" s="8" t="s">
        <v>519</v>
      </c>
      <c r="F220" s="1" t="str">
        <f t="shared" si="23"/>
        <v/>
      </c>
      <c r="G220" s="1" t="s">
        <v>945</v>
      </c>
      <c r="H220" s="1" t="str">
        <f t="shared" si="24"/>
        <v>Legro RS</v>
      </c>
      <c r="I220" s="1" t="str">
        <f t="shared" si="28"/>
        <v>2005</v>
      </c>
      <c r="J220" s="1" t="str">
        <f t="shared" si="25"/>
        <v>Legro RS et al., 2005</v>
      </c>
      <c r="K220" s="9" t="s">
        <v>1505</v>
      </c>
      <c r="L220" s="1" t="str">
        <f t="shared" si="27"/>
        <v/>
      </c>
    </row>
    <row r="221" spans="1:12" ht="30" hidden="1" x14ac:dyDescent="0.25">
      <c r="A221" s="1">
        <f>INDEX(rq_evidence_review!A:A, MATCH(B221, rq_evidence_review!B:B, 0))</f>
        <v>1</v>
      </c>
      <c r="B221" s="6" t="s">
        <v>16</v>
      </c>
      <c r="C221" s="1">
        <f t="shared" si="22"/>
        <v>218</v>
      </c>
      <c r="D221" s="1">
        <f>VLOOKUP(B221,rq_evidence_review!$B$1:$L$55,7,FALSE)</f>
        <v>18</v>
      </c>
      <c r="E221" s="8" t="s">
        <v>520</v>
      </c>
      <c r="F221" s="1" t="str">
        <f t="shared" si="23"/>
        <v/>
      </c>
      <c r="G221" s="1" t="s">
        <v>945</v>
      </c>
      <c r="H221" s="1" t="str">
        <f t="shared" si="24"/>
        <v>Leibel NI</v>
      </c>
      <c r="I221" s="1" t="str">
        <f t="shared" si="28"/>
        <v>2006</v>
      </c>
      <c r="J221" s="1" t="str">
        <f t="shared" si="25"/>
        <v>Leibel NI et al., 2006</v>
      </c>
      <c r="K221" s="9" t="s">
        <v>1506</v>
      </c>
      <c r="L221" s="1" t="str">
        <f t="shared" si="27"/>
        <v/>
      </c>
    </row>
    <row r="222" spans="1:12" ht="30" hidden="1" x14ac:dyDescent="0.25">
      <c r="A222" s="1">
        <f>INDEX(rq_evidence_review!A:A, MATCH(B222, rq_evidence_review!B:B, 0))</f>
        <v>1</v>
      </c>
      <c r="B222" s="6" t="s">
        <v>16</v>
      </c>
      <c r="C222" s="1">
        <f t="shared" ref="C222:C285" si="29">C221+1</f>
        <v>219</v>
      </c>
      <c r="D222" s="1">
        <f>VLOOKUP(B222,rq_evidence_review!$B$1:$L$55,7,FALSE)</f>
        <v>18</v>
      </c>
      <c r="E222" s="8" t="s">
        <v>521</v>
      </c>
      <c r="F222" s="1" t="str">
        <f t="shared" si="23"/>
        <v/>
      </c>
      <c r="G222" s="1" t="s">
        <v>945</v>
      </c>
      <c r="H222" s="1" t="str">
        <f t="shared" si="24"/>
        <v>Lerchbaum E</v>
      </c>
      <c r="I222" s="1" t="str">
        <f t="shared" si="28"/>
        <v>2011</v>
      </c>
      <c r="J222" s="1" t="str">
        <f t="shared" si="25"/>
        <v>Lerchbaum E et al., 2011</v>
      </c>
      <c r="K222" s="9" t="s">
        <v>1507</v>
      </c>
      <c r="L222" s="1" t="str">
        <f t="shared" si="27"/>
        <v/>
      </c>
    </row>
    <row r="223" spans="1:12" ht="30" hidden="1" x14ac:dyDescent="0.25">
      <c r="A223" s="1">
        <f>INDEX(rq_evidence_review!A:A, MATCH(B223, rq_evidence_review!B:B, 0))</f>
        <v>1</v>
      </c>
      <c r="B223" s="6" t="s">
        <v>16</v>
      </c>
      <c r="C223" s="1">
        <f t="shared" si="29"/>
        <v>220</v>
      </c>
      <c r="D223" s="1">
        <f>VLOOKUP(B223,rq_evidence_review!$B$1:$L$55,7,FALSE)</f>
        <v>18</v>
      </c>
      <c r="E223" s="8" t="s">
        <v>522</v>
      </c>
      <c r="F223" s="1" t="str">
        <f t="shared" si="23"/>
        <v/>
      </c>
      <c r="G223" s="1" t="s">
        <v>945</v>
      </c>
      <c r="H223" s="1" t="str">
        <f t="shared" si="24"/>
        <v>Li L</v>
      </c>
      <c r="I223" s="1" t="str">
        <f t="shared" si="28"/>
        <v>2012</v>
      </c>
      <c r="J223" s="1" t="str">
        <f t="shared" si="25"/>
        <v>Li L et al., 2012</v>
      </c>
      <c r="K223" s="9" t="s">
        <v>1508</v>
      </c>
      <c r="L223" s="1" t="str">
        <f t="shared" si="27"/>
        <v/>
      </c>
    </row>
    <row r="224" spans="1:12" ht="30" hidden="1" x14ac:dyDescent="0.25">
      <c r="A224" s="1">
        <f>INDEX(rq_evidence_review!A:A, MATCH(B224, rq_evidence_review!B:B, 0))</f>
        <v>1</v>
      </c>
      <c r="B224" s="6" t="s">
        <v>16</v>
      </c>
      <c r="C224" s="1">
        <f t="shared" si="29"/>
        <v>221</v>
      </c>
      <c r="D224" s="1">
        <f>VLOOKUP(B224,rq_evidence_review!$B$1:$L$55,7,FALSE)</f>
        <v>18</v>
      </c>
      <c r="E224" s="8" t="s">
        <v>523</v>
      </c>
      <c r="F224" s="1" t="str">
        <f t="shared" si="23"/>
        <v/>
      </c>
      <c r="G224" s="1" t="s">
        <v>945</v>
      </c>
      <c r="H224" s="1" t="str">
        <f t="shared" si="24"/>
        <v>Liang SJ</v>
      </c>
      <c r="I224" s="1" t="str">
        <f t="shared" si="28"/>
        <v>2012</v>
      </c>
      <c r="J224" s="1" t="str">
        <f t="shared" si="25"/>
        <v>Liang SJ et al., 2012</v>
      </c>
      <c r="K224" s="9" t="s">
        <v>1509</v>
      </c>
      <c r="L224" s="1" t="str">
        <f t="shared" si="27"/>
        <v/>
      </c>
    </row>
    <row r="225" spans="1:15" ht="30" hidden="1" x14ac:dyDescent="0.25">
      <c r="A225" s="1">
        <f>INDEX(rq_evidence_review!A:A, MATCH(B225, rq_evidence_review!B:B, 0))</f>
        <v>1</v>
      </c>
      <c r="B225" s="6" t="s">
        <v>16</v>
      </c>
      <c r="C225" s="1">
        <f t="shared" si="29"/>
        <v>222</v>
      </c>
      <c r="D225" s="1">
        <f>VLOOKUP(B225,rq_evidence_review!$B$1:$L$55,7,FALSE)</f>
        <v>18</v>
      </c>
      <c r="E225" s="8" t="s">
        <v>524</v>
      </c>
      <c r="F225" s="1" t="str">
        <f t="shared" si="23"/>
        <v/>
      </c>
      <c r="G225" s="1" t="s">
        <v>945</v>
      </c>
      <c r="H225" s="1" t="str">
        <f t="shared" si="24"/>
        <v>Marquez JL</v>
      </c>
      <c r="I225" s="1" t="str">
        <f t="shared" si="28"/>
        <v>2008</v>
      </c>
      <c r="J225" s="1" t="str">
        <f t="shared" si="25"/>
        <v>Marquez JL et al., 2008</v>
      </c>
      <c r="K225" s="9" t="s">
        <v>1510</v>
      </c>
      <c r="L225" s="1" t="str">
        <f t="shared" si="27"/>
        <v/>
      </c>
    </row>
    <row r="226" spans="1:15" hidden="1" x14ac:dyDescent="0.25">
      <c r="A226" s="1">
        <f>INDEX(rq_evidence_review!A:A, MATCH(B226, rq_evidence_review!B:B, 0))</f>
        <v>1</v>
      </c>
      <c r="B226" s="6" t="s">
        <v>16</v>
      </c>
      <c r="C226" s="1">
        <f t="shared" si="29"/>
        <v>223</v>
      </c>
      <c r="D226" s="1">
        <f>VLOOKUP(B226,rq_evidence_review!$B$1:$L$55,7,FALSE)</f>
        <v>18</v>
      </c>
      <c r="E226" s="8" t="s">
        <v>525</v>
      </c>
      <c r="F226" s="1" t="str">
        <f t="shared" si="23"/>
        <v/>
      </c>
      <c r="G226" s="1" t="s">
        <v>945</v>
      </c>
      <c r="H226" s="1" t="str">
        <f t="shared" si="24"/>
        <v>Moini A</v>
      </c>
      <c r="I226" s="1" t="str">
        <f t="shared" si="28"/>
        <v>2009</v>
      </c>
      <c r="J226" s="1" t="str">
        <f t="shared" si="25"/>
        <v>Moini A et al., 2009</v>
      </c>
      <c r="K226" s="9" t="s">
        <v>1511</v>
      </c>
      <c r="L226" s="1" t="str">
        <f t="shared" si="27"/>
        <v/>
      </c>
    </row>
    <row r="227" spans="1:15" ht="30" hidden="1" x14ac:dyDescent="0.25">
      <c r="A227" s="1">
        <f>INDEX(rq_evidence_review!A:A, MATCH(B227, rq_evidence_review!B:B, 0))</f>
        <v>1</v>
      </c>
      <c r="B227" s="6" t="s">
        <v>16</v>
      </c>
      <c r="C227" s="1">
        <f t="shared" si="29"/>
        <v>224</v>
      </c>
      <c r="D227" s="1">
        <f>VLOOKUP(B227,rq_evidence_review!$B$1:$L$55,7,FALSE)</f>
        <v>18</v>
      </c>
      <c r="E227" s="8" t="s">
        <v>526</v>
      </c>
      <c r="F227" s="1" t="str">
        <f t="shared" si="23"/>
        <v/>
      </c>
      <c r="G227" s="1" t="s">
        <v>945</v>
      </c>
      <c r="H227" s="1" t="str">
        <f t="shared" si="24"/>
        <v>Nur MM</v>
      </c>
      <c r="I227" s="1" t="str">
        <f t="shared" si="28"/>
        <v>2009</v>
      </c>
      <c r="J227" s="1" t="str">
        <f t="shared" si="25"/>
        <v>Nur MM et al., 2009</v>
      </c>
      <c r="K227" s="9" t="s">
        <v>1512</v>
      </c>
      <c r="L227" s="1" t="str">
        <f t="shared" si="27"/>
        <v/>
      </c>
    </row>
    <row r="228" spans="1:15" ht="30" hidden="1" x14ac:dyDescent="0.25">
      <c r="A228" s="1">
        <f>INDEX(rq_evidence_review!A:A, MATCH(B228, rq_evidence_review!B:B, 0))</f>
        <v>1</v>
      </c>
      <c r="B228" s="6" t="s">
        <v>16</v>
      </c>
      <c r="C228" s="1">
        <f t="shared" si="29"/>
        <v>225</v>
      </c>
      <c r="D228" s="1">
        <f>VLOOKUP(B228,rq_evidence_review!$B$1:$L$55,7,FALSE)</f>
        <v>18</v>
      </c>
      <c r="E228" s="8" t="s">
        <v>527</v>
      </c>
      <c r="F228" s="1" t="str">
        <f t="shared" si="23"/>
        <v/>
      </c>
      <c r="G228" s="1" t="s">
        <v>945</v>
      </c>
      <c r="H228" s="1" t="str">
        <f t="shared" si="24"/>
        <v>Okoroh EM</v>
      </c>
      <c r="I228" s="1" t="str">
        <f t="shared" si="28"/>
        <v>2003</v>
      </c>
      <c r="J228" s="1" t="str">
        <f t="shared" si="25"/>
        <v>Okoroh EM et al., 2003</v>
      </c>
      <c r="K228" s="9" t="s">
        <v>1513</v>
      </c>
      <c r="L228" s="1" t="str">
        <f t="shared" si="27"/>
        <v/>
      </c>
    </row>
    <row r="229" spans="1:15" hidden="1" x14ac:dyDescent="0.25">
      <c r="A229" s="1">
        <f>INDEX(rq_evidence_review!A:A, MATCH(B229, rq_evidence_review!B:B, 0))</f>
        <v>1</v>
      </c>
      <c r="B229" s="6" t="s">
        <v>16</v>
      </c>
      <c r="C229" s="1">
        <f t="shared" si="29"/>
        <v>226</v>
      </c>
      <c r="D229" s="1">
        <f>VLOOKUP(B229,rq_evidence_review!$B$1:$L$55,7,FALSE)</f>
        <v>18</v>
      </c>
      <c r="E229" s="8" t="s">
        <v>528</v>
      </c>
      <c r="F229" s="1" t="str">
        <f t="shared" si="23"/>
        <v/>
      </c>
      <c r="G229" s="1" t="s">
        <v>945</v>
      </c>
      <c r="H229" s="1" t="str">
        <f t="shared" si="24"/>
        <v>Ozegowska K</v>
      </c>
      <c r="I229" s="1" t="str">
        <f t="shared" si="28"/>
        <v>2015</v>
      </c>
      <c r="J229" s="1" t="str">
        <f t="shared" si="25"/>
        <v>Ozegowska K et al., 2015</v>
      </c>
      <c r="K229" s="9" t="s">
        <v>1514</v>
      </c>
      <c r="L229" s="1" t="str">
        <f t="shared" si="27"/>
        <v/>
      </c>
    </row>
    <row r="230" spans="1:15" ht="45" hidden="1" x14ac:dyDescent="0.25">
      <c r="A230" s="1">
        <f>INDEX(rq_evidence_review!A:A, MATCH(B230, rq_evidence_review!B:B, 0))</f>
        <v>1</v>
      </c>
      <c r="B230" s="6" t="s">
        <v>16</v>
      </c>
      <c r="C230" s="1">
        <f t="shared" si="29"/>
        <v>227</v>
      </c>
      <c r="D230" s="1">
        <f>VLOOKUP(B230,rq_evidence_review!$B$1:$L$55,7,FALSE)</f>
        <v>18</v>
      </c>
      <c r="E230" s="8" t="s">
        <v>529</v>
      </c>
      <c r="F230" s="1" t="str">
        <f t="shared" si="23"/>
        <v/>
      </c>
      <c r="G230" s="1" t="s">
        <v>945</v>
      </c>
      <c r="H230" s="1" t="str">
        <f t="shared" si="24"/>
        <v>Phy JL</v>
      </c>
      <c r="I230" s="1" t="str">
        <f t="shared" si="28"/>
        <v>2004</v>
      </c>
      <c r="J230" s="1" t="str">
        <f t="shared" si="25"/>
        <v>Phy JL et al., 2004</v>
      </c>
      <c r="K230" s="9" t="s">
        <v>1515</v>
      </c>
      <c r="L230" s="1" t="str">
        <f t="shared" si="27"/>
        <v/>
      </c>
    </row>
    <row r="231" spans="1:15" hidden="1" x14ac:dyDescent="0.25">
      <c r="A231" s="1">
        <f>INDEX(rq_evidence_review!A:A, MATCH(B231, rq_evidence_review!B:B, 0))</f>
        <v>1</v>
      </c>
      <c r="B231" s="6" t="s">
        <v>16</v>
      </c>
      <c r="C231" s="1">
        <f t="shared" si="29"/>
        <v>228</v>
      </c>
      <c r="D231" s="1">
        <f>VLOOKUP(B231,rq_evidence_review!$B$1:$L$55,7,FALSE)</f>
        <v>18</v>
      </c>
      <c r="E231" s="8" t="s">
        <v>530</v>
      </c>
      <c r="F231" s="1" t="str">
        <f t="shared" si="23"/>
        <v/>
      </c>
      <c r="G231" s="1" t="s">
        <v>945</v>
      </c>
      <c r="H231" s="1" t="str">
        <f t="shared" si="24"/>
        <v>Rajkhowa M</v>
      </c>
      <c r="I231" s="1" t="str">
        <f t="shared" si="28"/>
        <v>1996</v>
      </c>
      <c r="J231" s="1" t="str">
        <f t="shared" si="25"/>
        <v>Rajkhowa M et al., 1996</v>
      </c>
      <c r="K231" s="9" t="s">
        <v>1516</v>
      </c>
      <c r="L231" s="1" t="str">
        <f t="shared" si="27"/>
        <v/>
      </c>
    </row>
    <row r="232" spans="1:15" ht="30" hidden="1" x14ac:dyDescent="0.25">
      <c r="A232" s="1">
        <f>INDEX(rq_evidence_review!A:A, MATCH(B232, rq_evidence_review!B:B, 0))</f>
        <v>1</v>
      </c>
      <c r="B232" s="6" t="s">
        <v>16</v>
      </c>
      <c r="C232" s="1">
        <f t="shared" si="29"/>
        <v>229</v>
      </c>
      <c r="D232" s="1">
        <f>VLOOKUP(B232,rq_evidence_review!$B$1:$L$55,7,FALSE)</f>
        <v>18</v>
      </c>
      <c r="E232" s="8" t="s">
        <v>531</v>
      </c>
      <c r="F232" s="1" t="str">
        <f t="shared" si="23"/>
        <v/>
      </c>
      <c r="G232" s="1" t="s">
        <v>945</v>
      </c>
      <c r="H232" s="1" t="str">
        <f t="shared" si="24"/>
        <v>Sawathiparnich P</v>
      </c>
      <c r="I232" s="1" t="str">
        <f t="shared" si="28"/>
        <v>2005</v>
      </c>
      <c r="J232" s="1" t="str">
        <f t="shared" si="25"/>
        <v>Sawathiparnich P et al., 2005</v>
      </c>
      <c r="K232" s="1" t="str">
        <f>ExtractDOI(E232)</f>
        <v/>
      </c>
      <c r="L232" s="1" t="str">
        <f t="shared" si="27"/>
        <v/>
      </c>
      <c r="M232" s="9" t="s">
        <v>1518</v>
      </c>
      <c r="N232" s="1">
        <v>23693651</v>
      </c>
      <c r="O232" s="1" t="s">
        <v>2004</v>
      </c>
    </row>
    <row r="233" spans="1:15" ht="45" hidden="1" x14ac:dyDescent="0.25">
      <c r="A233" s="1">
        <f>INDEX(rq_evidence_review!A:A, MATCH(B233, rq_evidence_review!B:B, 0))</f>
        <v>1</v>
      </c>
      <c r="B233" s="6" t="s">
        <v>16</v>
      </c>
      <c r="C233" s="1">
        <f t="shared" si="29"/>
        <v>230</v>
      </c>
      <c r="D233" s="1">
        <f>VLOOKUP(B233,rq_evidence_review!$B$1:$L$55,7,FALSE)</f>
        <v>18</v>
      </c>
      <c r="E233" s="8" t="s">
        <v>532</v>
      </c>
      <c r="F233" s="1" t="str">
        <f t="shared" si="23"/>
        <v/>
      </c>
      <c r="G233" s="1" t="s">
        <v>945</v>
      </c>
      <c r="H233" s="1" t="str">
        <f t="shared" si="24"/>
        <v>Sir-Petermann T</v>
      </c>
      <c r="I233" s="1" t="str">
        <f t="shared" si="28"/>
        <v>2004</v>
      </c>
      <c r="J233" s="1" t="str">
        <f t="shared" si="25"/>
        <v>Sir-Petermann T et al., 2004</v>
      </c>
      <c r="K233" s="9" t="s">
        <v>1519</v>
      </c>
      <c r="L233" s="1" t="str">
        <f t="shared" si="27"/>
        <v/>
      </c>
    </row>
    <row r="234" spans="1:15" ht="30" hidden="1" x14ac:dyDescent="0.25">
      <c r="A234" s="1">
        <f>INDEX(rq_evidence_review!A:A, MATCH(B234, rq_evidence_review!B:B, 0))</f>
        <v>1</v>
      </c>
      <c r="B234" s="6" t="s">
        <v>16</v>
      </c>
      <c r="C234" s="1">
        <f t="shared" si="29"/>
        <v>231</v>
      </c>
      <c r="D234" s="1">
        <f>VLOOKUP(B234,rq_evidence_review!$B$1:$L$55,7,FALSE)</f>
        <v>18</v>
      </c>
      <c r="E234" s="8" t="s">
        <v>533</v>
      </c>
      <c r="F234" s="1" t="str">
        <f t="shared" si="23"/>
        <v/>
      </c>
      <c r="G234" s="1" t="s">
        <v>945</v>
      </c>
      <c r="H234" s="1" t="str">
        <f t="shared" si="24"/>
        <v>Valderhaug TG</v>
      </c>
      <c r="I234" s="1" t="str">
        <f t="shared" si="28"/>
        <v>2015</v>
      </c>
      <c r="J234" s="1" t="str">
        <f t="shared" si="25"/>
        <v>Valderhaug TG et al., 2015</v>
      </c>
      <c r="K234" s="9" t="s">
        <v>1520</v>
      </c>
      <c r="L234" s="1" t="str">
        <f t="shared" si="27"/>
        <v/>
      </c>
    </row>
    <row r="235" spans="1:15" ht="30" hidden="1" x14ac:dyDescent="0.25">
      <c r="A235" s="1">
        <f>INDEX(rq_evidence_review!A:A, MATCH(B235, rq_evidence_review!B:B, 0))</f>
        <v>1</v>
      </c>
      <c r="B235" s="6" t="s">
        <v>16</v>
      </c>
      <c r="C235" s="1">
        <f t="shared" si="29"/>
        <v>232</v>
      </c>
      <c r="D235" s="1">
        <f>VLOOKUP(B235,rq_evidence_review!$B$1:$L$55,7,FALSE)</f>
        <v>18</v>
      </c>
      <c r="E235" s="8" t="s">
        <v>534</v>
      </c>
      <c r="F235" s="1" t="str">
        <f t="shared" si="23"/>
        <v/>
      </c>
      <c r="G235" s="1" t="s">
        <v>945</v>
      </c>
      <c r="H235" s="1" t="str">
        <f t="shared" si="24"/>
        <v>Yarali H</v>
      </c>
      <c r="I235" s="1" t="str">
        <f t="shared" si="28"/>
        <v>2001</v>
      </c>
      <c r="J235" s="1" t="str">
        <f t="shared" si="25"/>
        <v>Yarali H et al., 2001</v>
      </c>
      <c r="K235" s="9" t="s">
        <v>1521</v>
      </c>
      <c r="L235" s="1" t="str">
        <f t="shared" si="27"/>
        <v/>
      </c>
    </row>
    <row r="236" spans="1:15" ht="30" hidden="1" x14ac:dyDescent="0.25">
      <c r="A236" s="1">
        <f>INDEX(rq_evidence_review!A:A, MATCH(B236, rq_evidence_review!B:B, 0))</f>
        <v>1</v>
      </c>
      <c r="B236" s="6" t="s">
        <v>16</v>
      </c>
      <c r="C236" s="1">
        <f t="shared" si="29"/>
        <v>233</v>
      </c>
      <c r="D236" s="1">
        <f>VLOOKUP(B236,rq_evidence_review!$B$1:$L$55,7,FALSE)</f>
        <v>18</v>
      </c>
      <c r="E236" s="8" t="s">
        <v>535</v>
      </c>
      <c r="F236" s="1" t="str">
        <f t="shared" si="23"/>
        <v/>
      </c>
      <c r="G236" s="1" t="s">
        <v>945</v>
      </c>
      <c r="H236" s="1" t="str">
        <f t="shared" si="24"/>
        <v>Zhao X</v>
      </c>
      <c r="I236" s="1" t="str">
        <f t="shared" si="28"/>
        <v>2010</v>
      </c>
      <c r="J236" s="1" t="str">
        <f t="shared" si="25"/>
        <v>Zhao X et al., 2010</v>
      </c>
      <c r="K236" s="9" t="s">
        <v>1522</v>
      </c>
      <c r="L236" s="1" t="str">
        <f t="shared" si="27"/>
        <v/>
      </c>
    </row>
    <row r="237" spans="1:15" ht="30" hidden="1" x14ac:dyDescent="0.25">
      <c r="A237" s="1">
        <f>INDEX(rq_evidence_review!A:A, MATCH(B237, rq_evidence_review!B:B, 0))</f>
        <v>1</v>
      </c>
      <c r="B237" s="6" t="s">
        <v>16</v>
      </c>
      <c r="C237" s="1">
        <f t="shared" si="29"/>
        <v>234</v>
      </c>
      <c r="D237" s="1">
        <f>VLOOKUP(B237,rq_evidence_review!$B$1:$L$55,7,FALSE)</f>
        <v>18</v>
      </c>
      <c r="E237" s="8" t="s">
        <v>536</v>
      </c>
      <c r="F237" s="1" t="str">
        <f t="shared" si="23"/>
        <v/>
      </c>
      <c r="G237" s="1" t="s">
        <v>945</v>
      </c>
      <c r="H237" s="1" t="str">
        <f t="shared" si="24"/>
        <v>Apridonidze T</v>
      </c>
      <c r="I237" s="1" t="str">
        <f t="shared" si="28"/>
        <v>2005</v>
      </c>
      <c r="J237" s="1" t="str">
        <f t="shared" si="25"/>
        <v>Apridonidze T et al., 2005</v>
      </c>
      <c r="K237" s="9" t="s">
        <v>1523</v>
      </c>
      <c r="L237" s="10">
        <v>15623819</v>
      </c>
    </row>
    <row r="238" spans="1:15" ht="30" hidden="1" x14ac:dyDescent="0.25">
      <c r="A238" s="1">
        <f>INDEX(rq_evidence_review!A:A, MATCH(B238, rq_evidence_review!B:B, 0))</f>
        <v>1</v>
      </c>
      <c r="B238" s="6" t="str">
        <f>rq_evidence_review!B11</f>
        <v>1.9.2</v>
      </c>
      <c r="C238" s="1">
        <f t="shared" si="29"/>
        <v>235</v>
      </c>
      <c r="D238" s="1">
        <f>VLOOKUP(B238,rq_evidence_review!$B$1:$L$55,7,FALSE)</f>
        <v>6</v>
      </c>
      <c r="E238" s="8" t="s">
        <v>537</v>
      </c>
      <c r="F238" s="1" t="str">
        <f t="shared" si="23"/>
        <v/>
      </c>
      <c r="H238" s="1" t="str">
        <f t="shared" si="24"/>
        <v>Altemimi MT</v>
      </c>
      <c r="I238" s="1" t="str">
        <f t="shared" si="28"/>
        <v>2021</v>
      </c>
      <c r="J238" s="1" t="str">
        <f t="shared" si="25"/>
        <v>Altemimi MT et al., 2021</v>
      </c>
      <c r="K238" s="9" t="s">
        <v>1524</v>
      </c>
      <c r="L238" s="1" t="str">
        <f t="shared" si="27"/>
        <v/>
      </c>
    </row>
    <row r="239" spans="1:15" ht="45" hidden="1" x14ac:dyDescent="0.25">
      <c r="A239" s="1">
        <f>INDEX(rq_evidence_review!A:A, MATCH(B239, rq_evidence_review!B:B, 0))</f>
        <v>1</v>
      </c>
      <c r="B239" s="6" t="s">
        <v>19</v>
      </c>
      <c r="C239" s="1">
        <f t="shared" si="29"/>
        <v>236</v>
      </c>
      <c r="D239" s="1">
        <f>VLOOKUP(B239,rq_evidence_review!$B$1:$L$55,7,FALSE)</f>
        <v>6</v>
      </c>
      <c r="E239" s="8" t="s">
        <v>538</v>
      </c>
      <c r="F239" s="1" t="str">
        <f t="shared" si="23"/>
        <v/>
      </c>
      <c r="H239" s="1" t="str">
        <f t="shared" si="24"/>
        <v>Ortiz-Flores AE</v>
      </c>
      <c r="I239" s="1" t="str">
        <f t="shared" si="28"/>
        <v>2019</v>
      </c>
      <c r="J239" s="1" t="str">
        <f t="shared" si="25"/>
        <v>Ortiz-Flores AE et al., 2019</v>
      </c>
      <c r="K239" s="1" t="str">
        <f>ExtractDOI(E239)</f>
        <v>10.1016/j.metabol.2019.01.015</v>
      </c>
      <c r="L239" s="1" t="str">
        <f t="shared" si="27"/>
        <v>30710572</v>
      </c>
    </row>
    <row r="240" spans="1:15" ht="30" hidden="1" x14ac:dyDescent="0.25">
      <c r="A240" s="1">
        <f>INDEX(rq_evidence_review!A:A, MATCH(B240, rq_evidence_review!B:B, 0))</f>
        <v>1</v>
      </c>
      <c r="B240" s="6" t="s">
        <v>19</v>
      </c>
      <c r="C240" s="1">
        <f t="shared" si="29"/>
        <v>237</v>
      </c>
      <c r="D240" s="1">
        <f>VLOOKUP(B240,rq_evidence_review!$B$1:$L$55,7,FALSE)</f>
        <v>6</v>
      </c>
      <c r="E240" s="8" t="s">
        <v>539</v>
      </c>
      <c r="F240" s="1" t="str">
        <f t="shared" si="23"/>
        <v/>
      </c>
      <c r="H240" s="1" t="str">
        <f t="shared" si="24"/>
        <v>Lerchbaum E</v>
      </c>
      <c r="I240" s="1" t="str">
        <f t="shared" si="28"/>
        <v>2013</v>
      </c>
      <c r="J240" s="1" t="str">
        <f t="shared" si="25"/>
        <v>Lerchbaum E et al., 2013</v>
      </c>
      <c r="K240" s="9" t="s">
        <v>1525</v>
      </c>
      <c r="L240" s="1" t="str">
        <f t="shared" si="27"/>
        <v/>
      </c>
    </row>
    <row r="241" spans="1:12" ht="30" hidden="1" x14ac:dyDescent="0.25">
      <c r="A241" s="1">
        <f>INDEX(rq_evidence_review!A:A, MATCH(B241, rq_evidence_review!B:B, 0))</f>
        <v>1</v>
      </c>
      <c r="B241" s="6" t="s">
        <v>19</v>
      </c>
      <c r="C241" s="1">
        <f t="shared" si="29"/>
        <v>238</v>
      </c>
      <c r="D241" s="1">
        <f>VLOOKUP(B241,rq_evidence_review!$B$1:$L$55,7,FALSE)</f>
        <v>6</v>
      </c>
      <c r="E241" s="8" t="s">
        <v>540</v>
      </c>
      <c r="F241" s="1" t="str">
        <f t="shared" si="23"/>
        <v/>
      </c>
      <c r="H241" s="1" t="str">
        <f t="shared" si="24"/>
        <v>Li HW</v>
      </c>
      <c r="I241" s="1" t="str">
        <f t="shared" si="28"/>
        <v>2015</v>
      </c>
      <c r="J241" s="1" t="str">
        <f t="shared" si="25"/>
        <v>Li HW et al., 2015</v>
      </c>
      <c r="K241" s="9" t="s">
        <v>1526</v>
      </c>
      <c r="L241" s="1" t="str">
        <f t="shared" si="27"/>
        <v/>
      </c>
    </row>
    <row r="242" spans="1:12" ht="30" hidden="1" x14ac:dyDescent="0.25">
      <c r="A242" s="1">
        <f>INDEX(rq_evidence_review!A:A, MATCH(B242, rq_evidence_review!B:B, 0))</f>
        <v>1</v>
      </c>
      <c r="B242" s="6" t="s">
        <v>19</v>
      </c>
      <c r="C242" s="1">
        <f t="shared" si="29"/>
        <v>239</v>
      </c>
      <c r="D242" s="1">
        <f>VLOOKUP(B242,rq_evidence_review!$B$1:$L$55,7,FALSE)</f>
        <v>6</v>
      </c>
      <c r="E242" s="8" t="s">
        <v>541</v>
      </c>
      <c r="F242" s="1" t="str">
        <f t="shared" si="23"/>
        <v/>
      </c>
      <c r="H242" s="1" t="str">
        <f t="shared" si="24"/>
        <v>Magnussen LV</v>
      </c>
      <c r="I242" s="1" t="str">
        <f t="shared" si="28"/>
        <v>2011</v>
      </c>
      <c r="J242" s="1" t="str">
        <f t="shared" si="25"/>
        <v>Magnussen LV et al., 2011</v>
      </c>
      <c r="K242" s="9" t="s">
        <v>1527</v>
      </c>
      <c r="L242" s="1" t="str">
        <f t="shared" si="27"/>
        <v/>
      </c>
    </row>
    <row r="243" spans="1:12" ht="30" hidden="1" x14ac:dyDescent="0.25">
      <c r="A243" s="1">
        <f>INDEX(rq_evidence_review!A:A, MATCH(B243, rq_evidence_review!B:B, 0))</f>
        <v>1</v>
      </c>
      <c r="B243" s="6" t="s">
        <v>19</v>
      </c>
      <c r="C243" s="1">
        <f t="shared" si="29"/>
        <v>240</v>
      </c>
      <c r="D243" s="1">
        <f>VLOOKUP(B243,rq_evidence_review!$B$1:$L$55,7,FALSE)</f>
        <v>6</v>
      </c>
      <c r="E243" s="8" t="s">
        <v>542</v>
      </c>
      <c r="F243" s="1" t="str">
        <f t="shared" si="23"/>
        <v/>
      </c>
      <c r="H243" s="1" t="str">
        <f t="shared" si="24"/>
        <v>Zhen Y</v>
      </c>
      <c r="I243" s="1" t="str">
        <f t="shared" si="28"/>
        <v>2014</v>
      </c>
      <c r="J243" s="1" t="str">
        <f t="shared" si="25"/>
        <v>Zhen Y et al., 2014</v>
      </c>
      <c r="K243" s="9" t="s">
        <v>1528</v>
      </c>
      <c r="L243" s="1" t="str">
        <f t="shared" si="27"/>
        <v/>
      </c>
    </row>
    <row r="244" spans="1:12" ht="45" hidden="1" x14ac:dyDescent="0.25">
      <c r="A244" s="1">
        <f>INDEX(rq_evidence_review!A:A, MATCH(B244, rq_evidence_review!B:B, 0))</f>
        <v>1</v>
      </c>
      <c r="B244" s="6" t="str">
        <f>rq_evidence_review!B12</f>
        <v>1.10.</v>
      </c>
      <c r="C244" s="1">
        <f t="shared" si="29"/>
        <v>241</v>
      </c>
      <c r="D244" s="1">
        <f>VLOOKUP(B244,rq_evidence_review!$B$1:$L$55,7,FALSE)</f>
        <v>10</v>
      </c>
      <c r="E244" s="8" t="s">
        <v>543</v>
      </c>
      <c r="F244" s="1" t="str">
        <f t="shared" si="23"/>
        <v/>
      </c>
      <c r="H244" s="1" t="str">
        <f t="shared" si="24"/>
        <v>de Sousa G</v>
      </c>
      <c r="I244" s="1" t="str">
        <f t="shared" si="28"/>
        <v>2011</v>
      </c>
      <c r="J244" s="1" t="str">
        <f t="shared" si="25"/>
        <v>de Sousa G et al., 2011</v>
      </c>
      <c r="K244" s="1" t="str">
        <f t="shared" ref="K244:K258" si="30">ExtractDOI(E244)</f>
        <v>10.1111/j.1365-2869.2010.00902.x</v>
      </c>
      <c r="L244" s="1" t="str">
        <f t="shared" si="27"/>
        <v>21199038</v>
      </c>
    </row>
    <row r="245" spans="1:12" ht="30" hidden="1" x14ac:dyDescent="0.25">
      <c r="A245" s="1">
        <f>INDEX(rq_evidence_review!A:A, MATCH(B245, rq_evidence_review!B:B, 0))</f>
        <v>1</v>
      </c>
      <c r="B245" s="6" t="s">
        <v>22</v>
      </c>
      <c r="C245" s="1">
        <f t="shared" si="29"/>
        <v>242</v>
      </c>
      <c r="D245" s="1">
        <f>VLOOKUP(B245,rq_evidence_review!$B$1:$L$55,7,FALSE)</f>
        <v>10</v>
      </c>
      <c r="E245" s="8" t="s">
        <v>544</v>
      </c>
      <c r="F245" s="1" t="str">
        <f t="shared" si="23"/>
        <v/>
      </c>
      <c r="H245" s="1" t="str">
        <f t="shared" si="24"/>
        <v>Fogel RB</v>
      </c>
      <c r="I245" s="1" t="str">
        <f t="shared" si="28"/>
        <v>2001</v>
      </c>
      <c r="J245" s="1" t="str">
        <f t="shared" si="25"/>
        <v>Fogel RB et al., 2001</v>
      </c>
      <c r="K245" s="1" t="str">
        <f t="shared" si="30"/>
        <v>10.1210/jcem.86.3.7316</v>
      </c>
      <c r="L245" s="1" t="str">
        <f t="shared" si="27"/>
        <v>11238505</v>
      </c>
    </row>
    <row r="246" spans="1:12" ht="30" hidden="1" x14ac:dyDescent="0.25">
      <c r="A246" s="1">
        <f>INDEX(rq_evidence_review!A:A, MATCH(B246, rq_evidence_review!B:B, 0))</f>
        <v>1</v>
      </c>
      <c r="B246" s="6" t="s">
        <v>22</v>
      </c>
      <c r="C246" s="1">
        <f t="shared" si="29"/>
        <v>243</v>
      </c>
      <c r="D246" s="1">
        <f>VLOOKUP(B246,rq_evidence_review!$B$1:$L$55,7,FALSE)</f>
        <v>10</v>
      </c>
      <c r="E246" s="8" t="s">
        <v>545</v>
      </c>
      <c r="F246" s="1" t="str">
        <f t="shared" si="23"/>
        <v/>
      </c>
      <c r="H246" s="1" t="str">
        <f t="shared" si="24"/>
        <v>Hachul H</v>
      </c>
      <c r="I246" s="1" t="str">
        <f t="shared" si="28"/>
        <v>1992</v>
      </c>
      <c r="J246" s="1" t="str">
        <f t="shared" si="25"/>
        <v>Hachul H et al., 1992</v>
      </c>
      <c r="K246" s="1" t="str">
        <f t="shared" si="30"/>
        <v>10.1590/1806-9282.65.3.375</v>
      </c>
      <c r="L246" s="1" t="str">
        <f t="shared" si="27"/>
        <v>30994836</v>
      </c>
    </row>
    <row r="247" spans="1:12" ht="30" hidden="1" x14ac:dyDescent="0.25">
      <c r="A247" s="1">
        <f>INDEX(rq_evidence_review!A:A, MATCH(B247, rq_evidence_review!B:B, 0))</f>
        <v>1</v>
      </c>
      <c r="B247" s="6" t="s">
        <v>22</v>
      </c>
      <c r="C247" s="1">
        <f t="shared" si="29"/>
        <v>244</v>
      </c>
      <c r="D247" s="1">
        <f>VLOOKUP(B247,rq_evidence_review!$B$1:$L$55,7,FALSE)</f>
        <v>10</v>
      </c>
      <c r="E247" s="8" t="s">
        <v>546</v>
      </c>
      <c r="F247" s="1" t="str">
        <f t="shared" si="23"/>
        <v/>
      </c>
      <c r="H247" s="1" t="str">
        <f t="shared" si="24"/>
        <v>Helvaci N</v>
      </c>
      <c r="I247" s="1" t="str">
        <f t="shared" si="28"/>
        <v>2017</v>
      </c>
      <c r="J247" s="1" t="str">
        <f t="shared" si="25"/>
        <v>Helvaci N et al., 2017</v>
      </c>
      <c r="K247" s="1" t="str">
        <f t="shared" si="30"/>
        <v>10.1530/EC-17-0129</v>
      </c>
      <c r="L247" s="1" t="str">
        <f t="shared" si="27"/>
        <v>28739562</v>
      </c>
    </row>
    <row r="248" spans="1:12" ht="30" hidden="1" x14ac:dyDescent="0.25">
      <c r="A248" s="1">
        <f>INDEX(rq_evidence_review!A:A, MATCH(B248, rq_evidence_review!B:B, 0))</f>
        <v>1</v>
      </c>
      <c r="B248" s="6" t="s">
        <v>22</v>
      </c>
      <c r="C248" s="1">
        <f t="shared" si="29"/>
        <v>245</v>
      </c>
      <c r="D248" s="1">
        <f>VLOOKUP(B248,rq_evidence_review!$B$1:$L$55,7,FALSE)</f>
        <v>10</v>
      </c>
      <c r="E248" s="8" t="s">
        <v>547</v>
      </c>
      <c r="F248" s="1" t="str">
        <f t="shared" si="23"/>
        <v/>
      </c>
      <c r="H248" s="1" t="str">
        <f t="shared" si="24"/>
        <v>Nandalike K</v>
      </c>
      <c r="I248" s="1" t="str">
        <f t="shared" si="28"/>
        <v>2012</v>
      </c>
      <c r="J248" s="1" t="str">
        <f t="shared" si="25"/>
        <v>Nandalike K et al., 2012</v>
      </c>
      <c r="K248" s="1" t="str">
        <f t="shared" si="30"/>
        <v>10.1016/j.sleep.2012.07.002</v>
      </c>
      <c r="L248" s="1" t="str">
        <f t="shared" si="27"/>
        <v>22921588</v>
      </c>
    </row>
    <row r="249" spans="1:12" ht="30" hidden="1" x14ac:dyDescent="0.25">
      <c r="A249" s="1">
        <f>INDEX(rq_evidence_review!A:A, MATCH(B249, rq_evidence_review!B:B, 0))</f>
        <v>1</v>
      </c>
      <c r="B249" s="6" t="s">
        <v>22</v>
      </c>
      <c r="C249" s="1">
        <f t="shared" si="29"/>
        <v>246</v>
      </c>
      <c r="D249" s="1">
        <f>VLOOKUP(B249,rq_evidence_review!$B$1:$L$55,7,FALSE)</f>
        <v>10</v>
      </c>
      <c r="E249" s="8" t="s">
        <v>548</v>
      </c>
      <c r="F249" s="1" t="str">
        <f t="shared" si="23"/>
        <v/>
      </c>
      <c r="H249" s="1" t="str">
        <f t="shared" si="24"/>
        <v>Suri J</v>
      </c>
      <c r="I249" s="1" t="str">
        <f t="shared" si="28"/>
        <v>2016</v>
      </c>
      <c r="J249" s="1" t="str">
        <f t="shared" si="25"/>
        <v>Suri J et al., 2016</v>
      </c>
      <c r="K249" s="1" t="str">
        <f t="shared" si="30"/>
        <v>10.1016/j.sleep.2016.02.014</v>
      </c>
      <c r="L249" s="1" t="str">
        <f t="shared" si="27"/>
        <v>27810183</v>
      </c>
    </row>
    <row r="250" spans="1:12" ht="45" hidden="1" x14ac:dyDescent="0.25">
      <c r="A250" s="1">
        <f>INDEX(rq_evidence_review!A:A, MATCH(B250, rq_evidence_review!B:B, 0))</f>
        <v>1</v>
      </c>
      <c r="B250" s="6" t="s">
        <v>22</v>
      </c>
      <c r="C250" s="1">
        <f t="shared" si="29"/>
        <v>247</v>
      </c>
      <c r="D250" s="1">
        <f>VLOOKUP(B250,rq_evidence_review!$B$1:$L$55,7,FALSE)</f>
        <v>10</v>
      </c>
      <c r="E250" s="8" t="s">
        <v>549</v>
      </c>
      <c r="F250" s="1" t="str">
        <f t="shared" si="23"/>
        <v/>
      </c>
      <c r="H250" s="1" t="str">
        <f t="shared" si="24"/>
        <v>Tasali E</v>
      </c>
      <c r="I250" s="1" t="str">
        <f t="shared" si="28"/>
        <v>2008</v>
      </c>
      <c r="J250" s="1" t="str">
        <f t="shared" si="25"/>
        <v>Tasali E et al., 2008</v>
      </c>
      <c r="K250" s="1" t="str">
        <f t="shared" si="30"/>
        <v>10.1210/jc.2008-0925</v>
      </c>
      <c r="L250" s="1" t="str">
        <f t="shared" si="27"/>
        <v>18647805</v>
      </c>
    </row>
    <row r="251" spans="1:12" ht="30" hidden="1" x14ac:dyDescent="0.25">
      <c r="A251" s="1">
        <f>INDEX(rq_evidence_review!A:A, MATCH(B251, rq_evidence_review!B:B, 0))</f>
        <v>1</v>
      </c>
      <c r="B251" s="6" t="s">
        <v>22</v>
      </c>
      <c r="C251" s="1">
        <f t="shared" si="29"/>
        <v>248</v>
      </c>
      <c r="D251" s="1">
        <f>VLOOKUP(B251,rq_evidence_review!$B$1:$L$55,7,FALSE)</f>
        <v>10</v>
      </c>
      <c r="E251" s="8" t="s">
        <v>550</v>
      </c>
      <c r="F251" s="1" t="str">
        <f t="shared" si="23"/>
        <v/>
      </c>
      <c r="H251" s="1" t="str">
        <f t="shared" si="24"/>
        <v>Vgontzas AN</v>
      </c>
      <c r="I251" s="1" t="str">
        <f t="shared" si="28"/>
        <v>2001</v>
      </c>
      <c r="J251" s="1" t="str">
        <f t="shared" si="25"/>
        <v>Vgontzas AN et al., 2001</v>
      </c>
      <c r="K251" s="1" t="str">
        <f t="shared" si="30"/>
        <v>10.1210/jcem.86.2.7185</v>
      </c>
      <c r="L251" s="1" t="str">
        <f t="shared" si="27"/>
        <v>11158002</v>
      </c>
    </row>
    <row r="252" spans="1:12" ht="30" hidden="1" x14ac:dyDescent="0.25">
      <c r="A252" s="1">
        <f>INDEX(rq_evidence_review!A:A, MATCH(B252, rq_evidence_review!B:B, 0))</f>
        <v>1</v>
      </c>
      <c r="B252" s="6" t="s">
        <v>22</v>
      </c>
      <c r="C252" s="1">
        <f t="shared" si="29"/>
        <v>249</v>
      </c>
      <c r="D252" s="1">
        <f>VLOOKUP(B252,rq_evidence_review!$B$1:$L$55,7,FALSE)</f>
        <v>10</v>
      </c>
      <c r="E252" s="8" t="s">
        <v>551</v>
      </c>
      <c r="F252" s="1" t="str">
        <f t="shared" si="23"/>
        <v/>
      </c>
      <c r="H252" s="1" t="str">
        <f t="shared" si="24"/>
        <v>Yang HP</v>
      </c>
      <c r="I252" s="1" t="str">
        <f t="shared" si="28"/>
        <v>2009</v>
      </c>
      <c r="J252" s="1" t="str">
        <f t="shared" si="25"/>
        <v>Yang HP et al., 2009</v>
      </c>
      <c r="K252" s="1" t="str">
        <f t="shared" si="30"/>
        <v>10.1016/j.ijgo.2009.02.004</v>
      </c>
      <c r="L252" s="1" t="str">
        <f t="shared" si="27"/>
        <v>19345941</v>
      </c>
    </row>
    <row r="253" spans="1:12" ht="45" hidden="1" x14ac:dyDescent="0.25">
      <c r="A253" s="1">
        <f>INDEX(rq_evidence_review!A:A, MATCH(B253, rq_evidence_review!B:B, 0))</f>
        <v>1</v>
      </c>
      <c r="B253" s="6" t="s">
        <v>22</v>
      </c>
      <c r="C253" s="1">
        <f t="shared" si="29"/>
        <v>250</v>
      </c>
      <c r="D253" s="1">
        <f>VLOOKUP(B253,rq_evidence_review!$B$1:$L$55,7,FALSE)</f>
        <v>10</v>
      </c>
      <c r="E253" s="8" t="s">
        <v>552</v>
      </c>
      <c r="F253" s="1" t="str">
        <f t="shared" si="23"/>
        <v/>
      </c>
      <c r="H253" s="1" t="str">
        <f t="shared" si="24"/>
        <v>Kahal H</v>
      </c>
      <c r="I253" s="1" t="str">
        <f t="shared" si="28"/>
        <v>2020</v>
      </c>
      <c r="J253" s="1" t="str">
        <f t="shared" si="25"/>
        <v>Kahal H et al., 2020</v>
      </c>
      <c r="K253" s="1" t="str">
        <f t="shared" si="30"/>
        <v>10.1007/s11325-019-01835-1</v>
      </c>
      <c r="L253" s="1" t="str">
        <f t="shared" si="27"/>
        <v>31111411</v>
      </c>
    </row>
    <row r="254" spans="1:12" ht="30" hidden="1" x14ac:dyDescent="0.25">
      <c r="A254" s="1">
        <f>INDEX(rq_evidence_review!A:A, MATCH(B254, rq_evidence_review!B:B, 0))</f>
        <v>1</v>
      </c>
      <c r="B254" s="6">
        <f>rq_evidence_review!B13</f>
        <v>1.1100000000000001</v>
      </c>
      <c r="C254" s="1">
        <f t="shared" si="29"/>
        <v>251</v>
      </c>
      <c r="D254" s="1">
        <f>VLOOKUP(B254,rq_evidence_review!$B$1:$L$55,7,FALSE)</f>
        <v>23</v>
      </c>
      <c r="E254" s="8" t="s">
        <v>553</v>
      </c>
      <c r="F254" s="1" t="str">
        <f t="shared" si="23"/>
        <v/>
      </c>
      <c r="H254" s="1" t="str">
        <f t="shared" si="24"/>
        <v>Aldarazi K</v>
      </c>
      <c r="I254" s="1" t="str">
        <f t="shared" si="28"/>
        <v>2022</v>
      </c>
      <c r="J254" s="1" t="str">
        <f t="shared" si="25"/>
        <v>Aldarazi K et al., 2022</v>
      </c>
      <c r="K254" s="1" t="str">
        <f t="shared" si="30"/>
        <v>10.1016/j.jogoh.2022.102337</v>
      </c>
      <c r="L254" s="1" t="str">
        <f t="shared" si="27"/>
        <v>35151930</v>
      </c>
    </row>
    <row r="255" spans="1:12" ht="45" hidden="1" x14ac:dyDescent="0.25">
      <c r="A255" s="1">
        <f>INDEX(rq_evidence_review!A:A, MATCH(B255, rq_evidence_review!B:B, 0))</f>
        <v>1</v>
      </c>
      <c r="B255" s="6">
        <v>1.1100000000000001</v>
      </c>
      <c r="C255" s="1">
        <f t="shared" si="29"/>
        <v>252</v>
      </c>
      <c r="D255" s="1">
        <f>VLOOKUP(B255,rq_evidence_review!$B$1:$L$55,7,FALSE)</f>
        <v>23</v>
      </c>
      <c r="E255" s="8" t="s">
        <v>554</v>
      </c>
      <c r="F255" s="1" t="str">
        <f t="shared" si="23"/>
        <v/>
      </c>
      <c r="H255" s="1" t="str">
        <f t="shared" si="24"/>
        <v>Beavis AL</v>
      </c>
      <c r="I255" s="1" t="str">
        <f t="shared" si="28"/>
        <v>2020</v>
      </c>
      <c r="J255" s="1" t="str">
        <f t="shared" si="25"/>
        <v>Beavis AL et al., 2020</v>
      </c>
      <c r="K255" s="1" t="str">
        <f t="shared" si="30"/>
        <v>10.1016/j.gore.2020.100643</v>
      </c>
      <c r="L255" s="1" t="str">
        <f t="shared" si="27"/>
        <v>32995455</v>
      </c>
    </row>
    <row r="256" spans="1:12" ht="30" hidden="1" x14ac:dyDescent="0.25">
      <c r="A256" s="1">
        <f>INDEX(rq_evidence_review!A:A, MATCH(B256, rq_evidence_review!B:B, 0))</f>
        <v>1</v>
      </c>
      <c r="B256" s="6">
        <v>1.1100000000000001</v>
      </c>
      <c r="C256" s="1">
        <f t="shared" si="29"/>
        <v>253</v>
      </c>
      <c r="D256" s="1">
        <f>VLOOKUP(B256,rq_evidence_review!$B$1:$L$55,7,FALSE)</f>
        <v>23</v>
      </c>
      <c r="E256" s="8" t="s">
        <v>555</v>
      </c>
      <c r="F256" s="1" t="str">
        <f t="shared" si="23"/>
        <v/>
      </c>
      <c r="H256" s="1" t="str">
        <f t="shared" si="24"/>
        <v>Ding DC</v>
      </c>
      <c r="I256" s="1" t="str">
        <f t="shared" si="28"/>
        <v>2018</v>
      </c>
      <c r="J256" s="1" t="str">
        <f t="shared" si="25"/>
        <v>Ding DC et al., 2018</v>
      </c>
      <c r="K256" s="1" t="str">
        <f t="shared" si="30"/>
        <v>10.1097/MD.0000000000012608</v>
      </c>
      <c r="L256" s="1" t="str">
        <f t="shared" si="27"/>
        <v/>
      </c>
    </row>
    <row r="257" spans="1:14" ht="45" hidden="1" x14ac:dyDescent="0.25">
      <c r="A257" s="1">
        <f>INDEX(rq_evidence_review!A:A, MATCH(B257, rq_evidence_review!B:B, 0))</f>
        <v>1</v>
      </c>
      <c r="B257" s="6">
        <v>1.1100000000000001</v>
      </c>
      <c r="C257" s="1">
        <f t="shared" si="29"/>
        <v>254</v>
      </c>
      <c r="D257" s="1">
        <f>VLOOKUP(B257,rq_evidence_review!$B$1:$L$55,7,FALSE)</f>
        <v>23</v>
      </c>
      <c r="E257" s="8" t="s">
        <v>556</v>
      </c>
      <c r="F257" s="1" t="str">
        <f t="shared" si="23"/>
        <v/>
      </c>
      <c r="H257" s="1" t="str">
        <f t="shared" si="24"/>
        <v>Elfayomy AK</v>
      </c>
      <c r="I257" s="1" t="str">
        <f t="shared" si="28"/>
        <v>2015</v>
      </c>
      <c r="J257" s="1" t="str">
        <f t="shared" si="25"/>
        <v>Elfayomy AK et al., 2015</v>
      </c>
      <c r="K257" s="1" t="str">
        <f t="shared" si="30"/>
        <v>10.1007/s13224-014-0576-6</v>
      </c>
      <c r="L257" s="1" t="str">
        <f t="shared" si="27"/>
        <v>26085741</v>
      </c>
    </row>
    <row r="258" spans="1:14" ht="30" hidden="1" x14ac:dyDescent="0.25">
      <c r="A258" s="1">
        <f>INDEX(rq_evidence_review!A:A, MATCH(B258, rq_evidence_review!B:B, 0))</f>
        <v>1</v>
      </c>
      <c r="B258" s="6">
        <v>1.1100000000000001</v>
      </c>
      <c r="C258" s="1">
        <f t="shared" si="29"/>
        <v>255</v>
      </c>
      <c r="D258" s="1">
        <f>VLOOKUP(B258,rq_evidence_review!$B$1:$L$55,7,FALSE)</f>
        <v>23</v>
      </c>
      <c r="E258" s="8" t="s">
        <v>557</v>
      </c>
      <c r="F258" s="1" t="str">
        <f t="shared" si="23"/>
        <v/>
      </c>
      <c r="H258" s="1" t="str">
        <f t="shared" si="24"/>
        <v>Escobedo LG</v>
      </c>
      <c r="I258" s="1" t="str">
        <f t="shared" si="28"/>
        <v>1991</v>
      </c>
      <c r="J258" s="1" t="str">
        <f t="shared" si="25"/>
        <v>Escobedo LG et al., 1991</v>
      </c>
      <c r="K258" s="1" t="str">
        <f t="shared" si="30"/>
        <v/>
      </c>
      <c r="L258" s="1" t="str">
        <f t="shared" si="27"/>
        <v>1984211</v>
      </c>
    </row>
    <row r="259" spans="1:14" ht="45" hidden="1" x14ac:dyDescent="0.25">
      <c r="A259" s="1">
        <f>INDEX(rq_evidence_review!A:A, MATCH(B259, rq_evidence_review!B:B, 0))</f>
        <v>1</v>
      </c>
      <c r="B259" s="6">
        <v>1.1100000000000001</v>
      </c>
      <c r="C259" s="1">
        <f t="shared" si="29"/>
        <v>256</v>
      </c>
      <c r="D259" s="1">
        <f>VLOOKUP(B259,rq_evidence_review!$B$1:$L$55,7,FALSE)</f>
        <v>23</v>
      </c>
      <c r="E259" s="8" t="s">
        <v>558</v>
      </c>
      <c r="F259" s="1" t="str">
        <f t="shared" ref="F259:F278" si="31">IF(ISNUMBER(SEARCH("primary citation", E259)), "primary_citation", "")</f>
        <v/>
      </c>
      <c r="H259" s="1" t="str">
        <f t="shared" ref="H259:H351" si="32">LEFT(E259, FIND(",", E259) - 1)</f>
        <v>Fearnley EJ</v>
      </c>
      <c r="I259" s="1" t="str">
        <f t="shared" si="28"/>
        <v>2010</v>
      </c>
      <c r="J259" s="1" t="str">
        <f t="shared" ref="J259:J351" si="33">H259 &amp; " et al., " &amp; I259</f>
        <v>Fearnley EJ et al., 2010</v>
      </c>
      <c r="K259" s="1" t="str">
        <f t="shared" ref="K259:K336" si="34">ExtractDOI(E259)</f>
        <v>10.1007/s10552-010-9658-7</v>
      </c>
      <c r="L259" s="1" t="str">
        <f t="shared" ref="L259:L351" si="35">ExtractPMID(E259)</f>
        <v>20953904</v>
      </c>
    </row>
    <row r="260" spans="1:14" ht="30" hidden="1" x14ac:dyDescent="0.25">
      <c r="A260" s="1">
        <f>INDEX(rq_evidence_review!A:A, MATCH(B260, rq_evidence_review!B:B, 0))</f>
        <v>1</v>
      </c>
      <c r="B260" s="6">
        <v>1.1100000000000001</v>
      </c>
      <c r="C260" s="1">
        <f t="shared" si="29"/>
        <v>257</v>
      </c>
      <c r="D260" s="1">
        <f>VLOOKUP(B260,rq_evidence_review!$B$1:$L$55,7,FALSE)</f>
        <v>23</v>
      </c>
      <c r="E260" s="8" t="s">
        <v>559</v>
      </c>
      <c r="F260" s="1" t="str">
        <f t="shared" si="31"/>
        <v/>
      </c>
      <c r="H260" s="1" t="str">
        <f t="shared" si="32"/>
        <v>Gottschau M</v>
      </c>
      <c r="I260" s="1" t="str">
        <f t="shared" ref="I260:I352" si="36">ExtractYear(E260)</f>
        <v>2015</v>
      </c>
      <c r="J260" s="1" t="str">
        <f t="shared" si="33"/>
        <v>Gottschau M et al., 2015</v>
      </c>
      <c r="K260" s="1" t="str">
        <f t="shared" si="34"/>
        <v>10.1016/j.ygyno.2014.11.012</v>
      </c>
      <c r="L260" s="1" t="str">
        <f t="shared" si="35"/>
        <v>25451694</v>
      </c>
    </row>
    <row r="261" spans="1:14" ht="45" hidden="1" x14ac:dyDescent="0.25">
      <c r="A261" s="1">
        <f>INDEX(rq_evidence_review!A:A, MATCH(B261, rq_evidence_review!B:B, 0))</f>
        <v>1</v>
      </c>
      <c r="B261" s="6">
        <v>1.1100000000000001</v>
      </c>
      <c r="C261" s="1">
        <f t="shared" si="29"/>
        <v>258</v>
      </c>
      <c r="D261" s="1">
        <f>VLOOKUP(B261,rq_evidence_review!$B$1:$L$55,7,FALSE)</f>
        <v>23</v>
      </c>
      <c r="E261" s="8" t="s">
        <v>560</v>
      </c>
      <c r="F261" s="1" t="str">
        <f t="shared" si="31"/>
        <v/>
      </c>
      <c r="H261" s="1" t="str">
        <f t="shared" si="32"/>
        <v>Hachisuga T</v>
      </c>
      <c r="I261" s="1" t="str">
        <f t="shared" si="36"/>
        <v>2001</v>
      </c>
      <c r="J261" s="1" t="str">
        <f t="shared" si="33"/>
        <v>Hachisuga T et al., 2001</v>
      </c>
      <c r="K261" s="1" t="str">
        <f t="shared" si="34"/>
        <v>10.1002/1097-0142(20011115)92:10</v>
      </c>
      <c r="L261" s="1" t="str">
        <f t="shared" si="35"/>
        <v>11745192</v>
      </c>
    </row>
    <row r="262" spans="1:14" hidden="1" x14ac:dyDescent="0.25">
      <c r="A262" s="1">
        <f>INDEX(rq_evidence_review!A:A, MATCH(B262, rq_evidence_review!B:B, 0))</f>
        <v>1</v>
      </c>
      <c r="B262" s="6">
        <v>1.1100000000000001</v>
      </c>
      <c r="C262" s="1">
        <f t="shared" si="29"/>
        <v>259</v>
      </c>
      <c r="D262" s="1">
        <f>VLOOKUP(B262,rq_evidence_review!$B$1:$L$55,7,FALSE)</f>
        <v>23</v>
      </c>
      <c r="E262" s="8" t="s">
        <v>561</v>
      </c>
      <c r="F262" s="1" t="str">
        <f t="shared" si="31"/>
        <v/>
      </c>
      <c r="H262" s="1" t="str">
        <f t="shared" si="32"/>
        <v>Ho SP</v>
      </c>
      <c r="I262" s="1" t="str">
        <f t="shared" si="36"/>
        <v>1997</v>
      </c>
      <c r="J262" s="1" t="str">
        <f t="shared" si="33"/>
        <v>Ho SP et al., 1997</v>
      </c>
      <c r="K262" s="1" t="str">
        <f t="shared" si="34"/>
        <v/>
      </c>
      <c r="L262" s="1" t="str">
        <f t="shared" si="35"/>
        <v>9269346</v>
      </c>
    </row>
    <row r="263" spans="1:14" hidden="1" x14ac:dyDescent="0.25">
      <c r="A263" s="1">
        <f>INDEX(rq_evidence_review!A:A, MATCH(B263, rq_evidence_review!B:B, 0))</f>
        <v>1</v>
      </c>
      <c r="B263" s="6">
        <v>1.1100000000000001</v>
      </c>
      <c r="C263" s="1">
        <f t="shared" si="29"/>
        <v>260</v>
      </c>
      <c r="D263" s="1">
        <f>VLOOKUP(B263,rq_evidence_review!$B$1:$L$55,7,FALSE)</f>
        <v>23</v>
      </c>
      <c r="E263" s="8" t="s">
        <v>562</v>
      </c>
      <c r="F263" s="1" t="str">
        <f t="shared" si="31"/>
        <v/>
      </c>
      <c r="H263" s="1" t="str">
        <f t="shared" si="32"/>
        <v>Iatrakis G</v>
      </c>
      <c r="I263" s="1" t="str">
        <f t="shared" si="36"/>
        <v>2006</v>
      </c>
      <c r="J263" s="1" t="str">
        <f t="shared" si="33"/>
        <v>Iatrakis G et al., 2006</v>
      </c>
      <c r="K263" s="1" t="str">
        <f t="shared" si="34"/>
        <v/>
      </c>
      <c r="L263" s="10">
        <v>17009635</v>
      </c>
      <c r="N263" s="1">
        <v>23955757</v>
      </c>
    </row>
    <row r="264" spans="1:14" ht="45" hidden="1" x14ac:dyDescent="0.25">
      <c r="A264" s="1">
        <f>INDEX(rq_evidence_review!A:A, MATCH(B264, rq_evidence_review!B:B, 0))</f>
        <v>1</v>
      </c>
      <c r="B264" s="6">
        <v>1.1100000000000001</v>
      </c>
      <c r="C264" s="1">
        <f t="shared" si="29"/>
        <v>261</v>
      </c>
      <c r="D264" s="1">
        <f>VLOOKUP(B264,rq_evidence_review!$B$1:$L$55,7,FALSE)</f>
        <v>23</v>
      </c>
      <c r="E264" s="8" t="s">
        <v>563</v>
      </c>
      <c r="F264" s="1" t="str">
        <f t="shared" si="31"/>
        <v/>
      </c>
      <c r="H264" s="1" t="str">
        <f t="shared" si="32"/>
        <v>Kilicdag EB</v>
      </c>
      <c r="I264" s="1" t="str">
        <f t="shared" si="36"/>
        <v>2011</v>
      </c>
      <c r="J264" s="1" t="str">
        <f t="shared" si="33"/>
        <v>Kilicdag EB et al., 2011</v>
      </c>
      <c r="K264" s="1" t="str">
        <f t="shared" si="34"/>
        <v>10.1016/j.ijgo.2010.10.014</v>
      </c>
      <c r="L264" s="1" t="str">
        <f t="shared" si="35"/>
        <v>21247566</v>
      </c>
    </row>
    <row r="265" spans="1:14" ht="45" hidden="1" x14ac:dyDescent="0.25">
      <c r="A265" s="1">
        <f>INDEX(rq_evidence_review!A:A, MATCH(B265, rq_evidence_review!B:B, 0))</f>
        <v>1</v>
      </c>
      <c r="B265" s="6">
        <v>1.1100000000000001</v>
      </c>
      <c r="C265" s="1">
        <f t="shared" si="29"/>
        <v>262</v>
      </c>
      <c r="D265" s="1">
        <f>VLOOKUP(B265,rq_evidence_review!$B$1:$L$55,7,FALSE)</f>
        <v>23</v>
      </c>
      <c r="E265" s="8" t="s">
        <v>564</v>
      </c>
      <c r="F265" s="1" t="str">
        <f t="shared" si="31"/>
        <v/>
      </c>
      <c r="H265" s="1" t="str">
        <f t="shared" si="32"/>
        <v>Okamura Y</v>
      </c>
      <c r="I265" s="1" t="str">
        <f t="shared" si="36"/>
        <v>2016</v>
      </c>
      <c r="J265" s="1" t="str">
        <f t="shared" si="33"/>
        <v>Okamura Y et al., 2016</v>
      </c>
      <c r="K265" s="1" t="str">
        <f t="shared" si="34"/>
        <v>10.1002/rmb2.12012</v>
      </c>
      <c r="L265" s="1" t="str">
        <f t="shared" si="35"/>
        <v>29259453</v>
      </c>
    </row>
    <row r="266" spans="1:14" ht="30" hidden="1" x14ac:dyDescent="0.25">
      <c r="A266" s="1">
        <f>INDEX(rq_evidence_review!A:A, MATCH(B266, rq_evidence_review!B:B, 0))</f>
        <v>1</v>
      </c>
      <c r="B266" s="6">
        <v>1.1100000000000001</v>
      </c>
      <c r="C266" s="1">
        <f t="shared" si="29"/>
        <v>263</v>
      </c>
      <c r="D266" s="1">
        <f>VLOOKUP(B266,rq_evidence_review!$B$1:$L$55,7,FALSE)</f>
        <v>23</v>
      </c>
      <c r="E266" s="8" t="s">
        <v>565</v>
      </c>
      <c r="F266" s="1" t="str">
        <f t="shared" si="31"/>
        <v/>
      </c>
      <c r="H266" s="1" t="str">
        <f t="shared" si="32"/>
        <v>Pillay OC</v>
      </c>
      <c r="I266" s="1" t="str">
        <f t="shared" si="36"/>
        <v>2006</v>
      </c>
      <c r="J266" s="1" t="str">
        <f t="shared" si="33"/>
        <v>Pillay OC et al., 2006</v>
      </c>
      <c r="K266" s="1" t="str">
        <f t="shared" si="34"/>
        <v>10.1093/humrep/dei420</v>
      </c>
      <c r="L266" s="1" t="str">
        <f t="shared" si="35"/>
        <v/>
      </c>
    </row>
    <row r="267" spans="1:14" ht="30" hidden="1" x14ac:dyDescent="0.25">
      <c r="A267" s="1">
        <f>INDEX(rq_evidence_review!A:A, MATCH(B267, rq_evidence_review!B:B, 0))</f>
        <v>1</v>
      </c>
      <c r="B267" s="6">
        <v>1.1100000000000001</v>
      </c>
      <c r="C267" s="1">
        <f t="shared" si="29"/>
        <v>264</v>
      </c>
      <c r="D267" s="1">
        <f>VLOOKUP(B267,rq_evidence_review!$B$1:$L$55,7,FALSE)</f>
        <v>23</v>
      </c>
      <c r="E267" s="8" t="s">
        <v>566</v>
      </c>
      <c r="F267" s="1" t="str">
        <f t="shared" si="31"/>
        <v/>
      </c>
      <c r="H267" s="1" t="str">
        <f t="shared" si="32"/>
        <v>Rosen</v>
      </c>
      <c r="I267" s="1" t="str">
        <f t="shared" si="36"/>
        <v>2019</v>
      </c>
      <c r="J267" s="1" t="str">
        <f t="shared" si="33"/>
        <v>Rosen et al., 2019</v>
      </c>
      <c r="K267" s="9" t="s">
        <v>1529</v>
      </c>
      <c r="L267" s="1" t="str">
        <f t="shared" si="35"/>
        <v/>
      </c>
    </row>
    <row r="268" spans="1:14" ht="30" hidden="1" x14ac:dyDescent="0.25">
      <c r="A268" s="1">
        <f>INDEX(rq_evidence_review!A:A, MATCH(B268, rq_evidence_review!B:B, 0))</f>
        <v>1</v>
      </c>
      <c r="B268" s="6">
        <v>1.1100000000000001</v>
      </c>
      <c r="C268" s="1">
        <f t="shared" si="29"/>
        <v>265</v>
      </c>
      <c r="D268" s="1">
        <f>VLOOKUP(B268,rq_evidence_review!$B$1:$L$55,7,FALSE)</f>
        <v>23</v>
      </c>
      <c r="E268" s="8" t="s">
        <v>567</v>
      </c>
      <c r="F268" s="1" t="str">
        <f t="shared" si="31"/>
        <v/>
      </c>
      <c r="H268" s="1" t="str">
        <f t="shared" si="32"/>
        <v>Shu XO</v>
      </c>
      <c r="I268" s="1" t="str">
        <f t="shared" si="36"/>
        <v>1991</v>
      </c>
      <c r="J268" s="1" t="str">
        <f t="shared" si="33"/>
        <v>Shu XO et al., 1991</v>
      </c>
      <c r="K268" s="1" t="str">
        <f t="shared" si="34"/>
        <v>10.1002/ijc.2910490108</v>
      </c>
      <c r="L268" s="1" t="str">
        <f t="shared" si="35"/>
        <v>1874568</v>
      </c>
    </row>
    <row r="269" spans="1:14" ht="30" hidden="1" x14ac:dyDescent="0.25">
      <c r="A269" s="1">
        <f>INDEX(rq_evidence_review!A:A, MATCH(B269, rq_evidence_review!B:B, 0))</f>
        <v>1</v>
      </c>
      <c r="B269" s="6">
        <v>1.1100000000000001</v>
      </c>
      <c r="C269" s="1">
        <f t="shared" si="29"/>
        <v>266</v>
      </c>
      <c r="D269" s="1">
        <f>VLOOKUP(B269,rq_evidence_review!$B$1:$L$55,7,FALSE)</f>
        <v>23</v>
      </c>
      <c r="E269" s="8" t="s">
        <v>568</v>
      </c>
      <c r="F269" s="1" t="str">
        <f t="shared" si="31"/>
        <v/>
      </c>
      <c r="H269" s="1" t="str">
        <f t="shared" si="32"/>
        <v>Uehara</v>
      </c>
      <c r="I269" s="1" t="str">
        <f t="shared" si="36"/>
        <v>2020</v>
      </c>
      <c r="J269" s="1" t="str">
        <f t="shared" si="33"/>
        <v>Uehara et al., 2020</v>
      </c>
      <c r="K269" s="1" t="str">
        <f t="shared" si="34"/>
        <v>10.31083/j.ejgo.2020.05.5038</v>
      </c>
      <c r="L269" s="1" t="str">
        <f t="shared" si="35"/>
        <v/>
      </c>
    </row>
    <row r="270" spans="1:14" ht="45" hidden="1" x14ac:dyDescent="0.25">
      <c r="A270" s="1">
        <f>INDEX(rq_evidence_review!A:A, MATCH(B270, rq_evidence_review!B:B, 0))</f>
        <v>1</v>
      </c>
      <c r="B270" s="6">
        <v>1.1100000000000001</v>
      </c>
      <c r="C270" s="1">
        <f t="shared" si="29"/>
        <v>267</v>
      </c>
      <c r="D270" s="1">
        <f>VLOOKUP(B270,rq_evidence_review!$B$1:$L$55,7,FALSE)</f>
        <v>23</v>
      </c>
      <c r="E270" s="8" t="s">
        <v>569</v>
      </c>
      <c r="F270" s="1" t="str">
        <f t="shared" si="31"/>
        <v/>
      </c>
      <c r="H270" s="1" t="str">
        <f t="shared" si="32"/>
        <v>Zucchetto A</v>
      </c>
      <c r="I270" s="1" t="str">
        <f t="shared" si="36"/>
        <v>2009</v>
      </c>
      <c r="J270" s="1" t="str">
        <f t="shared" si="33"/>
        <v>Zucchetto A et al., 2009</v>
      </c>
      <c r="K270" s="1" t="str">
        <f t="shared" si="34"/>
        <v>10.1097/cej.0b013e328329d830</v>
      </c>
      <c r="L270" s="1" t="str">
        <f t="shared" si="35"/>
        <v>19554665</v>
      </c>
    </row>
    <row r="271" spans="1:14" ht="30" hidden="1" x14ac:dyDescent="0.25">
      <c r="A271" s="1">
        <f>INDEX(rq_evidence_review!A:A, MATCH(B271, rq_evidence_review!B:B, 0))</f>
        <v>1</v>
      </c>
      <c r="B271" s="6">
        <v>1.1100000000000001</v>
      </c>
      <c r="C271" s="1">
        <f t="shared" si="29"/>
        <v>268</v>
      </c>
      <c r="D271" s="1">
        <f>VLOOKUP(B271,rq_evidence_review!$B$1:$L$55,7,FALSE)</f>
        <v>23</v>
      </c>
      <c r="E271" s="8" t="s">
        <v>570</v>
      </c>
      <c r="F271" s="1" t="str">
        <f t="shared" si="31"/>
        <v/>
      </c>
      <c r="G271" s="1" t="s">
        <v>65</v>
      </c>
      <c r="H271" s="1" t="str">
        <f t="shared" si="32"/>
        <v>Barry JA</v>
      </c>
      <c r="I271" s="1" t="str">
        <f t="shared" si="36"/>
        <v>2014</v>
      </c>
      <c r="J271" s="1" t="str">
        <f t="shared" si="33"/>
        <v>Barry JA et al., 2014</v>
      </c>
      <c r="K271" s="1" t="str">
        <f t="shared" si="34"/>
        <v>10.1093/humupd/dmu012</v>
      </c>
      <c r="L271" s="1" t="str">
        <f t="shared" si="35"/>
        <v/>
      </c>
    </row>
    <row r="272" spans="1:14" ht="30" hidden="1" x14ac:dyDescent="0.25">
      <c r="A272" s="1">
        <f>INDEX(rq_evidence_review!A:A, MATCH(B272, rq_evidence_review!B:B, 0))</f>
        <v>1</v>
      </c>
      <c r="B272" s="6">
        <v>1.1100000000000001</v>
      </c>
      <c r="C272" s="1">
        <f t="shared" si="29"/>
        <v>269</v>
      </c>
      <c r="D272" s="1">
        <f>VLOOKUP(B272,rq_evidence_review!$B$1:$L$55,7,FALSE)</f>
        <v>23</v>
      </c>
      <c r="E272" s="8" t="s">
        <v>571</v>
      </c>
      <c r="F272" s="1" t="str">
        <f t="shared" si="31"/>
        <v/>
      </c>
      <c r="G272" s="1" t="s">
        <v>65</v>
      </c>
      <c r="H272" s="1" t="str">
        <f t="shared" si="32"/>
        <v>Chittenden BG</v>
      </c>
      <c r="I272" s="1" t="str">
        <f t="shared" si="36"/>
        <v>2009</v>
      </c>
      <c r="J272" s="1" t="str">
        <f t="shared" si="33"/>
        <v>Chittenden BG et al., 2009</v>
      </c>
      <c r="K272" s="1" t="str">
        <f t="shared" si="34"/>
        <v>10.1016/s1472-6483(10)60175-7</v>
      </c>
      <c r="L272" s="1" t="str">
        <f t="shared" si="35"/>
        <v>19778486</v>
      </c>
    </row>
    <row r="273" spans="1:15" ht="30" hidden="1" x14ac:dyDescent="0.25">
      <c r="A273" s="1">
        <f>INDEX(rq_evidence_review!A:A, MATCH(B273, rq_evidence_review!B:B, 0))</f>
        <v>1</v>
      </c>
      <c r="B273" s="6">
        <v>1.1100000000000001</v>
      </c>
      <c r="C273" s="1">
        <f t="shared" si="29"/>
        <v>270</v>
      </c>
      <c r="D273" s="1">
        <f>VLOOKUP(B273,rq_evidence_review!$B$1:$L$55,7,FALSE)</f>
        <v>23</v>
      </c>
      <c r="E273" s="8" t="s">
        <v>572</v>
      </c>
      <c r="F273" s="1" t="str">
        <f t="shared" si="31"/>
        <v/>
      </c>
      <c r="G273" s="1" t="s">
        <v>65</v>
      </c>
      <c r="H273" s="1" t="str">
        <f t="shared" si="32"/>
        <v>Haoula Z</v>
      </c>
      <c r="I273" s="1" t="str">
        <f t="shared" si="36"/>
        <v>2012</v>
      </c>
      <c r="J273" s="1" t="str">
        <f t="shared" si="33"/>
        <v>Haoula Z et al., 2012</v>
      </c>
      <c r="K273" s="1" t="str">
        <f t="shared" si="34"/>
        <v>10.1093/humrep/des042</v>
      </c>
      <c r="L273" s="1" t="str">
        <f t="shared" si="35"/>
        <v>22367984</v>
      </c>
    </row>
    <row r="274" spans="1:15" ht="30" hidden="1" x14ac:dyDescent="0.25">
      <c r="A274" s="1">
        <f>INDEX(rq_evidence_review!A:A, MATCH(B274, rq_evidence_review!B:B, 0))</f>
        <v>1</v>
      </c>
      <c r="B274" s="6">
        <v>1.1100000000000001</v>
      </c>
      <c r="C274" s="1">
        <f t="shared" si="29"/>
        <v>271</v>
      </c>
      <c r="D274" s="1">
        <f>VLOOKUP(B274,rq_evidence_review!$B$1:$L$55,7,FALSE)</f>
        <v>23</v>
      </c>
      <c r="E274" s="8" t="s">
        <v>573</v>
      </c>
      <c r="F274" s="1" t="str">
        <f t="shared" si="31"/>
        <v/>
      </c>
      <c r="G274" s="1" t="s">
        <v>65</v>
      </c>
      <c r="H274" s="1" t="str">
        <f t="shared" si="32"/>
        <v>Li Z</v>
      </c>
      <c r="I274" s="1" t="str">
        <f t="shared" si="36"/>
        <v>2022</v>
      </c>
      <c r="J274" s="1" t="str">
        <f t="shared" si="33"/>
        <v>Li Z et al., 2022</v>
      </c>
      <c r="K274" s="1" t="str">
        <f t="shared" si="34"/>
        <v>10.1177/00369330221107099</v>
      </c>
      <c r="L274" s="1" t="str">
        <f t="shared" si="35"/>
        <v/>
      </c>
    </row>
    <row r="275" spans="1:15" ht="30" hidden="1" x14ac:dyDescent="0.25">
      <c r="A275" s="1">
        <f>INDEX(rq_evidence_review!A:A, MATCH(B275, rq_evidence_review!B:B, 0))</f>
        <v>1</v>
      </c>
      <c r="B275" s="6">
        <v>1.1100000000000001</v>
      </c>
      <c r="C275" s="1">
        <f t="shared" si="29"/>
        <v>272</v>
      </c>
      <c r="D275" s="1">
        <f>VLOOKUP(B275,rq_evidence_review!$B$1:$L$55,7,FALSE)</f>
        <v>23</v>
      </c>
      <c r="E275" s="8" t="s">
        <v>574</v>
      </c>
      <c r="F275" s="1" t="str">
        <f t="shared" si="31"/>
        <v/>
      </c>
      <c r="G275" s="1" t="s">
        <v>945</v>
      </c>
      <c r="H275" s="1" t="str">
        <f t="shared" si="32"/>
        <v>Niwa K</v>
      </c>
      <c r="I275" s="1" t="str">
        <f t="shared" si="36"/>
        <v>2000</v>
      </c>
      <c r="J275" s="1" t="str">
        <f t="shared" si="33"/>
        <v>Niwa K et al., 2000</v>
      </c>
      <c r="L275" s="1" t="str">
        <f t="shared" si="35"/>
        <v>10601598</v>
      </c>
    </row>
    <row r="276" spans="1:15" ht="30" hidden="1" x14ac:dyDescent="0.25">
      <c r="A276" s="1">
        <f>INDEX(rq_evidence_review!A:A, MATCH(B276, rq_evidence_review!B:B, 0))</f>
        <v>1</v>
      </c>
      <c r="B276" s="6">
        <v>1.1100000000000001</v>
      </c>
      <c r="C276" s="1">
        <f t="shared" si="29"/>
        <v>273</v>
      </c>
      <c r="D276" s="1">
        <f>VLOOKUP(B276,rq_evidence_review!$B$1:$L$55,7,FALSE)</f>
        <v>23</v>
      </c>
      <c r="E276" s="8" t="s">
        <v>575</v>
      </c>
      <c r="F276" s="1" t="str">
        <f t="shared" si="31"/>
        <v/>
      </c>
      <c r="G276" s="1" t="s">
        <v>945</v>
      </c>
      <c r="H276" s="1" t="str">
        <f t="shared" si="32"/>
        <v>Wild S</v>
      </c>
      <c r="I276" s="1" t="str">
        <f t="shared" si="36"/>
        <v>2000</v>
      </c>
      <c r="J276" s="1" t="str">
        <f t="shared" si="33"/>
        <v>Wild S et al., 2000</v>
      </c>
      <c r="K276" s="1" t="s">
        <v>1530</v>
      </c>
      <c r="L276" s="1" t="str">
        <f t="shared" si="35"/>
        <v/>
      </c>
    </row>
    <row r="277" spans="1:15" ht="45" hidden="1" x14ac:dyDescent="0.25">
      <c r="A277" s="1">
        <f>INDEX(rq_evidence_review!A:A, MATCH(B277, rq_evidence_review!B:B, 0))</f>
        <v>1</v>
      </c>
      <c r="B277" s="6">
        <f>rq_evidence_review!B14</f>
        <v>1.1200000000000001</v>
      </c>
      <c r="C277" s="1">
        <f t="shared" si="29"/>
        <v>274</v>
      </c>
      <c r="D277" s="1">
        <v>60</v>
      </c>
      <c r="E277" s="8" t="s">
        <v>576</v>
      </c>
      <c r="F277" s="1" t="str">
        <f t="shared" si="31"/>
        <v/>
      </c>
      <c r="H277" s="1" t="str">
        <f t="shared" si="32"/>
        <v>Baillargeon JP</v>
      </c>
      <c r="I277" s="1" t="str">
        <f t="shared" si="36"/>
        <v>2007</v>
      </c>
      <c r="J277" s="1" t="str">
        <f t="shared" si="33"/>
        <v>Baillargeon JP et al., 2007</v>
      </c>
      <c r="K277" s="1" t="str">
        <f t="shared" si="34"/>
        <v>10.1007/s00125-007-0831-9</v>
      </c>
      <c r="L277" s="1" t="str">
        <f t="shared" si="35"/>
        <v>17898989</v>
      </c>
    </row>
    <row r="278" spans="1:15" ht="45" hidden="1" x14ac:dyDescent="0.25">
      <c r="A278" s="1">
        <f>INDEX(rq_evidence_review!A:A, MATCH(B278, rq_evidence_review!B:B, 0))</f>
        <v>1</v>
      </c>
      <c r="B278" s="6">
        <v>1.1200000000000001</v>
      </c>
      <c r="C278" s="1">
        <f t="shared" si="29"/>
        <v>275</v>
      </c>
      <c r="D278" s="1">
        <v>60</v>
      </c>
      <c r="E278" s="8" t="s">
        <v>577</v>
      </c>
      <c r="F278" s="1" t="str">
        <f t="shared" si="31"/>
        <v/>
      </c>
      <c r="H278" s="1" t="str">
        <f t="shared" si="32"/>
        <v>Coviello AD</v>
      </c>
      <c r="I278" s="1" t="str">
        <f t="shared" si="36"/>
        <v>2009</v>
      </c>
      <c r="J278" s="1" t="str">
        <f t="shared" si="33"/>
        <v>Coviello AD et al., 2009</v>
      </c>
      <c r="K278" s="1" t="str">
        <f t="shared" si="34"/>
        <v>10.1210/jc.2009-1333</v>
      </c>
      <c r="L278" s="1" t="str">
        <f t="shared" si="35"/>
        <v>19837913</v>
      </c>
    </row>
    <row r="279" spans="1:15" ht="45" hidden="1" x14ac:dyDescent="0.25">
      <c r="A279" s="1">
        <f>INDEX(rq_evidence_review!A:A, MATCH(B279, rq_evidence_review!B:B, 0))</f>
        <v>1</v>
      </c>
      <c r="B279" s="6">
        <v>1.1200000000000001</v>
      </c>
      <c r="C279" s="1">
        <f t="shared" si="29"/>
        <v>276</v>
      </c>
      <c r="D279" s="1">
        <v>60</v>
      </c>
      <c r="E279" s="8" t="s">
        <v>1935</v>
      </c>
      <c r="F279" s="1" t="str">
        <f>IF(ISNUMBER(SEARCH("primary citation", E279)), "primary_citation", "")</f>
        <v>primary_citation</v>
      </c>
      <c r="H279" s="1" t="str">
        <f t="shared" si="32"/>
        <v>Crisosto N</v>
      </c>
      <c r="I279" s="1" t="str">
        <f t="shared" si="36"/>
        <v>2017</v>
      </c>
      <c r="J279" s="1" t="str">
        <f t="shared" si="33"/>
        <v>Crisosto N et al., 2017</v>
      </c>
      <c r="K279" s="1" t="str">
        <f t="shared" si="34"/>
        <v>10.1530/EC-17-0218</v>
      </c>
      <c r="L279" s="1" t="str">
        <f t="shared" si="35"/>
        <v>28912339</v>
      </c>
    </row>
    <row r="280" spans="1:15" ht="45" hidden="1" x14ac:dyDescent="0.25">
      <c r="A280" s="1">
        <f>INDEX(rq_evidence_review!A:A, MATCH(B280, rq_evidence_review!B:B, 0))</f>
        <v>1</v>
      </c>
      <c r="B280" s="6">
        <v>1.1200000000000001</v>
      </c>
      <c r="C280" s="1">
        <f t="shared" si="29"/>
        <v>277</v>
      </c>
      <c r="D280" s="1">
        <v>60</v>
      </c>
      <c r="E280" s="8" t="s">
        <v>1931</v>
      </c>
      <c r="F280" s="1" t="str">
        <f>_xlfn.CONCAT("samestudy_",C279)</f>
        <v>samestudy_276</v>
      </c>
      <c r="H280" s="1" t="str">
        <f>LEFT(E280, FIND(",", E280) - 1)</f>
        <v>SIR-PETERMANN</v>
      </c>
      <c r="I280" s="1" t="str">
        <f>ExtractYear(E280)</f>
        <v>2014</v>
      </c>
      <c r="J280" s="1" t="str">
        <f>H280 &amp; " et al., " &amp; I280</f>
        <v>SIR-PETERMANN et al., 2014</v>
      </c>
      <c r="K280" s="1" t="str">
        <f>ExtractDOI(E280)</f>
        <v/>
      </c>
      <c r="O280" s="1" t="s">
        <v>2003</v>
      </c>
    </row>
    <row r="281" spans="1:15" ht="45" hidden="1" x14ac:dyDescent="0.25">
      <c r="A281" s="1">
        <f>INDEX(rq_evidence_review!A:A, MATCH(B281, rq_evidence_review!B:B, 0))</f>
        <v>1</v>
      </c>
      <c r="B281" s="6">
        <v>1.1200000000000001</v>
      </c>
      <c r="C281" s="1">
        <f t="shared" si="29"/>
        <v>278</v>
      </c>
      <c r="D281" s="1">
        <v>60</v>
      </c>
      <c r="E281" s="8" t="s">
        <v>578</v>
      </c>
      <c r="F281" s="1" t="str">
        <f t="shared" ref="F281:F364" si="37">IF(ISNUMBER(SEARCH("primary citation", E281)), "primary_citation", "")</f>
        <v/>
      </c>
      <c r="H281" s="1" t="str">
        <f t="shared" si="32"/>
        <v>Crisosto N</v>
      </c>
      <c r="I281" s="1" t="str">
        <f t="shared" si="36"/>
        <v>2019</v>
      </c>
      <c r="J281" s="1" t="str">
        <f t="shared" si="33"/>
        <v>Crisosto N et al., 2019</v>
      </c>
      <c r="K281" s="1" t="str">
        <f t="shared" si="34"/>
        <v>10.1016/j.fertnstert.2018.10.011</v>
      </c>
      <c r="L281" s="1" t="str">
        <f t="shared" si="35"/>
        <v>30527840</v>
      </c>
    </row>
    <row r="282" spans="1:15" ht="45" hidden="1" x14ac:dyDescent="0.25">
      <c r="A282" s="1">
        <f>INDEX(rq_evidence_review!A:A, MATCH(B282, rq_evidence_review!B:B, 0))</f>
        <v>1</v>
      </c>
      <c r="B282" s="6">
        <v>1.1200000000000001</v>
      </c>
      <c r="C282" s="1">
        <f t="shared" si="29"/>
        <v>279</v>
      </c>
      <c r="D282" s="1">
        <v>60</v>
      </c>
      <c r="E282" s="8" t="s">
        <v>579</v>
      </c>
      <c r="F282" s="1" t="str">
        <f t="shared" si="37"/>
        <v/>
      </c>
      <c r="H282" s="1" t="str">
        <f t="shared" si="32"/>
        <v>deWilde MA</v>
      </c>
      <c r="I282" s="1" t="str">
        <f t="shared" si="36"/>
        <v>2018</v>
      </c>
      <c r="J282" s="1" t="str">
        <f t="shared" si="33"/>
        <v>deWilde MA et al., 2018</v>
      </c>
      <c r="K282" s="1" t="str">
        <f t="shared" si="34"/>
        <v>10.1177/1933719117749761</v>
      </c>
      <c r="L282" s="1" t="str">
        <f t="shared" si="35"/>
        <v>29320957</v>
      </c>
    </row>
    <row r="283" spans="1:15" ht="30" hidden="1" x14ac:dyDescent="0.25">
      <c r="A283" s="1">
        <f>INDEX(rq_evidence_review!A:A, MATCH(B283, rq_evidence_review!B:B, 0))</f>
        <v>1</v>
      </c>
      <c r="B283" s="6">
        <v>1.1200000000000001</v>
      </c>
      <c r="C283" s="1">
        <f t="shared" si="29"/>
        <v>280</v>
      </c>
      <c r="D283" s="1">
        <v>60</v>
      </c>
      <c r="E283" s="8" t="s">
        <v>580</v>
      </c>
      <c r="F283" s="1" t="str">
        <f t="shared" si="37"/>
        <v/>
      </c>
      <c r="H283" s="1" t="str">
        <f t="shared" si="32"/>
        <v>Diamanti-Kandarakis E</v>
      </c>
      <c r="I283" s="1" t="str">
        <f t="shared" si="36"/>
        <v>2004</v>
      </c>
      <c r="J283" s="1" t="str">
        <f t="shared" si="33"/>
        <v>Diamanti-Kandarakis E et al., 2004</v>
      </c>
      <c r="K283" s="1" t="str">
        <f t="shared" si="34"/>
        <v>10.1007/BF03347535</v>
      </c>
      <c r="L283" s="1" t="str">
        <f t="shared" si="35"/>
        <v>15762040</v>
      </c>
    </row>
    <row r="284" spans="1:15" ht="45" hidden="1" x14ac:dyDescent="0.25">
      <c r="A284" s="1">
        <f>INDEX(rq_evidence_review!A:A, MATCH(B284, rq_evidence_review!B:B, 0))</f>
        <v>1</v>
      </c>
      <c r="B284" s="6">
        <v>1.1200000000000001</v>
      </c>
      <c r="C284" s="1">
        <f t="shared" si="29"/>
        <v>281</v>
      </c>
      <c r="D284" s="1">
        <v>60</v>
      </c>
      <c r="E284" s="8" t="s">
        <v>1936</v>
      </c>
      <c r="F284" s="1" t="str">
        <f t="shared" si="37"/>
        <v>primary_citation</v>
      </c>
      <c r="H284" s="1" t="str">
        <f t="shared" si="32"/>
        <v>Harnois-Leblanc S</v>
      </c>
      <c r="I284" s="1" t="str">
        <f t="shared" si="36"/>
        <v>2017</v>
      </c>
      <c r="J284" s="1" t="str">
        <f t="shared" si="33"/>
        <v>Harnois-Leblanc S et al., 2017</v>
      </c>
      <c r="K284" s="1" t="str">
        <f t="shared" si="34"/>
        <v>10.1186/s12958-017-0275-0</v>
      </c>
      <c r="L284" s="1" t="str">
        <f t="shared" si="35"/>
        <v>28738839</v>
      </c>
    </row>
    <row r="285" spans="1:15" ht="45" hidden="1" x14ac:dyDescent="0.25">
      <c r="A285" s="1">
        <f>INDEX(rq_evidence_review!A:A, MATCH(B285, rq_evidence_review!B:B, 0))</f>
        <v>1</v>
      </c>
      <c r="B285" s="6">
        <v>1.1200000000000001</v>
      </c>
      <c r="C285" s="1">
        <f t="shared" si="29"/>
        <v>282</v>
      </c>
      <c r="D285" s="1">
        <v>60</v>
      </c>
      <c r="E285" s="8" t="s">
        <v>1927</v>
      </c>
      <c r="F285" s="1" t="str">
        <f>_xlfn.CONCAT("samestudy_",C284)</f>
        <v>samestudy_281</v>
      </c>
      <c r="H285" s="1" t="str">
        <f>LEFT(E285, FIND(",", E285) - 1)</f>
        <v>Leblanc</v>
      </c>
      <c r="I285" s="1" t="str">
        <f>ExtractYear(E285)</f>
        <v>2016</v>
      </c>
      <c r="J285" s="1" t="str">
        <f>H285 &amp; " et al., " &amp; I285</f>
        <v>Leblanc et al., 2016</v>
      </c>
      <c r="K285" s="1" t="str">
        <f>ExtractDOI(E285)</f>
        <v>10.1210/endo-meetings.2016.RE.5.SUN-156</v>
      </c>
      <c r="L285" s="1" t="str">
        <f>ExtractPMID(E285)</f>
        <v/>
      </c>
      <c r="O285" s="1" t="s">
        <v>2007</v>
      </c>
    </row>
    <row r="286" spans="1:15" ht="45" hidden="1" x14ac:dyDescent="0.25">
      <c r="A286" s="1">
        <f>INDEX(rq_evidence_review!A:A, MATCH(B286, rq_evidence_review!B:B, 0))</f>
        <v>1</v>
      </c>
      <c r="B286" s="6">
        <v>1.1200000000000001</v>
      </c>
      <c r="C286" s="1">
        <f t="shared" ref="C286:C349" si="38">C285+1</f>
        <v>283</v>
      </c>
      <c r="D286" s="1">
        <v>60</v>
      </c>
      <c r="E286" s="8" t="s">
        <v>1937</v>
      </c>
      <c r="F286" s="1" t="str">
        <f t="shared" si="37"/>
        <v>primary_citation</v>
      </c>
      <c r="H286" s="1" t="str">
        <f t="shared" si="32"/>
        <v>Joharatnam J</v>
      </c>
      <c r="I286" s="1" t="str">
        <f t="shared" si="36"/>
        <v>2011</v>
      </c>
      <c r="J286" s="1" t="str">
        <f t="shared" si="33"/>
        <v>Joharatnam J et al., 2011</v>
      </c>
      <c r="K286" s="1" t="str">
        <f t="shared" si="34"/>
        <v>10.1111/j.1365-2265.2011.03983.x</v>
      </c>
      <c r="L286" s="1" t="str">
        <f t="shared" si="35"/>
        <v>21521255</v>
      </c>
    </row>
    <row r="287" spans="1:15" ht="30" hidden="1" x14ac:dyDescent="0.25">
      <c r="A287" s="1">
        <f>INDEX(rq_evidence_review!A:A, MATCH(B287, rq_evidence_review!B:B, 0))</f>
        <v>1</v>
      </c>
      <c r="B287" s="6">
        <v>1.1200000000000001</v>
      </c>
      <c r="C287" s="1">
        <f t="shared" si="38"/>
        <v>284</v>
      </c>
      <c r="D287" s="1">
        <v>60</v>
      </c>
      <c r="E287" s="8" t="s">
        <v>1932</v>
      </c>
      <c r="F287" s="1" t="str">
        <f>_xlfn.CONCAT("samestudy_",C286)</f>
        <v>samestudy_283</v>
      </c>
      <c r="H287" s="1" t="str">
        <f>LEFT(E287, FIND(",", E287) - 1)</f>
        <v>Franks S</v>
      </c>
      <c r="I287" s="1" t="str">
        <f>ExtractYear(E287)</f>
        <v>2008</v>
      </c>
      <c r="J287" s="1" t="str">
        <f>H287 &amp; " et al., " &amp; I287</f>
        <v>Franks S et al., 2008</v>
      </c>
      <c r="K287" s="1" t="str">
        <f>ExtractDOI(E287)</f>
        <v>10.1210/jc.2008-0369</v>
      </c>
      <c r="L287" s="1" t="str">
        <f>ExtractPMID(E287)</f>
        <v>18559912</v>
      </c>
    </row>
    <row r="288" spans="1:15" ht="30" hidden="1" x14ac:dyDescent="0.25">
      <c r="A288" s="1">
        <f>INDEX(rq_evidence_review!A:A, MATCH(B288, rq_evidence_review!B:B, 0))</f>
        <v>1</v>
      </c>
      <c r="B288" s="6">
        <v>1.1200000000000001</v>
      </c>
      <c r="C288" s="1">
        <f t="shared" si="38"/>
        <v>285</v>
      </c>
      <c r="D288" s="1">
        <v>60</v>
      </c>
      <c r="E288" s="8" t="s">
        <v>1938</v>
      </c>
      <c r="F288" s="1" t="str">
        <f t="shared" si="37"/>
        <v>primary_citation</v>
      </c>
      <c r="H288" s="1" t="str">
        <f t="shared" si="32"/>
        <v>Karthik S</v>
      </c>
      <c r="I288" s="1" t="str">
        <f t="shared" si="36"/>
        <v>2019</v>
      </c>
      <c r="J288" s="1" t="str">
        <f t="shared" si="33"/>
        <v>Karthik S et al., 2019</v>
      </c>
      <c r="K288" s="1" t="str">
        <f t="shared" si="34"/>
        <v>10.1093/humrep/dez104</v>
      </c>
      <c r="L288" s="1" t="str">
        <f t="shared" si="35"/>
        <v>31299073</v>
      </c>
    </row>
    <row r="289" spans="1:15" ht="30" hidden="1" x14ac:dyDescent="0.25">
      <c r="A289" s="1">
        <f>INDEX(rq_evidence_review!A:A, MATCH(B289, rq_evidence_review!B:B, 0))</f>
        <v>1</v>
      </c>
      <c r="B289" s="6">
        <v>1.1200000000000001</v>
      </c>
      <c r="C289" s="1">
        <f t="shared" si="38"/>
        <v>286</v>
      </c>
      <c r="D289" s="1">
        <v>60</v>
      </c>
      <c r="E289" s="8" t="s">
        <v>1933</v>
      </c>
      <c r="F289" s="1" t="str">
        <f>_xlfn.CONCAT("samestudy_",C288)</f>
        <v>samestudy_285</v>
      </c>
      <c r="H289" s="1" t="str">
        <f>LEFT(E289, FIND(",", E289) - 1)</f>
        <v>Subramaniam K</v>
      </c>
      <c r="I289" s="1" t="str">
        <f>ExtractYear(E289)</f>
        <v>2019</v>
      </c>
      <c r="J289" s="1" t="str">
        <f>H289 &amp; " et al., " &amp; I289</f>
        <v>Subramaniam K et al., 2019</v>
      </c>
      <c r="K289" s="1" t="str">
        <f>ExtractDOI(E289)</f>
        <v>10.1080/09513590.2019.1566451</v>
      </c>
      <c r="L289" s="1" t="str">
        <f>ExtractPMID(E289)</f>
        <v>30727783</v>
      </c>
    </row>
    <row r="290" spans="1:15" ht="30" hidden="1" x14ac:dyDescent="0.25">
      <c r="A290" s="1">
        <f>INDEX(rq_evidence_review!A:A, MATCH(B290, rq_evidence_review!B:B, 0))</f>
        <v>1</v>
      </c>
      <c r="B290" s="6">
        <v>1.1200000000000001</v>
      </c>
      <c r="C290" s="1">
        <f t="shared" si="38"/>
        <v>287</v>
      </c>
      <c r="D290" s="1">
        <v>60</v>
      </c>
      <c r="E290" s="8" t="s">
        <v>1934</v>
      </c>
      <c r="F290" s="1" t="str">
        <f>_xlfn.CONCAT("samestudy_",C288)</f>
        <v>samestudy_285</v>
      </c>
      <c r="H290" s="1" t="str">
        <f>LEFT(E290, FIND(",", E290) - 1)</f>
        <v>Karthik</v>
      </c>
      <c r="I290" s="1" t="str">
        <f>ExtractYear(E290)</f>
        <v>2019</v>
      </c>
      <c r="J290" s="1" t="str">
        <f>H290 &amp; " et al., " &amp; I290</f>
        <v>Karthik et al., 2019</v>
      </c>
      <c r="K290" s="1" t="s">
        <v>1964</v>
      </c>
      <c r="L290" s="1">
        <v>31299073</v>
      </c>
    </row>
    <row r="291" spans="1:15" ht="45" hidden="1" x14ac:dyDescent="0.25">
      <c r="A291" s="1">
        <f>INDEX(rq_evidence_review!A:A, MATCH(B291, rq_evidence_review!B:B, 0))</f>
        <v>1</v>
      </c>
      <c r="B291" s="6">
        <v>1.1200000000000001</v>
      </c>
      <c r="C291" s="1">
        <f t="shared" si="38"/>
        <v>288</v>
      </c>
      <c r="D291" s="1">
        <v>60</v>
      </c>
      <c r="E291" s="8" t="s">
        <v>581</v>
      </c>
      <c r="F291" s="1" t="str">
        <f t="shared" si="37"/>
        <v/>
      </c>
      <c r="H291" s="1" t="str">
        <f t="shared" si="32"/>
        <v>Kent SC</v>
      </c>
      <c r="I291" s="1" t="str">
        <f t="shared" si="36"/>
        <v>2008</v>
      </c>
      <c r="J291" s="1" t="str">
        <f t="shared" si="33"/>
        <v>Kent SC et al., 2008</v>
      </c>
      <c r="K291" s="1" t="str">
        <f t="shared" si="34"/>
        <v>10.1210/jc.2007-1958</v>
      </c>
      <c r="L291" s="1" t="str">
        <f t="shared" si="35"/>
        <v>18270257</v>
      </c>
    </row>
    <row r="292" spans="1:15" ht="30" hidden="1" x14ac:dyDescent="0.25">
      <c r="A292" s="1">
        <f>INDEX(rq_evidence_review!A:A, MATCH(B292, rq_evidence_review!B:B, 0))</f>
        <v>1</v>
      </c>
      <c r="B292" s="6">
        <v>1.1200000000000001</v>
      </c>
      <c r="C292" s="1">
        <f t="shared" si="38"/>
        <v>289</v>
      </c>
      <c r="D292" s="1">
        <v>60</v>
      </c>
      <c r="E292" s="8" t="s">
        <v>582</v>
      </c>
      <c r="F292" s="1" t="str">
        <f t="shared" si="37"/>
        <v/>
      </c>
      <c r="H292" s="1" t="str">
        <f t="shared" si="32"/>
        <v>Krysiak R</v>
      </c>
      <c r="I292" s="1" t="str">
        <f t="shared" si="36"/>
        <v>2021</v>
      </c>
      <c r="J292" s="1" t="str">
        <f t="shared" si="33"/>
        <v>Krysiak R et al., 2021</v>
      </c>
      <c r="K292" s="1" t="str">
        <f t="shared" si="34"/>
        <v>10.1002/jcph.1872</v>
      </c>
      <c r="L292" s="1" t="str">
        <f t="shared" si="35"/>
        <v>33837974</v>
      </c>
    </row>
    <row r="293" spans="1:15" ht="45" hidden="1" x14ac:dyDescent="0.25">
      <c r="A293" s="1">
        <f>INDEX(rq_evidence_review!A:A, MATCH(B293, rq_evidence_review!B:B, 0))</f>
        <v>1</v>
      </c>
      <c r="B293" s="6">
        <v>1.1200000000000001</v>
      </c>
      <c r="C293" s="1">
        <f t="shared" si="38"/>
        <v>290</v>
      </c>
      <c r="D293" s="1">
        <v>60</v>
      </c>
      <c r="E293" s="8" t="s">
        <v>583</v>
      </c>
      <c r="F293" s="1" t="str">
        <f t="shared" si="37"/>
        <v/>
      </c>
      <c r="H293" s="1" t="str">
        <f t="shared" si="32"/>
        <v>Krysiak R</v>
      </c>
      <c r="I293" s="1" t="str">
        <f t="shared" si="36"/>
        <v>2021</v>
      </c>
      <c r="J293" s="1" t="str">
        <f t="shared" si="33"/>
        <v>Krysiak R et al., 2021</v>
      </c>
      <c r="K293" s="1" t="str">
        <f t="shared" si="34"/>
        <v>10.1007/s43440-020-00135-w</v>
      </c>
      <c r="L293" s="1" t="str">
        <f t="shared" si="35"/>
        <v>32696349</v>
      </c>
    </row>
    <row r="294" spans="1:15" ht="30" hidden="1" x14ac:dyDescent="0.25">
      <c r="A294" s="1">
        <f>INDEX(rq_evidence_review!A:A, MATCH(B294, rq_evidence_review!B:B, 0))</f>
        <v>1</v>
      </c>
      <c r="B294" s="6">
        <v>1.1200000000000001</v>
      </c>
      <c r="C294" s="1">
        <f t="shared" si="38"/>
        <v>291</v>
      </c>
      <c r="D294" s="1">
        <v>60</v>
      </c>
      <c r="E294" s="8" t="s">
        <v>584</v>
      </c>
      <c r="F294" s="1" t="str">
        <f t="shared" si="37"/>
        <v/>
      </c>
      <c r="H294" s="1" t="str">
        <f t="shared" si="32"/>
        <v>Kulshreshtha B</v>
      </c>
      <c r="I294" s="1" t="str">
        <f t="shared" si="36"/>
        <v>2019</v>
      </c>
      <c r="J294" s="1" t="str">
        <f t="shared" si="33"/>
        <v>Kulshreshtha B et al., 2019</v>
      </c>
      <c r="K294" s="1" t="str">
        <f t="shared" si="34"/>
        <v>10.4103/jhrs.JHRS_172_18</v>
      </c>
      <c r="L294" s="1" t="str">
        <f t="shared" si="35"/>
        <v>32038085</v>
      </c>
    </row>
    <row r="295" spans="1:15" ht="45" hidden="1" x14ac:dyDescent="0.25">
      <c r="A295" s="1">
        <f>INDEX(rq_evidence_review!A:A, MATCH(B295, rq_evidence_review!B:B, 0))</f>
        <v>1</v>
      </c>
      <c r="B295" s="6">
        <v>1.1200000000000001</v>
      </c>
      <c r="C295" s="1">
        <f t="shared" si="38"/>
        <v>292</v>
      </c>
      <c r="D295" s="1">
        <v>60</v>
      </c>
      <c r="E295" s="8" t="s">
        <v>585</v>
      </c>
      <c r="F295" s="1" t="str">
        <f t="shared" si="37"/>
        <v/>
      </c>
      <c r="H295" s="1" t="str">
        <f t="shared" si="32"/>
        <v>Legro RS</v>
      </c>
      <c r="I295" s="1" t="str">
        <f t="shared" si="36"/>
        <v>2017</v>
      </c>
      <c r="J295" s="1" t="str">
        <f t="shared" si="33"/>
        <v>Legro RS et al., 2017</v>
      </c>
      <c r="K295" s="1" t="str">
        <f t="shared" si="34"/>
        <v>10.1210/jc.2016-2707</v>
      </c>
      <c r="L295" s="1" t="str">
        <f t="shared" si="35"/>
        <v>27778640</v>
      </c>
    </row>
    <row r="296" spans="1:15" ht="30" hidden="1" x14ac:dyDescent="0.25">
      <c r="A296" s="1">
        <f>INDEX(rq_evidence_review!A:A, MATCH(B296, rq_evidence_review!B:B, 0))</f>
        <v>1</v>
      </c>
      <c r="B296" s="6">
        <v>1.1200000000000001</v>
      </c>
      <c r="C296" s="1">
        <f t="shared" si="38"/>
        <v>293</v>
      </c>
      <c r="D296" s="1">
        <v>60</v>
      </c>
      <c r="E296" s="8" t="s">
        <v>586</v>
      </c>
      <c r="F296" s="1" t="str">
        <f t="shared" si="37"/>
        <v/>
      </c>
      <c r="H296" s="1" t="str">
        <f t="shared" si="32"/>
        <v>Lenarcik</v>
      </c>
      <c r="I296" s="1" t="str">
        <f t="shared" si="36"/>
        <v>2011</v>
      </c>
      <c r="J296" s="1" t="str">
        <f t="shared" si="33"/>
        <v>Lenarcik et al., 2011</v>
      </c>
      <c r="K296" s="1" t="str">
        <f t="shared" si="34"/>
        <v/>
      </c>
      <c r="L296" s="1" t="str">
        <f t="shared" si="35"/>
        <v/>
      </c>
      <c r="N296" s="1">
        <v>74019465</v>
      </c>
      <c r="O296" s="1" t="s">
        <v>2002</v>
      </c>
    </row>
    <row r="297" spans="1:15" ht="45" hidden="1" x14ac:dyDescent="0.25">
      <c r="A297" s="1">
        <f>INDEX(rq_evidence_review!A:A, MATCH(B297, rq_evidence_review!B:B, 0))</f>
        <v>1</v>
      </c>
      <c r="B297" s="6">
        <v>1.1200000000000001</v>
      </c>
      <c r="C297" s="1">
        <f t="shared" si="38"/>
        <v>294</v>
      </c>
      <c r="D297" s="1">
        <v>60</v>
      </c>
      <c r="E297" s="8" t="s">
        <v>1939</v>
      </c>
      <c r="F297" s="1" t="str">
        <f t="shared" si="37"/>
        <v>primary_citation</v>
      </c>
      <c r="H297" s="1" t="str">
        <f t="shared" si="32"/>
        <v>Li J</v>
      </c>
      <c r="I297" s="1" t="str">
        <f t="shared" si="36"/>
        <v>2020</v>
      </c>
      <c r="J297" s="1" t="str">
        <f t="shared" si="33"/>
        <v>Li J et al., 2020</v>
      </c>
      <c r="K297" s="1" t="str">
        <f t="shared" si="34"/>
        <v>10.1093/humrep/deaa125</v>
      </c>
      <c r="L297" s="1" t="str">
        <f t="shared" si="35"/>
        <v>32619219</v>
      </c>
    </row>
    <row r="298" spans="1:15" ht="30" hidden="1" x14ac:dyDescent="0.25">
      <c r="A298" s="1">
        <f>INDEX(rq_evidence_review!A:A, MATCH(B298, rq_evidence_review!B:B, 0))</f>
        <v>1</v>
      </c>
      <c r="B298" s="6">
        <v>1.1200000000000001</v>
      </c>
      <c r="C298" s="1">
        <f t="shared" si="38"/>
        <v>295</v>
      </c>
      <c r="D298" s="1">
        <v>60</v>
      </c>
      <c r="E298" s="8" t="s">
        <v>1940</v>
      </c>
      <c r="F298" s="1" t="str">
        <f>_xlfn.CONCAT("samestudy_",C297)</f>
        <v>samestudy_294</v>
      </c>
      <c r="H298" s="1" t="str">
        <f>LEFT(E298, FIND(",", E298) - 1)</f>
        <v>Zhang Z</v>
      </c>
      <c r="I298" s="1" t="str">
        <f>ExtractYear(E298)</f>
        <v>2021</v>
      </c>
      <c r="J298" s="1" t="str">
        <f>H298 &amp; " et al., " &amp; I298</f>
        <v>Zhang Z et al., 2021</v>
      </c>
      <c r="K298" s="1" t="str">
        <f>ExtractDOI(E298)</f>
        <v>10.3389/fendo.2021.698734</v>
      </c>
      <c r="L298" s="1" t="str">
        <f>ExtractPMID(E298)</f>
        <v>34434168</v>
      </c>
    </row>
    <row r="299" spans="1:15" ht="45" hidden="1" x14ac:dyDescent="0.25">
      <c r="A299" s="1">
        <f>INDEX(rq_evidence_review!A:A, MATCH(B299, rq_evidence_review!B:B, 0))</f>
        <v>1</v>
      </c>
      <c r="B299" s="6">
        <v>1.1200000000000001</v>
      </c>
      <c r="C299" s="1">
        <f t="shared" si="38"/>
        <v>296</v>
      </c>
      <c r="D299" s="1">
        <v>60</v>
      </c>
      <c r="E299" s="8" t="s">
        <v>1944</v>
      </c>
      <c r="F299" s="1" t="str">
        <f t="shared" si="37"/>
        <v>primary_citation</v>
      </c>
      <c r="H299" s="1" t="str">
        <f t="shared" si="32"/>
        <v>Raissouni N</v>
      </c>
      <c r="I299" s="1" t="str">
        <f t="shared" si="36"/>
        <v>2012</v>
      </c>
      <c r="J299" s="1" t="str">
        <f t="shared" si="33"/>
        <v>Raissouni N et al., 2012</v>
      </c>
      <c r="K299" s="1" t="str">
        <f t="shared" si="34"/>
        <v>10.1186/1687-9856-2012-14</v>
      </c>
      <c r="L299" s="1" t="str">
        <f t="shared" si="35"/>
        <v>22643321</v>
      </c>
    </row>
    <row r="300" spans="1:15" ht="45" hidden="1" x14ac:dyDescent="0.25">
      <c r="A300" s="1">
        <f>INDEX(rq_evidence_review!A:A, MATCH(B300, rq_evidence_review!B:B, 0))</f>
        <v>1</v>
      </c>
      <c r="B300" s="6">
        <v>1.1200000000000001</v>
      </c>
      <c r="C300" s="1">
        <f t="shared" si="38"/>
        <v>297</v>
      </c>
      <c r="D300" s="1">
        <v>60</v>
      </c>
      <c r="E300" s="8" t="s">
        <v>1941</v>
      </c>
      <c r="F300" s="1" t="str">
        <f>_xlfn.CONCAT("samestudy_",C$299)</f>
        <v>samestudy_296</v>
      </c>
      <c r="H300" s="1" t="str">
        <f>LEFT(E300, FIND(",", E300) - 1)</f>
        <v>Trottier</v>
      </c>
      <c r="I300" s="1" t="str">
        <f>ExtractYear(E300)</f>
        <v>2011</v>
      </c>
      <c r="J300" s="1" t="str">
        <f>H300 &amp; " et al., " &amp; I300</f>
        <v>Trottier et al., 2011</v>
      </c>
      <c r="K300" s="1" t="str">
        <f>ExtractDOI(E300)</f>
        <v>10.1016/j.fertnstert.2011.07.502</v>
      </c>
      <c r="L300" s="1" t="str">
        <f>ExtractPMID(E300)</f>
        <v/>
      </c>
    </row>
    <row r="301" spans="1:15" ht="30" hidden="1" x14ac:dyDescent="0.25">
      <c r="A301" s="1">
        <f>INDEX(rq_evidence_review!A:A, MATCH(B301, rq_evidence_review!B:B, 0))</f>
        <v>1</v>
      </c>
      <c r="B301" s="6">
        <v>1.1200000000000001</v>
      </c>
      <c r="C301" s="1">
        <f t="shared" si="38"/>
        <v>298</v>
      </c>
      <c r="D301" s="1">
        <v>60</v>
      </c>
      <c r="E301" s="8" t="s">
        <v>1942</v>
      </c>
      <c r="F301" s="1" t="str">
        <f>_xlfn.CONCAT("samestudy_",C$299)</f>
        <v>samestudy_296</v>
      </c>
      <c r="H301" s="1" t="str">
        <f>LEFT(E301, FIND(",", E301) - 1)</f>
        <v>Trottier</v>
      </c>
      <c r="I301" s="1" t="str">
        <f>ExtractYear(E301)</f>
        <v>2011</v>
      </c>
      <c r="J301" s="1" t="str">
        <f>H301 &amp; " et al., " &amp; I301</f>
        <v>Trottier et al., 2011</v>
      </c>
      <c r="K301" s="9" t="s">
        <v>1984</v>
      </c>
      <c r="L301" s="1" t="str">
        <f>ExtractPMID(E301)</f>
        <v/>
      </c>
      <c r="M301" s="9" t="s">
        <v>1985</v>
      </c>
    </row>
    <row r="302" spans="1:15" ht="45" hidden="1" x14ac:dyDescent="0.25">
      <c r="A302" s="1">
        <f>INDEX(rq_evidence_review!A:A, MATCH(B302, rq_evidence_review!B:B, 0))</f>
        <v>1</v>
      </c>
      <c r="B302" s="6">
        <v>1.1200000000000001</v>
      </c>
      <c r="C302" s="1">
        <f t="shared" si="38"/>
        <v>299</v>
      </c>
      <c r="D302" s="1">
        <v>60</v>
      </c>
      <c r="E302" s="8" t="s">
        <v>1943</v>
      </c>
      <c r="F302" s="1" t="str">
        <f>_xlfn.CONCAT("samestudy_",C$299)</f>
        <v>samestudy_296</v>
      </c>
      <c r="H302" s="1" t="str">
        <f>LEFT(E302, FIND(",", E302) - 1)</f>
        <v>Trottier A</v>
      </c>
      <c r="I302" s="1" t="str">
        <f>ExtractYear(E302)</f>
        <v>2012</v>
      </c>
      <c r="J302" s="1" t="str">
        <f>H302 &amp; " et al., " &amp; I302</f>
        <v>Trottier A et al., 2012</v>
      </c>
      <c r="K302" s="1" t="str">
        <f>ExtractDOI(E302)</f>
        <v>10.1016/j.fertnstert.2012.08.025</v>
      </c>
      <c r="L302" s="1" t="str">
        <f>ExtractPMID(E302)</f>
        <v>22985947</v>
      </c>
    </row>
    <row r="303" spans="1:15" ht="75" hidden="1" x14ac:dyDescent="0.25">
      <c r="A303" s="1">
        <f>INDEX(rq_evidence_review!A:A, MATCH(B303, rq_evidence_review!B:B, 0))</f>
        <v>1</v>
      </c>
      <c r="B303" s="6">
        <v>1.1200000000000001</v>
      </c>
      <c r="C303" s="1">
        <f t="shared" si="38"/>
        <v>300</v>
      </c>
      <c r="D303" s="1">
        <v>60</v>
      </c>
      <c r="E303" s="8" t="s">
        <v>1945</v>
      </c>
      <c r="F303" s="1" t="str">
        <f t="shared" si="37"/>
        <v>primary_citation</v>
      </c>
      <c r="H303" s="1" t="str">
        <f t="shared" si="32"/>
        <v>Recabarren SE</v>
      </c>
      <c r="I303" s="1" t="str">
        <f t="shared" si="36"/>
        <v>2008</v>
      </c>
      <c r="J303" s="1" t="str">
        <f t="shared" si="33"/>
        <v>Recabarren SE et al., 2008</v>
      </c>
      <c r="K303" s="1" t="str">
        <f t="shared" si="34"/>
        <v>10.1210/jc.2007-2256</v>
      </c>
      <c r="L303" s="1" t="str">
        <f t="shared" si="35"/>
        <v>18230657</v>
      </c>
    </row>
    <row r="304" spans="1:15" ht="45" hidden="1" x14ac:dyDescent="0.25">
      <c r="A304" s="1">
        <f>INDEX(rq_evidence_review!A:A, MATCH(B304, rq_evidence_review!B:B, 0))</f>
        <v>1</v>
      </c>
      <c r="B304" s="6">
        <v>1.1200000000000001</v>
      </c>
      <c r="C304" s="1">
        <f t="shared" si="38"/>
        <v>301</v>
      </c>
      <c r="D304" s="1">
        <v>60</v>
      </c>
      <c r="E304" s="8" t="s">
        <v>1946</v>
      </c>
      <c r="F304" s="1" t="str">
        <f>_xlfn.CONCAT("samestudy_",C$303)</f>
        <v>samestudy_300</v>
      </c>
      <c r="H304" s="1" t="str">
        <f>LEFT(E304, FIND(",", E304) - 1)</f>
        <v>Recabarren SE</v>
      </c>
      <c r="I304" s="1" t="str">
        <f>ExtractYear(E304)</f>
        <v>2008</v>
      </c>
      <c r="J304" s="1" t="str">
        <f>H304 &amp; " et al., " &amp; I304</f>
        <v>Recabarren SE et al., 2008</v>
      </c>
      <c r="K304" s="1" t="str">
        <f>ExtractDOI(E304)</f>
        <v>10.1210/jc.2008-0255</v>
      </c>
      <c r="L304" s="1" t="str">
        <f>ExtractPMID(E304)</f>
        <v>18544620</v>
      </c>
    </row>
    <row r="305" spans="1:12" ht="30" hidden="1" x14ac:dyDescent="0.25">
      <c r="A305" s="1">
        <f>INDEX(rq_evidence_review!A:A, MATCH(B305, rq_evidence_review!B:B, 0))</f>
        <v>1</v>
      </c>
      <c r="B305" s="6">
        <v>1.1200000000000001</v>
      </c>
      <c r="C305" s="1">
        <f t="shared" si="38"/>
        <v>302</v>
      </c>
      <c r="D305" s="1">
        <v>60</v>
      </c>
      <c r="E305" s="8" t="s">
        <v>1965</v>
      </c>
      <c r="F305" s="1" t="str">
        <f>_xlfn.CONCAT("samestudy_",C$303)</f>
        <v>samestudy_300</v>
      </c>
      <c r="H305" s="1" t="str">
        <f>LEFT(E305, FIND(",", E305) - 1)</f>
        <v>Recabarren SE</v>
      </c>
      <c r="I305" s="1" t="str">
        <f>ExtractYear(E305)</f>
        <v>2008</v>
      </c>
      <c r="J305" s="1" t="str">
        <f>H305 &amp; " et al., " &amp; I305</f>
        <v>Recabarren SE et al., 2008</v>
      </c>
      <c r="K305" s="1" t="str">
        <f>ExtractDOI(E305)</f>
        <v>10.1210/jc.2007-2256</v>
      </c>
      <c r="L305" s="1" t="str">
        <f>ExtractPMID(E305)</f>
        <v/>
      </c>
    </row>
    <row r="306" spans="1:12" ht="30" hidden="1" x14ac:dyDescent="0.25">
      <c r="A306" s="1">
        <f>INDEX(rq_evidence_review!A:A, MATCH(B306, rq_evidence_review!B:B, 0))</f>
        <v>1</v>
      </c>
      <c r="B306" s="6">
        <v>1.1200000000000001</v>
      </c>
      <c r="C306" s="1">
        <f t="shared" si="38"/>
        <v>303</v>
      </c>
      <c r="D306" s="1">
        <v>60</v>
      </c>
      <c r="E306" s="8" t="s">
        <v>1949</v>
      </c>
      <c r="F306" s="1" t="str">
        <f t="shared" si="37"/>
        <v>primary_citation</v>
      </c>
      <c r="H306" s="1" t="str">
        <f t="shared" si="32"/>
        <v>Sam S</v>
      </c>
      <c r="I306" s="1" t="str">
        <f t="shared" si="36"/>
        <v>2005</v>
      </c>
      <c r="J306" s="1" t="str">
        <f t="shared" si="33"/>
        <v>Sam S et al., 2005</v>
      </c>
      <c r="K306" s="1" t="str">
        <f t="shared" si="34"/>
        <v>10.1210/jc.2004-2217</v>
      </c>
      <c r="L306" s="1" t="str">
        <f t="shared" si="35"/>
        <v>15899949</v>
      </c>
    </row>
    <row r="307" spans="1:12" ht="30" hidden="1" x14ac:dyDescent="0.25">
      <c r="A307" s="1">
        <f>INDEX(rq_evidence_review!A:A, MATCH(B307, rq_evidence_review!B:B, 0))</f>
        <v>1</v>
      </c>
      <c r="B307" s="6">
        <v>1.1200000000000001</v>
      </c>
      <c r="C307" s="1">
        <f t="shared" si="38"/>
        <v>304</v>
      </c>
      <c r="D307" s="1">
        <v>60</v>
      </c>
      <c r="E307" s="8" t="s">
        <v>1947</v>
      </c>
      <c r="F307" s="1" t="str">
        <f>_xlfn.CONCAT("samestudy_",C$306)</f>
        <v>samestudy_303</v>
      </c>
      <c r="H307" s="1" t="str">
        <f>LEFT(E307, FIND(",", E307) - 1)</f>
        <v>Legro RS</v>
      </c>
      <c r="I307" s="1" t="str">
        <f>ExtractYear(E307)</f>
        <v>1998</v>
      </c>
      <c r="J307" s="1" t="str">
        <f>H307 &amp; " et al., " &amp; I307</f>
        <v>Legro RS et al., 1998</v>
      </c>
      <c r="K307" s="1" t="str">
        <f>ExtractDOI(E307)</f>
        <v>10.1073/pnas.95.25.14956</v>
      </c>
      <c r="L307" s="1" t="str">
        <f>ExtractPMID(E307)</f>
        <v>9843997</v>
      </c>
    </row>
    <row r="308" spans="1:12" ht="45" hidden="1" x14ac:dyDescent="0.25">
      <c r="A308" s="1">
        <f>INDEX(rq_evidence_review!A:A, MATCH(B308, rq_evidence_review!B:B, 0))</f>
        <v>1</v>
      </c>
      <c r="B308" s="6">
        <v>1.1200000000000001</v>
      </c>
      <c r="C308" s="1">
        <f t="shared" si="38"/>
        <v>305</v>
      </c>
      <c r="D308" s="1">
        <v>60</v>
      </c>
      <c r="E308" s="8" t="s">
        <v>1948</v>
      </c>
      <c r="F308" s="1" t="str">
        <f>_xlfn.CONCAT("samestudy_",C$306)</f>
        <v>samestudy_303</v>
      </c>
      <c r="H308" s="1" t="str">
        <f>LEFT(E308, FIND(",", E308) - 1)</f>
        <v>Legro RS</v>
      </c>
      <c r="I308" s="1" t="str">
        <f>ExtractYear(E308)</f>
        <v>2002</v>
      </c>
      <c r="J308" s="1" t="str">
        <f>H308 &amp; " et al., " &amp; I308</f>
        <v>Legro RS et al., 2002</v>
      </c>
      <c r="K308" s="1" t="str">
        <f>ExtractDOI(E308)</f>
        <v>10.1210/jcem.87.5.8513</v>
      </c>
      <c r="L308" s="1" t="str">
        <f>ExtractPMID(E308)</f>
        <v>11994352</v>
      </c>
    </row>
    <row r="309" spans="1:12" ht="45" hidden="1" x14ac:dyDescent="0.25">
      <c r="A309" s="1">
        <f>INDEX(rq_evidence_review!A:A, MATCH(B309, rq_evidence_review!B:B, 0))</f>
        <v>1</v>
      </c>
      <c r="B309" s="6">
        <v>1.1200000000000001</v>
      </c>
      <c r="C309" s="1">
        <f t="shared" si="38"/>
        <v>306</v>
      </c>
      <c r="D309" s="1">
        <v>60</v>
      </c>
      <c r="E309" s="8" t="s">
        <v>1951</v>
      </c>
      <c r="F309" s="1" t="str">
        <f t="shared" si="37"/>
        <v>primary_citation</v>
      </c>
      <c r="H309" s="1" t="str">
        <f t="shared" si="32"/>
        <v>Sam S</v>
      </c>
      <c r="I309" s="1" t="str">
        <f t="shared" si="36"/>
        <v>2006</v>
      </c>
      <c r="J309" s="1" t="str">
        <f t="shared" si="33"/>
        <v>Sam S et al., 2006</v>
      </c>
      <c r="K309" s="1" t="str">
        <f t="shared" si="34"/>
        <v>10.1073/pnas.0602025103</v>
      </c>
      <c r="L309" s="1" t="str">
        <f t="shared" si="35"/>
        <v>16632599</v>
      </c>
    </row>
    <row r="310" spans="1:12" ht="45" hidden="1" x14ac:dyDescent="0.25">
      <c r="A310" s="1">
        <f>INDEX(rq_evidence_review!A:A, MATCH(B310, rq_evidence_review!B:B, 0))</f>
        <v>1</v>
      </c>
      <c r="B310" s="6">
        <v>1.1200000000000001</v>
      </c>
      <c r="C310" s="1">
        <f t="shared" si="38"/>
        <v>307</v>
      </c>
      <c r="D310" s="1">
        <v>60</v>
      </c>
      <c r="E310" s="8" t="s">
        <v>1950</v>
      </c>
      <c r="F310" s="1" t="str">
        <f>_xlfn.CONCAT("samestudy_",C$309)</f>
        <v>samestudy_306</v>
      </c>
      <c r="H310" s="1" t="str">
        <f>LEFT(E310, FIND(",", E310) - 1)</f>
        <v>Taylor MC</v>
      </c>
      <c r="I310" s="1" t="str">
        <f>ExtractYear(E310)</f>
        <v>2011</v>
      </c>
      <c r="J310" s="1" t="str">
        <f>H310 &amp; " et al., " &amp; I310</f>
        <v>Taylor MC et al., 2011</v>
      </c>
      <c r="K310" s="1" t="str">
        <f>ExtractDOI(E310)</f>
        <v>10.1093/humrep/der101</v>
      </c>
      <c r="L310" s="1" t="str">
        <f>ExtractPMID(E310)</f>
        <v>21505042</v>
      </c>
    </row>
    <row r="311" spans="1:12" ht="45" hidden="1" x14ac:dyDescent="0.25">
      <c r="A311" s="1">
        <f>INDEX(rq_evidence_review!A:A, MATCH(B311, rq_evidence_review!B:B, 0))</f>
        <v>1</v>
      </c>
      <c r="B311" s="6">
        <v>1.1200000000000001</v>
      </c>
      <c r="C311" s="1">
        <f t="shared" si="38"/>
        <v>308</v>
      </c>
      <c r="D311" s="1">
        <v>60</v>
      </c>
      <c r="E311" s="8" t="s">
        <v>1917</v>
      </c>
      <c r="F311" s="1" t="str">
        <f>_xlfn.CONCAT("samestudy_",C$314)</f>
        <v>samestudy_311</v>
      </c>
      <c r="H311" s="1" t="str">
        <f t="shared" si="32"/>
        <v>Legro RS</v>
      </c>
      <c r="I311" s="1" t="str">
        <f>ExtractYear(E311)</f>
        <v>2010</v>
      </c>
      <c r="J311" s="1" t="str">
        <f>H311 &amp; " et al., " &amp; I311</f>
        <v>Legro RS et al., 2010</v>
      </c>
      <c r="K311" s="1" t="str">
        <f>ExtractDOI(E311)</f>
        <v>10.1210/jc.2009-1849</v>
      </c>
      <c r="L311" s="1" t="str">
        <f t="shared" si="35"/>
        <v>19965924</v>
      </c>
    </row>
    <row r="312" spans="1:12" ht="45" hidden="1" x14ac:dyDescent="0.25">
      <c r="A312" s="1">
        <f>INDEX(rq_evidence_review!A:A, MATCH(B312, rq_evidence_review!B:B, 0))</f>
        <v>1</v>
      </c>
      <c r="B312" s="6">
        <v>1.1200000000000001</v>
      </c>
      <c r="C312" s="1">
        <f t="shared" si="38"/>
        <v>309</v>
      </c>
      <c r="D312" s="1">
        <v>60</v>
      </c>
      <c r="E312" s="8" t="s">
        <v>1918</v>
      </c>
      <c r="F312" s="1" t="str">
        <f>_xlfn.CONCAT("samestudy_",C$314)</f>
        <v>samestudy_311</v>
      </c>
      <c r="H312" s="1" t="str">
        <f t="shared" si="32"/>
        <v>Legro RS</v>
      </c>
      <c r="I312" s="1" t="str">
        <f>ExtractYear(E312)</f>
        <v>2002</v>
      </c>
      <c r="J312" s="1" t="str">
        <f>H312 &amp; " et al., " &amp; I312</f>
        <v>Legro RS et al., 2002</v>
      </c>
      <c r="K312" s="1" t="str">
        <f>ExtractDOI(E312)</f>
        <v>10.1210/jcem.87.5.8387</v>
      </c>
      <c r="L312" s="1" t="str">
        <f t="shared" si="35"/>
        <v>11994353</v>
      </c>
    </row>
    <row r="313" spans="1:12" ht="30" hidden="1" x14ac:dyDescent="0.25">
      <c r="A313" s="1">
        <f>INDEX(rq_evidence_review!A:A, MATCH(B313, rq_evidence_review!B:B, 0))</f>
        <v>1</v>
      </c>
      <c r="B313" s="6">
        <v>1.1200000000000001</v>
      </c>
      <c r="C313" s="1">
        <f t="shared" si="38"/>
        <v>310</v>
      </c>
      <c r="D313" s="1">
        <v>60</v>
      </c>
      <c r="E313" s="8" t="s">
        <v>1919</v>
      </c>
      <c r="F313" s="1" t="str">
        <f>_xlfn.CONCAT("samestudy_",C$314)</f>
        <v>samestudy_311</v>
      </c>
      <c r="H313" s="1" t="str">
        <f t="shared" si="32"/>
        <v>Sam S</v>
      </c>
      <c r="I313" s="1" t="str">
        <f>ExtractYear(E313)</f>
        <v>2008</v>
      </c>
      <c r="J313" s="1" t="str">
        <f>H313 &amp; " et al., " &amp; I313</f>
        <v>Sam S et al., 2008</v>
      </c>
      <c r="K313" s="1" t="str">
        <f>ExtractDOI(E313)</f>
        <v>10.1016/j.metabol.2007.08.010</v>
      </c>
      <c r="L313" s="1" t="str">
        <f t="shared" si="35"/>
        <v>18078863</v>
      </c>
    </row>
    <row r="314" spans="1:12" ht="30" hidden="1" x14ac:dyDescent="0.25">
      <c r="A314" s="1">
        <f>INDEX(rq_evidence_review!A:A, MATCH(B314, rq_evidence_review!B:B, 0))</f>
        <v>1</v>
      </c>
      <c r="B314" s="6">
        <v>1.1200000000000001</v>
      </c>
      <c r="C314" s="1">
        <f t="shared" si="38"/>
        <v>311</v>
      </c>
      <c r="D314" s="1">
        <v>60</v>
      </c>
      <c r="E314" s="8" t="s">
        <v>1920</v>
      </c>
      <c r="F314" s="1" t="str">
        <f t="shared" si="37"/>
        <v>primary_citation</v>
      </c>
      <c r="H314" s="1" t="str">
        <f t="shared" si="32"/>
        <v>Sam S</v>
      </c>
      <c r="I314" s="1" t="str">
        <f t="shared" si="36"/>
        <v>2008</v>
      </c>
      <c r="J314" s="1" t="str">
        <f t="shared" si="33"/>
        <v>Sam S et al., 2008</v>
      </c>
      <c r="K314" s="1" t="str">
        <f t="shared" si="34"/>
        <v>10.2337/dc07-2190</v>
      </c>
      <c r="L314" s="1" t="str">
        <f t="shared" si="35"/>
        <v>18332151</v>
      </c>
    </row>
    <row r="315" spans="1:12" ht="45" hidden="1" x14ac:dyDescent="0.25">
      <c r="A315" s="1">
        <f>INDEX(rq_evidence_review!A:A, MATCH(B315, rq_evidence_review!B:B, 0))</f>
        <v>1</v>
      </c>
      <c r="B315" s="6">
        <v>1.1200000000000001</v>
      </c>
      <c r="C315" s="1">
        <f t="shared" si="38"/>
        <v>312</v>
      </c>
      <c r="D315" s="1">
        <v>60</v>
      </c>
      <c r="E315" s="8" t="s">
        <v>587</v>
      </c>
      <c r="F315" s="1" t="str">
        <f t="shared" si="37"/>
        <v/>
      </c>
      <c r="H315" s="1" t="str">
        <f t="shared" si="32"/>
        <v>Sir-Petermann T</v>
      </c>
      <c r="I315" s="1" t="str">
        <f t="shared" si="36"/>
        <v>2004</v>
      </c>
      <c r="J315" s="1" t="str">
        <f t="shared" si="33"/>
        <v>Sir-Petermann T et al., 2004</v>
      </c>
      <c r="K315" s="1" t="str">
        <f t="shared" si="34"/>
        <v>10.1093/humrep/deh512</v>
      </c>
      <c r="L315" s="1" t="str">
        <f t="shared" si="35"/>
        <v>15358722</v>
      </c>
    </row>
    <row r="316" spans="1:12" ht="75" hidden="1" x14ac:dyDescent="0.25">
      <c r="A316" s="1">
        <f>INDEX(rq_evidence_review!A:A, MATCH(B316, rq_evidence_review!B:B, 0))</f>
        <v>1</v>
      </c>
      <c r="B316" s="6">
        <v>1.1200000000000001</v>
      </c>
      <c r="C316" s="1">
        <f t="shared" si="38"/>
        <v>313</v>
      </c>
      <c r="D316" s="1">
        <v>60</v>
      </c>
      <c r="E316" s="8" t="s">
        <v>1961</v>
      </c>
      <c r="F316" s="1" t="str">
        <f t="shared" si="37"/>
        <v>primary_citation</v>
      </c>
      <c r="H316" s="1" t="str">
        <f t="shared" si="32"/>
        <v>Sir-Petermann T</v>
      </c>
      <c r="I316" s="1" t="str">
        <f t="shared" si="36"/>
        <v>2012</v>
      </c>
      <c r="J316" s="1" t="str">
        <f t="shared" si="33"/>
        <v>Sir-Petermann T et al., 2012</v>
      </c>
      <c r="K316" s="1" t="str">
        <f t="shared" si="34"/>
        <v>10.1177/1933719111424444</v>
      </c>
      <c r="L316" s="1" t="str">
        <f t="shared" si="35"/>
        <v>22344736</v>
      </c>
    </row>
    <row r="317" spans="1:12" ht="45" hidden="1" x14ac:dyDescent="0.25">
      <c r="A317" s="1">
        <f>INDEX(rq_evidence_review!A:A, MATCH(B317, rq_evidence_review!B:B, 0))</f>
        <v>1</v>
      </c>
      <c r="B317" s="6">
        <v>1.1200000000000001</v>
      </c>
      <c r="C317" s="1">
        <f t="shared" si="38"/>
        <v>314</v>
      </c>
      <c r="D317" s="1">
        <f>VLOOKUP(B317,rq_evidence_review!$B$1:$L$55,7,FALSE)</f>
        <v>60</v>
      </c>
      <c r="E317" s="8" t="s">
        <v>1952</v>
      </c>
      <c r="F317" s="1" t="str">
        <f>_xlfn.CONCAT("samestudy_",C$316)</f>
        <v>samestudy_313</v>
      </c>
      <c r="H317" s="1" t="str">
        <f t="shared" ref="H317:H325" si="39">LEFT(E317, FIND(",", E317) - 1)</f>
        <v>Maliqueo M</v>
      </c>
      <c r="I317" s="1" t="str">
        <f t="shared" ref="I317:I325" si="40">ExtractYear(E317)</f>
        <v>2009</v>
      </c>
      <c r="J317" s="1" t="str">
        <f t="shared" ref="J317:J325" si="41">H317 &amp; " et al., " &amp; I317</f>
        <v>Maliqueo M et al., 2009</v>
      </c>
      <c r="K317" s="1" t="str">
        <f t="shared" ref="K317:K325" si="42">ExtractDOI(E317)</f>
        <v>10.1210/jc.2009-0427</v>
      </c>
      <c r="L317" s="1" t="str">
        <f t="shared" ref="L317:L325" si="43">ExtractPMID(E317)</f>
        <v>19567527</v>
      </c>
    </row>
    <row r="318" spans="1:12" ht="30" hidden="1" x14ac:dyDescent="0.25">
      <c r="A318" s="1">
        <f>INDEX(rq_evidence_review!A:A, MATCH(B318, rq_evidence_review!B:B, 0))</f>
        <v>1</v>
      </c>
      <c r="B318" s="6">
        <v>1.1200000000000001</v>
      </c>
      <c r="C318" s="1">
        <f t="shared" si="38"/>
        <v>315</v>
      </c>
      <c r="D318" s="1">
        <f>VLOOKUP(B318,rq_evidence_review!$B$1:$L$55,7,FALSE)</f>
        <v>60</v>
      </c>
      <c r="E318" s="8" t="s">
        <v>1953</v>
      </c>
      <c r="F318" s="1" t="str">
        <f t="shared" ref="F318:F325" si="44">_xlfn.CONCAT("samestudy_",C$316)</f>
        <v>samestudy_313</v>
      </c>
      <c r="H318" s="1" t="str">
        <f t="shared" si="39"/>
        <v>Crisosto N</v>
      </c>
      <c r="I318" s="1" t="str">
        <f t="shared" si="40"/>
        <v>2007</v>
      </c>
      <c r="J318" s="1" t="str">
        <f t="shared" si="41"/>
        <v>Crisosto N et al., 2007</v>
      </c>
      <c r="K318" s="1" t="str">
        <f t="shared" si="42"/>
        <v>10.1210/jc.2007-0267</v>
      </c>
      <c r="L318" s="1" t="str">
        <f t="shared" si="43"/>
        <v>17488788</v>
      </c>
    </row>
    <row r="319" spans="1:12" ht="45" hidden="1" x14ac:dyDescent="0.25">
      <c r="A319" s="1">
        <f>INDEX(rq_evidence_review!A:A, MATCH(B319, rq_evidence_review!B:B, 0))</f>
        <v>1</v>
      </c>
      <c r="B319" s="6">
        <v>1.1200000000000001</v>
      </c>
      <c r="C319" s="1">
        <f t="shared" si="38"/>
        <v>316</v>
      </c>
      <c r="D319" s="1">
        <f>VLOOKUP(B319,rq_evidence_review!$B$1:$L$55,7,FALSE)</f>
        <v>60</v>
      </c>
      <c r="E319" s="8" t="s">
        <v>1954</v>
      </c>
      <c r="F319" s="1" t="str">
        <f t="shared" si="44"/>
        <v>samestudy_313</v>
      </c>
      <c r="H319" s="1" t="str">
        <f t="shared" si="39"/>
        <v>Maliqueo M</v>
      </c>
      <c r="I319" s="1" t="str">
        <f t="shared" si="40"/>
        <v>2012</v>
      </c>
      <c r="J319" s="1" t="str">
        <f t="shared" si="41"/>
        <v>Maliqueo M et al., 2012</v>
      </c>
      <c r="K319" s="1" t="str">
        <f t="shared" si="42"/>
        <v>10.1016/j.ejogrb.2011.12.012</v>
      </c>
      <c r="L319" s="1" t="str">
        <f t="shared" si="43"/>
        <v>22277163</v>
      </c>
    </row>
    <row r="320" spans="1:12" ht="30" hidden="1" x14ac:dyDescent="0.25">
      <c r="A320" s="1">
        <f>INDEX(rq_evidence_review!A:A, MATCH(B320, rq_evidence_review!B:B, 0))</f>
        <v>1</v>
      </c>
      <c r="B320" s="6">
        <v>1.1200000000000001</v>
      </c>
      <c r="C320" s="1">
        <f t="shared" si="38"/>
        <v>317</v>
      </c>
      <c r="D320" s="1">
        <f>VLOOKUP(B320,rq_evidence_review!$B$1:$L$55,7,FALSE)</f>
        <v>60</v>
      </c>
      <c r="E320" s="8" t="s">
        <v>1955</v>
      </c>
      <c r="F320" s="1" t="str">
        <f t="shared" si="44"/>
        <v>samestudy_313</v>
      </c>
      <c r="H320" s="1" t="str">
        <f t="shared" si="39"/>
        <v>Sir-Petermann T</v>
      </c>
      <c r="I320" s="1" t="str">
        <f t="shared" si="40"/>
        <v>2002</v>
      </c>
      <c r="J320" s="1" t="str">
        <f t="shared" si="41"/>
        <v>Sir-Petermann T et al., 2002</v>
      </c>
      <c r="K320" s="1" t="str">
        <f t="shared" si="42"/>
        <v>10.1007/s00125-002-0836-3</v>
      </c>
      <c r="L320" s="1" t="str">
        <f t="shared" si="43"/>
        <v>12136394</v>
      </c>
    </row>
    <row r="321" spans="1:15" ht="30" hidden="1" x14ac:dyDescent="0.25">
      <c r="A321" s="1">
        <f>INDEX(rq_evidence_review!A:A, MATCH(B321, rq_evidence_review!B:B, 0))</f>
        <v>1</v>
      </c>
      <c r="B321" s="6">
        <v>1.1200000000000001</v>
      </c>
      <c r="C321" s="1">
        <f t="shared" si="38"/>
        <v>318</v>
      </c>
      <c r="D321" s="1">
        <f>VLOOKUP(B321,rq_evidence_review!$B$1:$L$55,7,FALSE)</f>
        <v>60</v>
      </c>
      <c r="E321" s="8" t="s">
        <v>1956</v>
      </c>
      <c r="F321" s="1" t="str">
        <f t="shared" si="44"/>
        <v>samestudy_313</v>
      </c>
      <c r="H321" s="1" t="str">
        <f t="shared" si="39"/>
        <v>Sir-Petermann</v>
      </c>
      <c r="I321" s="1" t="str">
        <f t="shared" si="40"/>
        <v>2001</v>
      </c>
      <c r="J321" s="1" t="str">
        <f t="shared" si="41"/>
        <v>Sir-Petermann et al., 2001</v>
      </c>
      <c r="K321" s="1" t="s">
        <v>1966</v>
      </c>
      <c r="L321" s="1" t="str">
        <f t="shared" si="43"/>
        <v/>
      </c>
    </row>
    <row r="322" spans="1:15" ht="45" hidden="1" x14ac:dyDescent="0.25">
      <c r="A322" s="1">
        <f>INDEX(rq_evidence_review!A:A, MATCH(B322, rq_evidence_review!B:B, 0))</f>
        <v>1</v>
      </c>
      <c r="B322" s="6">
        <v>1.1200000000000001</v>
      </c>
      <c r="C322" s="1">
        <f t="shared" si="38"/>
        <v>319</v>
      </c>
      <c r="D322" s="1">
        <f>VLOOKUP(B322,rq_evidence_review!$B$1:$L$55,7,FALSE)</f>
        <v>60</v>
      </c>
      <c r="E322" s="8" t="s">
        <v>1957</v>
      </c>
      <c r="F322" s="1" t="str">
        <f t="shared" si="44"/>
        <v>samestudy_313</v>
      </c>
      <c r="H322" s="1" t="str">
        <f t="shared" si="39"/>
        <v>Sir-Petermann T</v>
      </c>
      <c r="I322" s="1" t="str">
        <f t="shared" si="40"/>
        <v>2006</v>
      </c>
      <c r="J322" s="1" t="str">
        <f t="shared" si="41"/>
        <v>Sir-Petermann T et al., 2006</v>
      </c>
      <c r="K322" s="1" t="str">
        <f t="shared" si="42"/>
        <v>10.1210/jc.2005-2693</v>
      </c>
      <c r="L322" s="1" t="str">
        <f t="shared" si="43"/>
        <v>16720659</v>
      </c>
    </row>
    <row r="323" spans="1:15" ht="45" hidden="1" x14ac:dyDescent="0.25">
      <c r="A323" s="1">
        <f>INDEX(rq_evidence_review!A:A, MATCH(B323, rq_evidence_review!B:B, 0))</f>
        <v>1</v>
      </c>
      <c r="B323" s="6">
        <v>1.1200000000000001</v>
      </c>
      <c r="C323" s="1">
        <f t="shared" si="38"/>
        <v>320</v>
      </c>
      <c r="D323" s="1">
        <f>VLOOKUP(B323,rq_evidence_review!$B$1:$L$55,7,FALSE)</f>
        <v>60</v>
      </c>
      <c r="E323" s="8" t="s">
        <v>1958</v>
      </c>
      <c r="F323" s="1" t="str">
        <f t="shared" si="44"/>
        <v>samestudy_313</v>
      </c>
      <c r="H323" s="1" t="str">
        <f t="shared" si="39"/>
        <v>Sir-Petermann T</v>
      </c>
      <c r="I323" s="1" t="str">
        <f t="shared" si="40"/>
        <v>2009</v>
      </c>
      <c r="J323" s="1" t="str">
        <f t="shared" si="41"/>
        <v>Sir-Petermann T et al., 2009</v>
      </c>
      <c r="K323" s="1" t="str">
        <f t="shared" si="42"/>
        <v>10.1210/jc.2008-2836</v>
      </c>
      <c r="L323" s="1" t="str">
        <f t="shared" si="43"/>
        <v>19223518</v>
      </c>
    </row>
    <row r="324" spans="1:15" ht="45" hidden="1" x14ac:dyDescent="0.25">
      <c r="A324" s="1">
        <f>INDEX(rq_evidence_review!A:A, MATCH(B324, rq_evidence_review!B:B, 0))</f>
        <v>1</v>
      </c>
      <c r="B324" s="6">
        <v>1.1200000000000001</v>
      </c>
      <c r="C324" s="1">
        <f t="shared" si="38"/>
        <v>321</v>
      </c>
      <c r="D324" s="1">
        <f>VLOOKUP(B324,rq_evidence_review!$B$1:$L$55,7,FALSE)</f>
        <v>60</v>
      </c>
      <c r="E324" s="8" t="s">
        <v>1959</v>
      </c>
      <c r="F324" s="1" t="str">
        <f t="shared" si="44"/>
        <v>samestudy_313</v>
      </c>
      <c r="H324" s="1" t="str">
        <f t="shared" si="39"/>
        <v>Echiburú B</v>
      </c>
      <c r="I324" s="1" t="str">
        <f t="shared" si="40"/>
        <v>2012</v>
      </c>
      <c r="J324" s="1" t="str">
        <f t="shared" si="41"/>
        <v>Echiburú B et al., 2012</v>
      </c>
      <c r="K324" s="1" t="str">
        <f t="shared" si="42"/>
        <v>10.3109/09513590.2011.650744</v>
      </c>
      <c r="L324" s="1" t="str">
        <f t="shared" si="43"/>
        <v>22724574</v>
      </c>
    </row>
    <row r="325" spans="1:15" ht="45" hidden="1" x14ac:dyDescent="0.25">
      <c r="A325" s="1">
        <f>INDEX(rq_evidence_review!A:A, MATCH(B325, rq_evidence_review!B:B, 0))</f>
        <v>1</v>
      </c>
      <c r="B325" s="6">
        <v>1.1200000000000001</v>
      </c>
      <c r="C325" s="1">
        <f t="shared" si="38"/>
        <v>322</v>
      </c>
      <c r="D325" s="1">
        <f>VLOOKUP(B325,rq_evidence_review!$B$1:$L$55,7,FALSE)</f>
        <v>60</v>
      </c>
      <c r="E325" s="8" t="s">
        <v>1960</v>
      </c>
      <c r="F325" s="1" t="str">
        <f t="shared" si="44"/>
        <v>samestudy_313</v>
      </c>
      <c r="H325" s="1" t="str">
        <f t="shared" si="39"/>
        <v>Sir-Petermann T</v>
      </c>
      <c r="I325" s="1" t="str">
        <f t="shared" si="40"/>
        <v>2007</v>
      </c>
      <c r="J325" s="1" t="str">
        <f t="shared" si="41"/>
        <v>Sir-Petermann T et al., 2007</v>
      </c>
      <c r="K325" s="1" t="str">
        <f t="shared" si="42"/>
        <v>10.1210/jc.2007-1036</v>
      </c>
      <c r="L325" s="1" t="str">
        <f t="shared" si="43"/>
        <v>17848407</v>
      </c>
    </row>
    <row r="326" spans="1:15" ht="30" hidden="1" x14ac:dyDescent="0.25">
      <c r="A326" s="1">
        <f>INDEX(rq_evidence_review!A:A, MATCH(B326, rq_evidence_review!B:B, 0))</f>
        <v>1</v>
      </c>
      <c r="B326" s="6">
        <v>1.1200000000000001</v>
      </c>
      <c r="C326" s="1">
        <f t="shared" si="38"/>
        <v>323</v>
      </c>
      <c r="D326" s="1">
        <f>VLOOKUP(B326,rq_evidence_review!$B$1:$L$55,7,FALSE)</f>
        <v>60</v>
      </c>
      <c r="E326" s="8" t="s">
        <v>1928</v>
      </c>
      <c r="F326" s="1" t="str">
        <f t="shared" si="37"/>
        <v>primary_citation</v>
      </c>
      <c r="H326" s="1" t="str">
        <f t="shared" si="32"/>
        <v>Torchen LC</v>
      </c>
      <c r="I326" s="1" t="str">
        <f t="shared" si="36"/>
        <v>2014</v>
      </c>
      <c r="J326" s="1" t="str">
        <f t="shared" si="33"/>
        <v>Torchen LC et al., 2014</v>
      </c>
      <c r="K326" s="1" t="str">
        <f t="shared" si="34"/>
        <v>10.1210/jc.2014-1474</v>
      </c>
      <c r="L326" s="1" t="str">
        <f t="shared" si="35"/>
        <v>25029420</v>
      </c>
    </row>
    <row r="327" spans="1:15" ht="30" hidden="1" x14ac:dyDescent="0.25">
      <c r="A327" s="1">
        <f>INDEX(rq_evidence_review!A:A, MATCH(B327, rq_evidence_review!B:B, 0))</f>
        <v>1</v>
      </c>
      <c r="B327" s="6">
        <v>1.1200000000000001</v>
      </c>
      <c r="C327" s="1">
        <f t="shared" si="38"/>
        <v>324</v>
      </c>
      <c r="D327" s="1">
        <v>60</v>
      </c>
      <c r="E327" s="8" t="s">
        <v>1962</v>
      </c>
      <c r="F327" s="1" t="str">
        <f>_xlfn.CONCAT("samestudy_",C$326)</f>
        <v>samestudy_323</v>
      </c>
      <c r="H327" s="1" t="str">
        <f t="shared" si="32"/>
        <v>TORCHEN</v>
      </c>
      <c r="I327" s="1" t="str">
        <f t="shared" si="36"/>
        <v>2013</v>
      </c>
      <c r="J327" s="1" t="str">
        <f t="shared" si="33"/>
        <v>TORCHEN et al., 2013</v>
      </c>
      <c r="O327" s="1" t="s">
        <v>2001</v>
      </c>
    </row>
    <row r="328" spans="1:15" ht="30" hidden="1" x14ac:dyDescent="0.25">
      <c r="A328" s="1">
        <f>INDEX(rq_evidence_review!A:A, MATCH(B328, rq_evidence_review!B:B, 0))</f>
        <v>1</v>
      </c>
      <c r="B328" s="6">
        <v>1.1200000000000001</v>
      </c>
      <c r="C328" s="1">
        <f t="shared" si="38"/>
        <v>325</v>
      </c>
      <c r="D328" s="1">
        <v>60</v>
      </c>
      <c r="E328" s="8" t="s">
        <v>1963</v>
      </c>
      <c r="F328" s="1" t="str">
        <f>_xlfn.CONCAT("samestudy_",C$326)</f>
        <v>samestudy_323</v>
      </c>
      <c r="H328" s="1" t="str">
        <f t="shared" si="32"/>
        <v>TORCHEN</v>
      </c>
      <c r="I328" s="1" t="str">
        <f t="shared" si="36"/>
        <v>2012</v>
      </c>
      <c r="J328" s="1" t="str">
        <f t="shared" si="33"/>
        <v>TORCHEN et al., 2012</v>
      </c>
      <c r="O328" s="1" t="s">
        <v>2000</v>
      </c>
    </row>
    <row r="329" spans="1:15" ht="45" hidden="1" x14ac:dyDescent="0.25">
      <c r="A329" s="1">
        <f>INDEX(rq_evidence_review!A:A, MATCH(B329, rq_evidence_review!B:B, 0))</f>
        <v>1</v>
      </c>
      <c r="B329" s="6">
        <v>1.1200000000000001</v>
      </c>
      <c r="C329" s="1">
        <f t="shared" si="38"/>
        <v>326</v>
      </c>
      <c r="D329" s="1">
        <f>VLOOKUP(B329,rq_evidence_review!$B$1:$L$55,7,FALSE)</f>
        <v>60</v>
      </c>
      <c r="E329" s="8" t="s">
        <v>588</v>
      </c>
      <c r="F329" s="1" t="str">
        <f t="shared" si="37"/>
        <v/>
      </c>
      <c r="H329" s="1" t="str">
        <f t="shared" si="32"/>
        <v>Torchen LC</v>
      </c>
      <c r="I329" s="1" t="str">
        <f t="shared" si="36"/>
        <v>2016</v>
      </c>
      <c r="J329" s="1" t="str">
        <f t="shared" si="33"/>
        <v>Torchen LC et al., 2016</v>
      </c>
      <c r="K329" s="1" t="str">
        <f t="shared" si="34"/>
        <v>10.1210/jc.2015-3926</v>
      </c>
      <c r="L329" s="1" t="str">
        <f t="shared" si="35"/>
        <v>26990942</v>
      </c>
    </row>
    <row r="330" spans="1:15" ht="45" hidden="1" x14ac:dyDescent="0.25">
      <c r="A330" s="1">
        <f>INDEX(rq_evidence_review!A:A, MATCH(B330, rq_evidence_review!B:B, 0))</f>
        <v>1</v>
      </c>
      <c r="B330" s="6">
        <v>1.1200000000000001</v>
      </c>
      <c r="C330" s="1">
        <f t="shared" si="38"/>
        <v>327</v>
      </c>
      <c r="D330" s="1">
        <f>VLOOKUP(B330,rq_evidence_review!$B$1:$L$55,7,FALSE)</f>
        <v>60</v>
      </c>
      <c r="E330" s="8" t="s">
        <v>589</v>
      </c>
      <c r="F330" s="1" t="str">
        <f t="shared" si="37"/>
        <v/>
      </c>
      <c r="H330" s="1" t="str">
        <f t="shared" si="32"/>
        <v>Unlühizarci K</v>
      </c>
      <c r="I330" s="1" t="str">
        <f t="shared" si="36"/>
        <v>2007</v>
      </c>
      <c r="J330" s="1" t="str">
        <f t="shared" si="33"/>
        <v>Unlühizarci K et al., 2007</v>
      </c>
      <c r="K330" s="1" t="str">
        <f t="shared" si="34"/>
        <v>10.1016/j.fertnstert.2006.11.075</v>
      </c>
      <c r="L330" s="1" t="str">
        <f t="shared" si="35"/>
        <v>17336975</v>
      </c>
    </row>
    <row r="331" spans="1:15" ht="30" hidden="1" x14ac:dyDescent="0.25">
      <c r="A331" s="1">
        <f>INDEX(rq_evidence_review!A:A, MATCH(B331, rq_evidence_review!B:B, 0))</f>
        <v>1</v>
      </c>
      <c r="B331" s="6">
        <v>1.1200000000000001</v>
      </c>
      <c r="C331" s="1">
        <f t="shared" si="38"/>
        <v>328</v>
      </c>
      <c r="D331" s="1">
        <f>VLOOKUP(B331,rq_evidence_review!$B$1:$L$55,7,FALSE)</f>
        <v>60</v>
      </c>
      <c r="E331" s="8" t="s">
        <v>590</v>
      </c>
      <c r="F331" s="1" t="str">
        <f t="shared" si="37"/>
        <v/>
      </c>
      <c r="H331" s="1" t="str">
        <f t="shared" si="32"/>
        <v>Vipin VP</v>
      </c>
      <c r="I331" s="1" t="str">
        <f t="shared" si="36"/>
        <v>2016</v>
      </c>
      <c r="J331" s="1" t="str">
        <f t="shared" si="33"/>
        <v>Vipin VP et al., 2016</v>
      </c>
      <c r="K331" s="1" t="str">
        <f t="shared" si="34"/>
        <v>10.1016/j.fertnstert.2016.01.024</v>
      </c>
      <c r="L331" s="1" t="str">
        <f t="shared" si="35"/>
        <v>26852421</v>
      </c>
    </row>
    <row r="332" spans="1:15" ht="30" hidden="1" x14ac:dyDescent="0.25">
      <c r="A332" s="1">
        <f>INDEX(rq_evidence_review!A:A, MATCH(B332, rq_evidence_review!B:B, 0))</f>
        <v>1</v>
      </c>
      <c r="B332" s="6">
        <v>1.1200000000000001</v>
      </c>
      <c r="C332" s="1">
        <f t="shared" si="38"/>
        <v>329</v>
      </c>
      <c r="D332" s="1">
        <f>VLOOKUP(B332,rq_evidence_review!$B$1:$L$55,7,FALSE)</f>
        <v>60</v>
      </c>
      <c r="E332" s="8" t="s">
        <v>591</v>
      </c>
      <c r="F332" s="1" t="str">
        <f t="shared" si="37"/>
        <v/>
      </c>
      <c r="H332" s="1" t="str">
        <f t="shared" si="32"/>
        <v>Wang Y</v>
      </c>
      <c r="I332" s="1" t="str">
        <f t="shared" si="36"/>
        <v>2021</v>
      </c>
      <c r="J332" s="1" t="str">
        <f t="shared" si="33"/>
        <v>Wang Y et al., 2021</v>
      </c>
      <c r="K332" s="1" t="str">
        <f t="shared" si="34"/>
        <v>10.29271/jcpsp.2021.10.1186</v>
      </c>
      <c r="L332" s="1" t="str">
        <f t="shared" si="35"/>
        <v>34601839</v>
      </c>
    </row>
    <row r="333" spans="1:15" ht="30" hidden="1" x14ac:dyDescent="0.25">
      <c r="A333" s="1">
        <f>INDEX(rq_evidence_review!A:A, MATCH(B333, rq_evidence_review!B:B, 0))</f>
        <v>1</v>
      </c>
      <c r="B333" s="6">
        <v>1.1200000000000001</v>
      </c>
      <c r="C333" s="1">
        <f t="shared" si="38"/>
        <v>330</v>
      </c>
      <c r="D333" s="1">
        <f>VLOOKUP(B333,rq_evidence_review!$B$1:$L$55,7,FALSE)</f>
        <v>60</v>
      </c>
      <c r="E333" s="8" t="s">
        <v>592</v>
      </c>
      <c r="F333" s="1" t="str">
        <f t="shared" si="37"/>
        <v/>
      </c>
      <c r="H333" s="1" t="str">
        <f t="shared" si="32"/>
        <v>Yildiz BO</v>
      </c>
      <c r="I333" s="1" t="str">
        <f t="shared" si="36"/>
        <v>2003</v>
      </c>
      <c r="J333" s="1" t="str">
        <f t="shared" si="33"/>
        <v>Yildiz BO et al., 2003</v>
      </c>
      <c r="K333" s="1" t="str">
        <f t="shared" si="34"/>
        <v>10.1210/jc.2002-021499</v>
      </c>
      <c r="L333" s="1" t="str">
        <f t="shared" si="35"/>
        <v>12727950</v>
      </c>
    </row>
    <row r="334" spans="1:15" ht="45" hidden="1" x14ac:dyDescent="0.25">
      <c r="A334" s="1">
        <f>INDEX(rq_evidence_review!A:A, MATCH(B334, rq_evidence_review!B:B, 0))</f>
        <v>1</v>
      </c>
      <c r="B334" s="6">
        <v>1.1200000000000001</v>
      </c>
      <c r="C334" s="1">
        <f t="shared" si="38"/>
        <v>331</v>
      </c>
      <c r="D334" s="1">
        <f>VLOOKUP(B334,rq_evidence_review!$B$1:$L$55,7,FALSE)</f>
        <v>60</v>
      </c>
      <c r="E334" s="8" t="s">
        <v>1930</v>
      </c>
      <c r="F334" s="1" t="str">
        <f t="shared" si="37"/>
        <v>primary_citation</v>
      </c>
      <c r="H334" s="1" t="str">
        <f t="shared" si="32"/>
        <v>Yilmaz M</v>
      </c>
      <c r="I334" s="1" t="str">
        <f t="shared" si="36"/>
        <v>2005</v>
      </c>
      <c r="J334" s="1" t="str">
        <f t="shared" si="33"/>
        <v>Yilmaz M et al., 2005</v>
      </c>
      <c r="K334" s="1" t="str">
        <f t="shared" si="34"/>
        <v>10.1093/humrep/dei070</v>
      </c>
      <c r="L334" s="1" t="str">
        <f t="shared" si="35"/>
        <v>15890734</v>
      </c>
    </row>
    <row r="335" spans="1:15" ht="45" hidden="1" x14ac:dyDescent="0.25">
      <c r="A335" s="1">
        <f>INDEX(rq_evidence_review!A:A, MATCH(B335, rq_evidence_review!B:B, 0))</f>
        <v>1</v>
      </c>
      <c r="B335" s="6">
        <v>1.1200000000000001</v>
      </c>
      <c r="C335" s="1">
        <f t="shared" si="38"/>
        <v>332</v>
      </c>
      <c r="D335" s="1">
        <f>VLOOKUP(B335,rq_evidence_review!$B$1:$L$55,7,FALSE)</f>
        <v>60</v>
      </c>
      <c r="E335" s="8" t="s">
        <v>1929</v>
      </c>
      <c r="F335" s="1" t="str">
        <f>_xlfn.CONCAT("samestudy_",C$334)</f>
        <v>samestudy_331</v>
      </c>
      <c r="H335" s="1" t="str">
        <f>LEFT(E335, FIND(",", E335) - 1)</f>
        <v>Yilmaz M</v>
      </c>
      <c r="I335" s="1" t="str">
        <f>ExtractYear(E335)</f>
        <v>2005</v>
      </c>
      <c r="J335" s="1" t="str">
        <f>H335 &amp; " et al., " &amp; I335</f>
        <v>Yilmaz M et al., 2005</v>
      </c>
      <c r="K335" s="1" t="str">
        <f>ExtractDOI(E335)</f>
        <v>10.1080/09513590500231593</v>
      </c>
      <c r="L335" s="1" t="str">
        <f>ExtractPMID(E335)</f>
        <v>16316841</v>
      </c>
    </row>
    <row r="336" spans="1:15" ht="45" hidden="1" x14ac:dyDescent="0.25">
      <c r="A336" s="1">
        <f>INDEX(rq_evidence_review!A:A, MATCH(B336, rq_evidence_review!B:B, 0))</f>
        <v>1</v>
      </c>
      <c r="B336" s="6">
        <v>1.1200000000000001</v>
      </c>
      <c r="C336" s="1">
        <f t="shared" si="38"/>
        <v>333</v>
      </c>
      <c r="D336" s="1">
        <f>VLOOKUP(B336,rq_evidence_review!$B$1:$L$55,7,FALSE)</f>
        <v>60</v>
      </c>
      <c r="E336" s="8" t="s">
        <v>593</v>
      </c>
      <c r="F336" s="1" t="str">
        <f t="shared" si="37"/>
        <v/>
      </c>
      <c r="H336" s="1" t="str">
        <f t="shared" si="32"/>
        <v>Zhang F</v>
      </c>
      <c r="I336" s="1" t="str">
        <f t="shared" si="36"/>
        <v>2022</v>
      </c>
      <c r="J336" s="1" t="str">
        <f t="shared" si="33"/>
        <v>Zhang F et al., 2022</v>
      </c>
      <c r="K336" s="1" t="str">
        <f t="shared" si="34"/>
        <v>10.1007/s10815-021-02378-9</v>
      </c>
      <c r="L336" s="1" t="str">
        <f t="shared" si="35"/>
        <v>35048272</v>
      </c>
    </row>
    <row r="337" spans="1:12" ht="45" hidden="1" x14ac:dyDescent="0.25">
      <c r="A337" s="1">
        <f>INDEX(rq_evidence_review!A:A, MATCH(B337, rq_evidence_review!B:B, 0))</f>
        <v>2</v>
      </c>
      <c r="B337" s="6" t="str">
        <f>rq_evidence_review!B15</f>
        <v>2.1.1 / 2.1.2</v>
      </c>
      <c r="C337" s="1">
        <f t="shared" si="38"/>
        <v>334</v>
      </c>
      <c r="D337" s="1">
        <f>VLOOKUP(B337,rq_evidence_review!$B$1:$L$55,7,FALSE)</f>
        <v>36</v>
      </c>
      <c r="E337" s="8" t="s">
        <v>1075</v>
      </c>
      <c r="F337" s="1" t="str">
        <f t="shared" si="37"/>
        <v/>
      </c>
      <c r="H337" s="1" t="str">
        <f t="shared" si="32"/>
        <v>Bazarganipour</v>
      </c>
      <c r="I337" s="1" t="str">
        <f t="shared" si="36"/>
        <v>2020</v>
      </c>
      <c r="J337" s="1" t="str">
        <f t="shared" si="33"/>
        <v>Bazarganipour et al., 2020</v>
      </c>
      <c r="K337" s="1" t="s">
        <v>1531</v>
      </c>
      <c r="L337" s="1" t="str">
        <f t="shared" si="35"/>
        <v/>
      </c>
    </row>
    <row r="338" spans="1:12" ht="30" hidden="1" x14ac:dyDescent="0.25">
      <c r="A338" s="1">
        <f>INDEX(rq_evidence_review!A:A, MATCH(B338, rq_evidence_review!B:B, 0))</f>
        <v>2</v>
      </c>
      <c r="B338" s="6" t="s">
        <v>67</v>
      </c>
      <c r="C338" s="1">
        <f t="shared" si="38"/>
        <v>335</v>
      </c>
      <c r="D338" s="1">
        <f>VLOOKUP(B338,rq_evidence_review!$B$1:$L$55,7,FALSE)</f>
        <v>36</v>
      </c>
      <c r="E338" s="8" t="s">
        <v>1074</v>
      </c>
      <c r="F338" s="1" t="str">
        <f t="shared" si="37"/>
        <v/>
      </c>
      <c r="H338" s="1" t="str">
        <f t="shared" si="32"/>
        <v>Boivin</v>
      </c>
      <c r="I338" s="1" t="str">
        <f t="shared" si="36"/>
        <v>2020</v>
      </c>
      <c r="J338" s="1" t="str">
        <f t="shared" si="33"/>
        <v>Boivin et al., 2020</v>
      </c>
      <c r="K338" s="9" t="s">
        <v>1532</v>
      </c>
      <c r="L338" s="1" t="str">
        <f t="shared" si="35"/>
        <v/>
      </c>
    </row>
    <row r="339" spans="1:12" ht="45" hidden="1" x14ac:dyDescent="0.25">
      <c r="A339" s="1">
        <f>INDEX(rq_evidence_review!A:A, MATCH(B339, rq_evidence_review!B:B, 0))</f>
        <v>2</v>
      </c>
      <c r="B339" s="6" t="s">
        <v>67</v>
      </c>
      <c r="C339" s="1">
        <f t="shared" si="38"/>
        <v>336</v>
      </c>
      <c r="D339" s="1">
        <f>VLOOKUP(B339,rq_evidence_review!$B$1:$L$55,7,FALSE)</f>
        <v>36</v>
      </c>
      <c r="E339" s="8" t="s">
        <v>1073</v>
      </c>
      <c r="F339" s="1" t="str">
        <f t="shared" si="37"/>
        <v/>
      </c>
      <c r="H339" s="1" t="str">
        <f t="shared" si="32"/>
        <v>Borghi</v>
      </c>
      <c r="I339" s="1" t="str">
        <f t="shared" si="36"/>
        <v>2018</v>
      </c>
      <c r="J339" s="1" t="str">
        <f t="shared" si="33"/>
        <v>Borghi et al., 2018</v>
      </c>
      <c r="K339" s="9" t="s">
        <v>1533</v>
      </c>
      <c r="L339" s="1" t="str">
        <f t="shared" si="35"/>
        <v/>
      </c>
    </row>
    <row r="340" spans="1:12" ht="30" hidden="1" x14ac:dyDescent="0.25">
      <c r="A340" s="1">
        <f>INDEX(rq_evidence_review!A:A, MATCH(B340, rq_evidence_review!B:B, 0))</f>
        <v>2</v>
      </c>
      <c r="B340" s="6" t="s">
        <v>67</v>
      </c>
      <c r="C340" s="1">
        <f t="shared" si="38"/>
        <v>337</v>
      </c>
      <c r="D340" s="1">
        <f>VLOOKUP(B340,rq_evidence_review!$B$1:$L$55,7,FALSE)</f>
        <v>36</v>
      </c>
      <c r="E340" s="8" t="s">
        <v>1072</v>
      </c>
      <c r="F340" s="1" t="str">
        <f t="shared" si="37"/>
        <v/>
      </c>
      <c r="H340" s="1" t="str">
        <f t="shared" si="32"/>
        <v>Coban OG</v>
      </c>
      <c r="I340" s="1" t="str">
        <f t="shared" si="36"/>
        <v>2019</v>
      </c>
      <c r="J340" s="1" t="str">
        <f t="shared" si="33"/>
        <v>Coban OG et al., 2019</v>
      </c>
      <c r="K340" s="9" t="s">
        <v>1534</v>
      </c>
      <c r="L340" s="1" t="str">
        <f t="shared" si="35"/>
        <v/>
      </c>
    </row>
    <row r="341" spans="1:12" ht="45" hidden="1" x14ac:dyDescent="0.25">
      <c r="A341" s="1">
        <f>INDEX(rq_evidence_review!A:A, MATCH(B341, rq_evidence_review!B:B, 0))</f>
        <v>2</v>
      </c>
      <c r="B341" s="6" t="s">
        <v>67</v>
      </c>
      <c r="C341" s="1">
        <f t="shared" si="38"/>
        <v>338</v>
      </c>
      <c r="D341" s="1">
        <f>VLOOKUP(B341,rq_evidence_review!$B$1:$L$55,7,FALSE)</f>
        <v>36</v>
      </c>
      <c r="E341" s="8" t="s">
        <v>1071</v>
      </c>
      <c r="F341" s="1" t="str">
        <f t="shared" si="37"/>
        <v/>
      </c>
      <c r="H341" s="1" t="str">
        <f t="shared" si="32"/>
        <v>Donbaloglu</v>
      </c>
      <c r="I341" s="1" t="str">
        <f t="shared" si="36"/>
        <v>2022</v>
      </c>
      <c r="J341" s="1" t="str">
        <f t="shared" si="33"/>
        <v>Donbaloglu et al., 2022</v>
      </c>
      <c r="K341" s="9" t="s">
        <v>1535</v>
      </c>
      <c r="L341" s="1" t="str">
        <f t="shared" si="35"/>
        <v/>
      </c>
    </row>
    <row r="342" spans="1:12" ht="45" hidden="1" x14ac:dyDescent="0.25">
      <c r="A342" s="1">
        <f>INDEX(rq_evidence_review!A:A, MATCH(B342, rq_evidence_review!B:B, 0))</f>
        <v>2</v>
      </c>
      <c r="B342" s="6" t="s">
        <v>67</v>
      </c>
      <c r="C342" s="1">
        <f t="shared" si="38"/>
        <v>339</v>
      </c>
      <c r="D342" s="1">
        <f>VLOOKUP(B342,rq_evidence_review!$B$1:$L$55,7,FALSE)</f>
        <v>36</v>
      </c>
      <c r="E342" s="8" t="s">
        <v>1070</v>
      </c>
      <c r="F342" s="1" t="str">
        <f t="shared" si="37"/>
        <v/>
      </c>
      <c r="H342" s="1" t="str">
        <f t="shared" si="32"/>
        <v>Jose</v>
      </c>
      <c r="I342" s="1" t="str">
        <f t="shared" si="36"/>
        <v>2018</v>
      </c>
      <c r="J342" s="1" t="str">
        <f t="shared" si="33"/>
        <v>Jose et al., 2018</v>
      </c>
      <c r="K342" s="9" t="s">
        <v>1536</v>
      </c>
      <c r="L342" s="1" t="str">
        <f t="shared" si="35"/>
        <v/>
      </c>
    </row>
    <row r="343" spans="1:12" ht="30" hidden="1" x14ac:dyDescent="0.25">
      <c r="A343" s="1">
        <f>INDEX(rq_evidence_review!A:A, MATCH(B343, rq_evidence_review!B:B, 0))</f>
        <v>2</v>
      </c>
      <c r="B343" s="6" t="s">
        <v>67</v>
      </c>
      <c r="C343" s="1">
        <f t="shared" si="38"/>
        <v>340</v>
      </c>
      <c r="D343" s="1">
        <f>VLOOKUP(B343,rq_evidence_review!$B$1:$L$55,7,FALSE)</f>
        <v>36</v>
      </c>
      <c r="E343" s="8" t="s">
        <v>1069</v>
      </c>
      <c r="F343" s="1" t="str">
        <f t="shared" si="37"/>
        <v/>
      </c>
      <c r="H343" s="1" t="str">
        <f t="shared" si="32"/>
        <v>Kahal</v>
      </c>
      <c r="I343" s="1" t="str">
        <f t="shared" si="36"/>
        <v>2019</v>
      </c>
      <c r="J343" s="1" t="str">
        <f t="shared" si="33"/>
        <v>Kahal et al., 2019</v>
      </c>
      <c r="K343" s="1" t="s">
        <v>1537</v>
      </c>
      <c r="L343" s="1" t="str">
        <f t="shared" si="35"/>
        <v/>
      </c>
    </row>
    <row r="344" spans="1:12" ht="30" hidden="1" x14ac:dyDescent="0.25">
      <c r="A344" s="1">
        <f>INDEX(rq_evidence_review!A:A, MATCH(B344, rq_evidence_review!B:B, 0))</f>
        <v>2</v>
      </c>
      <c r="B344" s="6" t="s">
        <v>67</v>
      </c>
      <c r="C344" s="1">
        <f t="shared" si="38"/>
        <v>341</v>
      </c>
      <c r="D344" s="1">
        <f>VLOOKUP(B344,rq_evidence_review!$B$1:$L$55,7,FALSE)</f>
        <v>36</v>
      </c>
      <c r="E344" s="8" t="s">
        <v>1068</v>
      </c>
      <c r="F344" s="1" t="str">
        <f t="shared" si="37"/>
        <v/>
      </c>
      <c r="H344" s="1" t="str">
        <f t="shared" si="32"/>
        <v>Kaluzna</v>
      </c>
      <c r="I344" s="1" t="str">
        <f t="shared" si="36"/>
        <v>2021</v>
      </c>
      <c r="J344" s="1" t="str">
        <f t="shared" si="33"/>
        <v>Kaluzna et al., 2021</v>
      </c>
      <c r="K344" s="9" t="s">
        <v>1538</v>
      </c>
      <c r="L344" s="1" t="str">
        <f t="shared" si="35"/>
        <v/>
      </c>
    </row>
    <row r="345" spans="1:12" ht="45" hidden="1" x14ac:dyDescent="0.25">
      <c r="A345" s="1">
        <f>INDEX(rq_evidence_review!A:A, MATCH(B345, rq_evidence_review!B:B, 0))</f>
        <v>2</v>
      </c>
      <c r="B345" s="6" t="s">
        <v>67</v>
      </c>
      <c r="C345" s="1">
        <f t="shared" si="38"/>
        <v>342</v>
      </c>
      <c r="D345" s="1">
        <f>VLOOKUP(B345,rq_evidence_review!$B$1:$L$55,7,FALSE)</f>
        <v>36</v>
      </c>
      <c r="E345" s="8" t="s">
        <v>1067</v>
      </c>
      <c r="F345" s="1" t="str">
        <f t="shared" si="37"/>
        <v/>
      </c>
      <c r="H345" s="1" t="str">
        <f t="shared" si="32"/>
        <v>Karjula</v>
      </c>
      <c r="I345" s="1" t="str">
        <f t="shared" si="36"/>
        <v>2020</v>
      </c>
      <c r="J345" s="1" t="str">
        <f t="shared" si="33"/>
        <v>Karjula et al., 2020</v>
      </c>
      <c r="K345" s="9" t="s">
        <v>1539</v>
      </c>
      <c r="L345" s="1" t="str">
        <f t="shared" si="35"/>
        <v/>
      </c>
    </row>
    <row r="346" spans="1:12" ht="30" hidden="1" x14ac:dyDescent="0.25">
      <c r="A346" s="1">
        <f>INDEX(rq_evidence_review!A:A, MATCH(B346, rq_evidence_review!B:B, 0))</f>
        <v>2</v>
      </c>
      <c r="B346" s="6" t="s">
        <v>67</v>
      </c>
      <c r="C346" s="1">
        <f t="shared" si="38"/>
        <v>343</v>
      </c>
      <c r="D346" s="1">
        <f>VLOOKUP(B346,rq_evidence_review!$B$1:$L$55,7,FALSE)</f>
        <v>36</v>
      </c>
      <c r="E346" s="8" t="s">
        <v>1066</v>
      </c>
      <c r="F346" s="1" t="str">
        <f t="shared" si="37"/>
        <v/>
      </c>
      <c r="H346" s="1" t="str">
        <f t="shared" si="32"/>
        <v>Kutlu</v>
      </c>
      <c r="I346" s="1" t="str">
        <f t="shared" si="36"/>
        <v>2020</v>
      </c>
      <c r="J346" s="1" t="str">
        <f t="shared" si="33"/>
        <v>Kutlu et al., 2020</v>
      </c>
      <c r="K346" s="9" t="s">
        <v>1540</v>
      </c>
      <c r="L346" s="1" t="str">
        <f t="shared" si="35"/>
        <v/>
      </c>
    </row>
    <row r="347" spans="1:12" ht="30" hidden="1" x14ac:dyDescent="0.25">
      <c r="A347" s="1">
        <f>INDEX(rq_evidence_review!A:A, MATCH(B347, rq_evidence_review!B:B, 0))</f>
        <v>2</v>
      </c>
      <c r="B347" s="6" t="s">
        <v>67</v>
      </c>
      <c r="C347" s="1">
        <f t="shared" si="38"/>
        <v>344</v>
      </c>
      <c r="D347" s="1">
        <f>VLOOKUP(B347,rq_evidence_review!$B$1:$L$55,7,FALSE)</f>
        <v>36</v>
      </c>
      <c r="E347" s="8" t="s">
        <v>1065</v>
      </c>
      <c r="F347" s="1" t="str">
        <f t="shared" si="37"/>
        <v/>
      </c>
      <c r="H347" s="1" t="str">
        <f t="shared" si="32"/>
        <v>Lidaka</v>
      </c>
      <c r="I347" s="1" t="str">
        <f t="shared" si="36"/>
        <v>2019</v>
      </c>
      <c r="J347" s="1" t="str">
        <f t="shared" si="33"/>
        <v>Lidaka et al., 2019</v>
      </c>
      <c r="K347" s="9" t="s">
        <v>1541</v>
      </c>
      <c r="L347" s="1" t="str">
        <f t="shared" si="35"/>
        <v/>
      </c>
    </row>
    <row r="348" spans="1:12" ht="30" hidden="1" x14ac:dyDescent="0.25">
      <c r="A348" s="1">
        <f>INDEX(rq_evidence_review!A:A, MATCH(B348, rq_evidence_review!B:B, 0))</f>
        <v>2</v>
      </c>
      <c r="B348" s="6" t="s">
        <v>67</v>
      </c>
      <c r="C348" s="1">
        <f t="shared" si="38"/>
        <v>345</v>
      </c>
      <c r="D348" s="1">
        <f>VLOOKUP(B348,rq_evidence_review!$B$1:$L$55,7,FALSE)</f>
        <v>36</v>
      </c>
      <c r="E348" s="8" t="s">
        <v>1064</v>
      </c>
      <c r="F348" s="1" t="str">
        <f t="shared" si="37"/>
        <v/>
      </c>
      <c r="H348" s="1" t="str">
        <f t="shared" si="32"/>
        <v>Ozcan Dag</v>
      </c>
      <c r="I348" s="1" t="str">
        <f t="shared" si="36"/>
        <v>2017</v>
      </c>
      <c r="J348" s="1" t="str">
        <f t="shared" si="33"/>
        <v>Ozcan Dag et al., 2017</v>
      </c>
      <c r="K348" s="9" t="s">
        <v>1542</v>
      </c>
      <c r="L348" s="1" t="str">
        <f t="shared" si="35"/>
        <v/>
      </c>
    </row>
    <row r="349" spans="1:12" ht="30" hidden="1" x14ac:dyDescent="0.25">
      <c r="A349" s="1">
        <f>INDEX(rq_evidence_review!A:A, MATCH(B349, rq_evidence_review!B:B, 0))</f>
        <v>2</v>
      </c>
      <c r="B349" s="6" t="s">
        <v>67</v>
      </c>
      <c r="C349" s="1">
        <f t="shared" si="38"/>
        <v>346</v>
      </c>
      <c r="D349" s="1">
        <f>VLOOKUP(B349,rq_evidence_review!$B$1:$L$55,7,FALSE)</f>
        <v>36</v>
      </c>
      <c r="E349" s="8" t="s">
        <v>1063</v>
      </c>
      <c r="F349" s="1" t="str">
        <f t="shared" si="37"/>
        <v/>
      </c>
      <c r="H349" s="1" t="str">
        <f t="shared" si="32"/>
        <v>Panico A</v>
      </c>
      <c r="I349" s="1" t="str">
        <f t="shared" si="36"/>
        <v>2017</v>
      </c>
      <c r="J349" s="1" t="str">
        <f t="shared" si="33"/>
        <v>Panico A et al., 2017</v>
      </c>
      <c r="K349" s="9" t="s">
        <v>1544</v>
      </c>
      <c r="L349" s="1" t="str">
        <f t="shared" si="35"/>
        <v/>
      </c>
    </row>
    <row r="350" spans="1:12" ht="30" hidden="1" x14ac:dyDescent="0.25">
      <c r="A350" s="1">
        <f>INDEX(rq_evidence_review!A:A, MATCH(B350, rq_evidence_review!B:B, 0))</f>
        <v>2</v>
      </c>
      <c r="B350" s="6" t="s">
        <v>67</v>
      </c>
      <c r="C350" s="1">
        <f t="shared" ref="C350:C413" si="45">C349+1</f>
        <v>347</v>
      </c>
      <c r="D350" s="1">
        <f>VLOOKUP(B350,rq_evidence_review!$B$1:$L$55,7,FALSE)</f>
        <v>36</v>
      </c>
      <c r="E350" s="8" t="s">
        <v>1062</v>
      </c>
      <c r="F350" s="1" t="str">
        <f t="shared" si="37"/>
        <v/>
      </c>
      <c r="H350" s="1" t="str">
        <f t="shared" si="32"/>
        <v>Rzonca</v>
      </c>
      <c r="I350" s="1" t="str">
        <f t="shared" si="36"/>
        <v>2018</v>
      </c>
      <c r="J350" s="1" t="str">
        <f t="shared" si="33"/>
        <v>Rzonca et al., 2018</v>
      </c>
      <c r="K350" s="9" t="s">
        <v>1543</v>
      </c>
      <c r="L350" s="1" t="str">
        <f t="shared" si="35"/>
        <v/>
      </c>
    </row>
    <row r="351" spans="1:12" ht="45" hidden="1" x14ac:dyDescent="0.25">
      <c r="A351" s="1">
        <f>INDEX(rq_evidence_review!A:A, MATCH(B351, rq_evidence_review!B:B, 0))</f>
        <v>2</v>
      </c>
      <c r="B351" s="6" t="s">
        <v>67</v>
      </c>
      <c r="C351" s="1">
        <f t="shared" si="45"/>
        <v>348</v>
      </c>
      <c r="D351" s="1">
        <f>VLOOKUP(B351,rq_evidence_review!$B$1:$L$55,7,FALSE)</f>
        <v>36</v>
      </c>
      <c r="E351" s="8" t="s">
        <v>1061</v>
      </c>
      <c r="F351" s="1" t="str">
        <f t="shared" si="37"/>
        <v/>
      </c>
      <c r="H351" s="1" t="str">
        <f t="shared" si="32"/>
        <v>Sanchez-Ferrer</v>
      </c>
      <c r="I351" s="1" t="str">
        <f t="shared" si="36"/>
        <v>2020</v>
      </c>
      <c r="J351" s="1" t="str">
        <f t="shared" si="33"/>
        <v>Sanchez-Ferrer et al., 2020</v>
      </c>
      <c r="K351" s="9" t="s">
        <v>1545</v>
      </c>
      <c r="L351" s="1" t="str">
        <f t="shared" si="35"/>
        <v/>
      </c>
    </row>
    <row r="352" spans="1:12" ht="30" hidden="1" x14ac:dyDescent="0.25">
      <c r="A352" s="1">
        <f>INDEX(rq_evidence_review!A:A, MATCH(B352, rq_evidence_review!B:B, 0))</f>
        <v>2</v>
      </c>
      <c r="B352" s="6" t="s">
        <v>67</v>
      </c>
      <c r="C352" s="1">
        <f t="shared" si="45"/>
        <v>349</v>
      </c>
      <c r="D352" s="1">
        <f>VLOOKUP(B352,rq_evidence_review!$B$1:$L$55,7,FALSE)</f>
        <v>36</v>
      </c>
      <c r="E352" s="8" t="s">
        <v>1060</v>
      </c>
      <c r="F352" s="1" t="str">
        <f t="shared" si="37"/>
        <v/>
      </c>
      <c r="H352" s="1" t="str">
        <f t="shared" ref="H352:H415" si="46">LEFT(E352, FIND(",", E352) - 1)</f>
        <v>Stevanovic</v>
      </c>
      <c r="I352" s="1" t="str">
        <f t="shared" si="36"/>
        <v>2019</v>
      </c>
      <c r="J352" s="1" t="str">
        <f t="shared" ref="J352:J415" si="47">H352 &amp; " et al., " &amp; I352</f>
        <v>Stevanovic et al., 2019</v>
      </c>
      <c r="K352" s="9" t="s">
        <v>1546</v>
      </c>
      <c r="L352" s="1" t="str">
        <f t="shared" ref="L352:L415" si="48">ExtractPMID(E352)</f>
        <v/>
      </c>
    </row>
    <row r="353" spans="1:14" ht="30" hidden="1" x14ac:dyDescent="0.25">
      <c r="A353" s="1">
        <f>INDEX(rq_evidence_review!A:A, MATCH(B353, rq_evidence_review!B:B, 0))</f>
        <v>2</v>
      </c>
      <c r="B353" s="6" t="s">
        <v>67</v>
      </c>
      <c r="C353" s="1">
        <f t="shared" si="45"/>
        <v>350</v>
      </c>
      <c r="D353" s="1">
        <f>VLOOKUP(B353,rq_evidence_review!$B$1:$L$55,7,FALSE)</f>
        <v>36</v>
      </c>
      <c r="E353" s="8" t="s">
        <v>1059</v>
      </c>
      <c r="F353" s="1" t="str">
        <f t="shared" si="37"/>
        <v/>
      </c>
      <c r="H353" s="1" t="str">
        <f t="shared" si="46"/>
        <v>Tan</v>
      </c>
      <c r="I353" s="1" t="str">
        <f t="shared" ref="I353:I416" si="49">ExtractYear(E353)</f>
        <v>2017</v>
      </c>
      <c r="J353" s="1" t="str">
        <f t="shared" si="47"/>
        <v>Tan et al., 2017</v>
      </c>
      <c r="K353" s="9" t="s">
        <v>1547</v>
      </c>
      <c r="L353" s="1" t="str">
        <f t="shared" si="48"/>
        <v/>
      </c>
    </row>
    <row r="354" spans="1:14" ht="45" hidden="1" x14ac:dyDescent="0.25">
      <c r="A354" s="1">
        <f>INDEX(rq_evidence_review!A:A, MATCH(B354, rq_evidence_review!B:B, 0))</f>
        <v>2</v>
      </c>
      <c r="B354" s="6" t="s">
        <v>67</v>
      </c>
      <c r="C354" s="1">
        <f t="shared" si="45"/>
        <v>351</v>
      </c>
      <c r="D354" s="1">
        <f>VLOOKUP(B354,rq_evidence_review!$B$1:$L$55,7,FALSE)</f>
        <v>36</v>
      </c>
      <c r="E354" s="8" t="s">
        <v>1058</v>
      </c>
      <c r="F354" s="1" t="str">
        <f t="shared" si="37"/>
        <v/>
      </c>
      <c r="H354" s="1" t="str">
        <f t="shared" si="46"/>
        <v>Wang</v>
      </c>
      <c r="I354" s="1" t="str">
        <f t="shared" si="49"/>
        <v>2021</v>
      </c>
      <c r="J354" s="1" t="str">
        <f t="shared" si="47"/>
        <v>Wang et al., 2021</v>
      </c>
      <c r="K354" s="9" t="s">
        <v>1548</v>
      </c>
      <c r="L354" s="1" t="str">
        <f t="shared" si="48"/>
        <v/>
      </c>
    </row>
    <row r="355" spans="1:14" ht="30" hidden="1" x14ac:dyDescent="0.25">
      <c r="A355" s="1">
        <f>INDEX(rq_evidence_review!A:A, MATCH(B355, rq_evidence_review!B:B, 0))</f>
        <v>2</v>
      </c>
      <c r="B355" s="6" t="s">
        <v>67</v>
      </c>
      <c r="C355" s="1">
        <f t="shared" si="45"/>
        <v>352</v>
      </c>
      <c r="D355" s="1">
        <f>VLOOKUP(B355,rq_evidence_review!$B$1:$L$55,7,FALSE)</f>
        <v>36</v>
      </c>
      <c r="E355" s="8" t="s">
        <v>1057</v>
      </c>
      <c r="F355" s="1" t="str">
        <f t="shared" si="37"/>
        <v/>
      </c>
      <c r="G355" s="1" t="s">
        <v>65</v>
      </c>
      <c r="H355" s="1" t="str">
        <f t="shared" si="46"/>
        <v>Behboodi Moghadam</v>
      </c>
      <c r="I355" s="1" t="str">
        <f t="shared" si="49"/>
        <v>2018</v>
      </c>
      <c r="J355" s="1" t="str">
        <f t="shared" si="47"/>
        <v>Behboodi Moghadam et al., 2018</v>
      </c>
      <c r="K355" s="9" t="s">
        <v>1549</v>
      </c>
      <c r="L355" s="1" t="str">
        <f t="shared" si="48"/>
        <v/>
      </c>
    </row>
    <row r="356" spans="1:14" ht="30" hidden="1" x14ac:dyDescent="0.25">
      <c r="A356" s="1">
        <f>INDEX(rq_evidence_review!A:A, MATCH(B356, rq_evidence_review!B:B, 0))</f>
        <v>2</v>
      </c>
      <c r="B356" s="6" t="s">
        <v>67</v>
      </c>
      <c r="C356" s="1">
        <f t="shared" si="45"/>
        <v>353</v>
      </c>
      <c r="D356" s="1">
        <f>VLOOKUP(B356,rq_evidence_review!$B$1:$L$55,7,FALSE)</f>
        <v>36</v>
      </c>
      <c r="E356" s="8" t="s">
        <v>1056</v>
      </c>
      <c r="F356" s="1" t="str">
        <f t="shared" si="37"/>
        <v/>
      </c>
      <c r="G356" s="1" t="s">
        <v>65</v>
      </c>
      <c r="H356" s="1" t="str">
        <f t="shared" si="46"/>
        <v>Castelo-Branco</v>
      </c>
      <c r="I356" s="1" t="str">
        <f t="shared" si="49"/>
        <v>2020</v>
      </c>
      <c r="J356" s="1" t="str">
        <f t="shared" si="47"/>
        <v>Castelo-Branco et al., 2020</v>
      </c>
      <c r="K356" s="9" t="s">
        <v>1550</v>
      </c>
      <c r="L356" s="1" t="str">
        <f t="shared" si="48"/>
        <v/>
      </c>
    </row>
    <row r="357" spans="1:14" ht="45" hidden="1" x14ac:dyDescent="0.25">
      <c r="A357" s="1">
        <f>INDEX(rq_evidence_review!A:A, MATCH(B357, rq_evidence_review!B:B, 0))</f>
        <v>2</v>
      </c>
      <c r="B357" s="6" t="s">
        <v>67</v>
      </c>
      <c r="C357" s="1">
        <f t="shared" si="45"/>
        <v>354</v>
      </c>
      <c r="D357" s="1">
        <f>VLOOKUP(B357,rq_evidence_review!$B$1:$L$55,7,FALSE)</f>
        <v>36</v>
      </c>
      <c r="E357" s="8" t="s">
        <v>1055</v>
      </c>
      <c r="F357" s="1" t="str">
        <f t="shared" si="37"/>
        <v/>
      </c>
      <c r="G357" s="1" t="s">
        <v>65</v>
      </c>
      <c r="H357" s="1" t="str">
        <f t="shared" si="46"/>
        <v>Dokras</v>
      </c>
      <c r="I357" s="1" t="str">
        <f t="shared" si="49"/>
        <v>2018</v>
      </c>
      <c r="J357" s="1" t="str">
        <f t="shared" si="47"/>
        <v>Dokras et al., 2018</v>
      </c>
      <c r="K357" s="9" t="s">
        <v>1551</v>
      </c>
      <c r="L357" s="1" t="str">
        <f t="shared" si="48"/>
        <v/>
      </c>
    </row>
    <row r="358" spans="1:14" ht="30" hidden="1" x14ac:dyDescent="0.25">
      <c r="A358" s="1">
        <f>INDEX(rq_evidence_review!A:A, MATCH(B358, rq_evidence_review!B:B, 0))</f>
        <v>2</v>
      </c>
      <c r="B358" s="6" t="s">
        <v>67</v>
      </c>
      <c r="C358" s="1">
        <f t="shared" si="45"/>
        <v>355</v>
      </c>
      <c r="D358" s="1">
        <f>VLOOKUP(B358,rq_evidence_review!$B$1:$L$55,7,FALSE)</f>
        <v>36</v>
      </c>
      <c r="E358" s="8" t="s">
        <v>1054</v>
      </c>
      <c r="F358" s="1" t="str">
        <f t="shared" si="37"/>
        <v/>
      </c>
      <c r="G358" s="1" t="s">
        <v>65</v>
      </c>
      <c r="H358" s="1" t="str">
        <f t="shared" si="46"/>
        <v>Wilson</v>
      </c>
      <c r="I358" s="1" t="str">
        <f t="shared" si="49"/>
        <v>2020</v>
      </c>
      <c r="J358" s="1" t="str">
        <f t="shared" si="47"/>
        <v>Wilson et al., 2020</v>
      </c>
      <c r="K358" s="9" t="s">
        <v>1552</v>
      </c>
      <c r="L358" s="1" t="str">
        <f t="shared" si="48"/>
        <v/>
      </c>
    </row>
    <row r="359" spans="1:14" ht="30" hidden="1" x14ac:dyDescent="0.25">
      <c r="A359" s="1">
        <f>INDEX(rq_evidence_review!A:A, MATCH(B359, rq_evidence_review!B:B, 0))</f>
        <v>2</v>
      </c>
      <c r="B359" s="6" t="s">
        <v>67</v>
      </c>
      <c r="C359" s="1">
        <f t="shared" si="45"/>
        <v>356</v>
      </c>
      <c r="D359" s="1">
        <f>VLOOKUP(B359,rq_evidence_review!$B$1:$L$55,7,FALSE)</f>
        <v>36</v>
      </c>
      <c r="E359" s="8" t="s">
        <v>1053</v>
      </c>
      <c r="F359" s="1" t="str">
        <f t="shared" si="37"/>
        <v/>
      </c>
      <c r="G359" s="1" t="s">
        <v>65</v>
      </c>
      <c r="H359" s="1" t="str">
        <f t="shared" si="46"/>
        <v>Yin</v>
      </c>
      <c r="I359" s="1" t="str">
        <f t="shared" si="49"/>
        <v>2021</v>
      </c>
      <c r="J359" s="1" t="str">
        <f t="shared" si="47"/>
        <v>Yin et al., 2021</v>
      </c>
      <c r="K359" s="9" t="s">
        <v>1553</v>
      </c>
      <c r="L359" s="1" t="str">
        <f t="shared" si="48"/>
        <v/>
      </c>
    </row>
    <row r="360" spans="1:14" ht="30" hidden="1" x14ac:dyDescent="0.25">
      <c r="A360" s="1">
        <f>INDEX(rq_evidence_review!A:A, MATCH(B360, rq_evidence_review!B:B, 0))</f>
        <v>2</v>
      </c>
      <c r="B360" s="6" t="s">
        <v>67</v>
      </c>
      <c r="C360" s="1">
        <f t="shared" si="45"/>
        <v>357</v>
      </c>
      <c r="D360" s="1">
        <f>VLOOKUP(B360,rq_evidence_review!$B$1:$L$55,7,FALSE)</f>
        <v>36</v>
      </c>
      <c r="E360" s="8" t="s">
        <v>1052</v>
      </c>
      <c r="F360" s="1" t="str">
        <f t="shared" si="37"/>
        <v/>
      </c>
      <c r="G360" s="1" t="s">
        <v>945</v>
      </c>
      <c r="H360" s="1" t="str">
        <f t="shared" si="46"/>
        <v>Acmaz G</v>
      </c>
      <c r="I360" s="1" t="str">
        <f t="shared" si="49"/>
        <v>2013</v>
      </c>
      <c r="J360" s="1" t="str">
        <f t="shared" si="47"/>
        <v>Acmaz G et al., 2013</v>
      </c>
      <c r="K360" s="9" t="s">
        <v>1554</v>
      </c>
      <c r="L360" s="1" t="str">
        <f t="shared" si="48"/>
        <v/>
      </c>
    </row>
    <row r="361" spans="1:14" ht="30" hidden="1" x14ac:dyDescent="0.25">
      <c r="A361" s="1">
        <f>INDEX(rq_evidence_review!A:A, MATCH(B361, rq_evidence_review!B:B, 0))</f>
        <v>2</v>
      </c>
      <c r="B361" s="6" t="s">
        <v>67</v>
      </c>
      <c r="C361" s="1">
        <f t="shared" si="45"/>
        <v>358</v>
      </c>
      <c r="D361" s="1">
        <f>VLOOKUP(B361,rq_evidence_review!$B$1:$L$55,7,FALSE)</f>
        <v>36</v>
      </c>
      <c r="E361" s="8" t="s">
        <v>1051</v>
      </c>
      <c r="F361" s="1" t="str">
        <f t="shared" si="37"/>
        <v/>
      </c>
      <c r="G361" s="1" t="s">
        <v>945</v>
      </c>
      <c r="H361" s="1" t="str">
        <f t="shared" si="46"/>
        <v>Benetti-Pinto</v>
      </c>
      <c r="I361" s="1" t="str">
        <f t="shared" si="49"/>
        <v>2015</v>
      </c>
      <c r="J361" s="1" t="str">
        <f t="shared" si="47"/>
        <v>Benetti-Pinto et al., 2015</v>
      </c>
      <c r="K361" s="9" t="s">
        <v>1555</v>
      </c>
      <c r="L361" s="1" t="str">
        <f t="shared" si="48"/>
        <v/>
      </c>
    </row>
    <row r="362" spans="1:14" ht="30" hidden="1" x14ac:dyDescent="0.25">
      <c r="A362" s="1">
        <f>INDEX(rq_evidence_review!A:A, MATCH(B362, rq_evidence_review!B:B, 0))</f>
        <v>2</v>
      </c>
      <c r="B362" s="6" t="s">
        <v>67</v>
      </c>
      <c r="C362" s="1">
        <f t="shared" si="45"/>
        <v>359</v>
      </c>
      <c r="D362" s="1">
        <f>VLOOKUP(B362,rq_evidence_review!$B$1:$L$55,7,FALSE)</f>
        <v>36</v>
      </c>
      <c r="E362" s="8" t="s">
        <v>1050</v>
      </c>
      <c r="F362" s="1" t="str">
        <f t="shared" si="37"/>
        <v/>
      </c>
      <c r="G362" s="1" t="s">
        <v>945</v>
      </c>
      <c r="H362" s="1" t="str">
        <f t="shared" si="46"/>
        <v>Benson</v>
      </c>
      <c r="I362" s="1" t="str">
        <f t="shared" si="49"/>
        <v>2008</v>
      </c>
      <c r="J362" s="1" t="str">
        <f t="shared" si="47"/>
        <v>Benson et al., 2008</v>
      </c>
      <c r="K362" s="9" t="s">
        <v>1556</v>
      </c>
      <c r="L362" s="1" t="str">
        <f t="shared" si="48"/>
        <v/>
      </c>
    </row>
    <row r="363" spans="1:14" ht="30" hidden="1" x14ac:dyDescent="0.25">
      <c r="A363" s="1">
        <f>INDEX(rq_evidence_review!A:A, MATCH(B363, rq_evidence_review!B:B, 0))</f>
        <v>2</v>
      </c>
      <c r="B363" s="6" t="s">
        <v>67</v>
      </c>
      <c r="C363" s="1">
        <f t="shared" si="45"/>
        <v>360</v>
      </c>
      <c r="D363" s="1">
        <f>VLOOKUP(B363,rq_evidence_review!$B$1:$L$55,7,FALSE)</f>
        <v>36</v>
      </c>
      <c r="E363" s="8" t="s">
        <v>1049</v>
      </c>
      <c r="F363" s="1" t="str">
        <f t="shared" si="37"/>
        <v/>
      </c>
      <c r="G363" s="1" t="s">
        <v>945</v>
      </c>
      <c r="H363" s="1" t="str">
        <f t="shared" si="46"/>
        <v>Drosdzol</v>
      </c>
      <c r="I363" s="1" t="str">
        <f t="shared" si="49"/>
        <v>2007</v>
      </c>
      <c r="J363" s="1" t="str">
        <f t="shared" si="47"/>
        <v>Drosdzol et al., 2007</v>
      </c>
      <c r="K363" s="1" t="str">
        <f t="shared" ref="K363:K415" si="50">ExtractDOI(E363)</f>
        <v/>
      </c>
      <c r="L363" s="10">
        <v>18292843</v>
      </c>
      <c r="M363" s="9" t="s">
        <v>1557</v>
      </c>
      <c r="N363" s="1">
        <v>38876279</v>
      </c>
    </row>
    <row r="364" spans="1:14" ht="30" hidden="1" x14ac:dyDescent="0.25">
      <c r="A364" s="1">
        <f>INDEX(rq_evidence_review!A:A, MATCH(B364, rq_evidence_review!B:B, 0))</f>
        <v>2</v>
      </c>
      <c r="B364" s="6" t="s">
        <v>67</v>
      </c>
      <c r="C364" s="1">
        <f t="shared" si="45"/>
        <v>361</v>
      </c>
      <c r="D364" s="1">
        <f>VLOOKUP(B364,rq_evidence_review!$B$1:$L$55,7,FALSE)</f>
        <v>36</v>
      </c>
      <c r="E364" s="8" t="s">
        <v>1048</v>
      </c>
      <c r="F364" s="1" t="str">
        <f t="shared" si="37"/>
        <v/>
      </c>
      <c r="G364" s="1" t="s">
        <v>945</v>
      </c>
      <c r="H364" s="1" t="str">
        <f t="shared" si="46"/>
        <v>Elsenbruch</v>
      </c>
      <c r="I364" s="1" t="str">
        <f t="shared" si="49"/>
        <v>2003</v>
      </c>
      <c r="J364" s="1" t="str">
        <f t="shared" si="47"/>
        <v>Elsenbruch et al., 2003</v>
      </c>
      <c r="K364" s="9" t="s">
        <v>1558</v>
      </c>
      <c r="L364" s="1" t="str">
        <f t="shared" si="48"/>
        <v/>
      </c>
    </row>
    <row r="365" spans="1:14" ht="30" hidden="1" x14ac:dyDescent="0.25">
      <c r="A365" s="1">
        <f>INDEX(rq_evidence_review!A:A, MATCH(B365, rq_evidence_review!B:B, 0))</f>
        <v>2</v>
      </c>
      <c r="B365" s="6" t="s">
        <v>67</v>
      </c>
      <c r="C365" s="1">
        <f t="shared" si="45"/>
        <v>362</v>
      </c>
      <c r="D365" s="1">
        <f>VLOOKUP(B365,rq_evidence_review!$B$1:$L$55,7,FALSE)</f>
        <v>36</v>
      </c>
      <c r="E365" s="8" t="s">
        <v>1047</v>
      </c>
      <c r="F365" s="1" t="str">
        <f t="shared" ref="F365:F428" si="51">IF(ISNUMBER(SEARCH("primary citation", E365)), "primary_citation", "")</f>
        <v/>
      </c>
      <c r="G365" s="1" t="s">
        <v>945</v>
      </c>
      <c r="H365" s="1" t="str">
        <f t="shared" si="46"/>
        <v>Hahn</v>
      </c>
      <c r="I365" s="1" t="str">
        <f t="shared" si="49"/>
        <v>2005</v>
      </c>
      <c r="J365" s="1" t="str">
        <f t="shared" si="47"/>
        <v>Hahn et al., 2005</v>
      </c>
      <c r="K365" s="9" t="s">
        <v>1559</v>
      </c>
      <c r="L365" s="1" t="str">
        <f t="shared" si="48"/>
        <v/>
      </c>
    </row>
    <row r="366" spans="1:14" ht="30" hidden="1" x14ac:dyDescent="0.25">
      <c r="A366" s="1">
        <f>INDEX(rq_evidence_review!A:A, MATCH(B366, rq_evidence_review!B:B, 0))</f>
        <v>2</v>
      </c>
      <c r="B366" s="6" t="s">
        <v>67</v>
      </c>
      <c r="C366" s="1">
        <f t="shared" si="45"/>
        <v>363</v>
      </c>
      <c r="D366" s="1">
        <f>VLOOKUP(B366,rq_evidence_review!$B$1:$L$55,7,FALSE)</f>
        <v>36</v>
      </c>
      <c r="E366" s="8" t="s">
        <v>1046</v>
      </c>
      <c r="F366" s="1" t="str">
        <f t="shared" si="51"/>
        <v/>
      </c>
      <c r="G366" s="1" t="s">
        <v>945</v>
      </c>
      <c r="H366" s="1" t="str">
        <f t="shared" si="46"/>
        <v>Kumarapeli</v>
      </c>
      <c r="I366" s="1" t="str">
        <f t="shared" si="49"/>
        <v>2011</v>
      </c>
      <c r="J366" s="1" t="str">
        <f t="shared" si="47"/>
        <v>Kumarapeli et al., 2011</v>
      </c>
      <c r="K366" s="9" t="s">
        <v>1560</v>
      </c>
      <c r="L366" s="1" t="str">
        <f t="shared" si="48"/>
        <v/>
      </c>
    </row>
    <row r="367" spans="1:14" ht="30" hidden="1" x14ac:dyDescent="0.25">
      <c r="A367" s="1">
        <f>INDEX(rq_evidence_review!A:A, MATCH(B367, rq_evidence_review!B:B, 0))</f>
        <v>2</v>
      </c>
      <c r="B367" s="6" t="s">
        <v>67</v>
      </c>
      <c r="C367" s="1">
        <f t="shared" si="45"/>
        <v>364</v>
      </c>
      <c r="D367" s="1">
        <f>VLOOKUP(B367,rq_evidence_review!$B$1:$L$55,7,FALSE)</f>
        <v>36</v>
      </c>
      <c r="E367" s="8" t="s">
        <v>1045</v>
      </c>
      <c r="F367" s="1" t="str">
        <f t="shared" si="51"/>
        <v/>
      </c>
      <c r="G367" s="1" t="s">
        <v>945</v>
      </c>
      <c r="H367" s="1" t="str">
        <f t="shared" si="46"/>
        <v>Ozcan Dag</v>
      </c>
      <c r="I367" s="1" t="str">
        <f t="shared" si="49"/>
        <v>2016</v>
      </c>
      <c r="J367" s="1" t="str">
        <f t="shared" si="47"/>
        <v>Ozcan Dag et al., 2016</v>
      </c>
      <c r="K367" s="9" t="s">
        <v>1542</v>
      </c>
      <c r="L367" s="1" t="str">
        <f t="shared" si="48"/>
        <v/>
      </c>
    </row>
    <row r="368" spans="1:14" ht="30" hidden="1" x14ac:dyDescent="0.25">
      <c r="A368" s="1">
        <f>INDEX(rq_evidence_review!A:A, MATCH(B368, rq_evidence_review!B:B, 0))</f>
        <v>2</v>
      </c>
      <c r="B368" s="6" t="s">
        <v>67</v>
      </c>
      <c r="C368" s="1">
        <f t="shared" si="45"/>
        <v>365</v>
      </c>
      <c r="D368" s="1">
        <f>VLOOKUP(B368,rq_evidence_review!$B$1:$L$55,7,FALSE)</f>
        <v>36</v>
      </c>
      <c r="E368" s="8" t="s">
        <v>1044</v>
      </c>
      <c r="F368" s="1" t="str">
        <f t="shared" si="51"/>
        <v/>
      </c>
      <c r="G368" s="1" t="s">
        <v>945</v>
      </c>
      <c r="H368" s="1" t="str">
        <f t="shared" si="46"/>
        <v>Ozcan Dag</v>
      </c>
      <c r="I368" s="1" t="str">
        <f t="shared" si="49"/>
        <v>2015</v>
      </c>
      <c r="J368" s="1" t="str">
        <f t="shared" si="47"/>
        <v>Ozcan Dag et al., 2015</v>
      </c>
      <c r="K368" s="9" t="s">
        <v>1561</v>
      </c>
      <c r="L368" s="1" t="str">
        <f t="shared" si="48"/>
        <v/>
      </c>
    </row>
    <row r="369" spans="1:15" ht="30" hidden="1" x14ac:dyDescent="0.25">
      <c r="A369" s="1">
        <f>INDEX(rq_evidence_review!A:A, MATCH(B369, rq_evidence_review!B:B, 0))</f>
        <v>2</v>
      </c>
      <c r="B369" s="6" t="s">
        <v>67</v>
      </c>
      <c r="C369" s="1">
        <f t="shared" si="45"/>
        <v>366</v>
      </c>
      <c r="D369" s="1">
        <f>VLOOKUP(B369,rq_evidence_review!$B$1:$L$55,7,FALSE)</f>
        <v>36</v>
      </c>
      <c r="E369" s="8" t="s">
        <v>1043</v>
      </c>
      <c r="F369" s="1" t="str">
        <f t="shared" si="51"/>
        <v/>
      </c>
      <c r="G369" s="1" t="s">
        <v>945</v>
      </c>
      <c r="H369" s="1" t="str">
        <f t="shared" si="46"/>
        <v>Ramos</v>
      </c>
      <c r="I369" s="1" t="str">
        <f t="shared" si="49"/>
        <v>2016</v>
      </c>
      <c r="J369" s="1" t="str">
        <f t="shared" si="47"/>
        <v>Ramos et al., 2016</v>
      </c>
      <c r="K369" s="9" t="s">
        <v>1562</v>
      </c>
      <c r="L369" s="1" t="str">
        <f t="shared" si="48"/>
        <v/>
      </c>
    </row>
    <row r="370" spans="1:15" ht="30" hidden="1" x14ac:dyDescent="0.25">
      <c r="A370" s="1">
        <f>INDEX(rq_evidence_review!A:A, MATCH(B370, rq_evidence_review!B:B, 0))</f>
        <v>2</v>
      </c>
      <c r="B370" s="6" t="s">
        <v>67</v>
      </c>
      <c r="C370" s="1">
        <f t="shared" si="45"/>
        <v>367</v>
      </c>
      <c r="D370" s="1">
        <f>VLOOKUP(B370,rq_evidence_review!$B$1:$L$55,7,FALSE)</f>
        <v>36</v>
      </c>
      <c r="E370" s="8" t="s">
        <v>1042</v>
      </c>
      <c r="F370" s="1" t="str">
        <f t="shared" si="51"/>
        <v/>
      </c>
      <c r="G370" s="1" t="s">
        <v>945</v>
      </c>
      <c r="H370" s="1" t="str">
        <f t="shared" si="46"/>
        <v>Shafti</v>
      </c>
      <c r="I370" s="1" t="str">
        <f t="shared" si="49"/>
        <v>2016</v>
      </c>
      <c r="J370" s="1" t="str">
        <f t="shared" si="47"/>
        <v>Shafti et al., 2016</v>
      </c>
      <c r="K370" s="9"/>
      <c r="L370" s="9">
        <v>27648099</v>
      </c>
      <c r="M370" s="1" t="s">
        <v>1563</v>
      </c>
      <c r="N370" s="1">
        <v>8524156</v>
      </c>
    </row>
    <row r="371" spans="1:15" ht="30" hidden="1" x14ac:dyDescent="0.25">
      <c r="A371" s="1">
        <f>INDEX(rq_evidence_review!A:A, MATCH(B371, rq_evidence_review!B:B, 0))</f>
        <v>2</v>
      </c>
      <c r="B371" s="6" t="s">
        <v>67</v>
      </c>
      <c r="C371" s="1">
        <f t="shared" si="45"/>
        <v>368</v>
      </c>
      <c r="D371" s="1">
        <f>VLOOKUP(B371,rq_evidence_review!$B$1:$L$55,7,FALSE)</f>
        <v>36</v>
      </c>
      <c r="E371" s="8" t="s">
        <v>1041</v>
      </c>
      <c r="F371" s="1" t="str">
        <f t="shared" si="51"/>
        <v/>
      </c>
      <c r="G371" s="1" t="s">
        <v>945</v>
      </c>
      <c r="H371" s="1" t="str">
        <f t="shared" si="46"/>
        <v>Shishehgar F</v>
      </c>
      <c r="I371" s="1" t="str">
        <f t="shared" si="49"/>
        <v>2016</v>
      </c>
      <c r="J371" s="1" t="str">
        <f t="shared" si="47"/>
        <v>Shishehgar F et al., 2016</v>
      </c>
      <c r="K371" s="9" t="s">
        <v>1564</v>
      </c>
      <c r="L371" s="1" t="str">
        <f t="shared" si="48"/>
        <v/>
      </c>
    </row>
    <row r="372" spans="1:15" ht="30" hidden="1" x14ac:dyDescent="0.25">
      <c r="A372" s="1">
        <f>INDEX(rq_evidence_review!A:A, MATCH(B372, rq_evidence_review!B:B, 0))</f>
        <v>2</v>
      </c>
      <c r="B372" s="6" t="s">
        <v>67</v>
      </c>
      <c r="C372" s="1">
        <f t="shared" si="45"/>
        <v>369</v>
      </c>
      <c r="D372" s="1">
        <f>VLOOKUP(B372,rq_evidence_review!$B$1:$L$55,7,FALSE)</f>
        <v>36</v>
      </c>
      <c r="E372" s="8" t="s">
        <v>1040</v>
      </c>
      <c r="F372" s="1" t="str">
        <f t="shared" si="51"/>
        <v/>
      </c>
      <c r="G372" s="1" t="s">
        <v>945</v>
      </c>
      <c r="H372" s="1" t="str">
        <f t="shared" si="46"/>
        <v>Trent</v>
      </c>
      <c r="I372" s="1" t="str">
        <f t="shared" si="49"/>
        <v>2002</v>
      </c>
      <c r="J372" s="1" t="str">
        <f t="shared" si="47"/>
        <v>Trent et al., 2002</v>
      </c>
      <c r="K372" s="9" t="s">
        <v>1565</v>
      </c>
      <c r="L372" s="1" t="str">
        <f t="shared" si="48"/>
        <v/>
      </c>
    </row>
    <row r="373" spans="1:15" ht="45" hidden="1" x14ac:dyDescent="0.25">
      <c r="A373" s="1">
        <f>INDEX(rq_evidence_review!A:A, MATCH(B373, rq_evidence_review!B:B, 0))</f>
        <v>2</v>
      </c>
      <c r="B373" s="6">
        <v>2.2000000000000002</v>
      </c>
      <c r="C373" s="1">
        <f t="shared" si="45"/>
        <v>370</v>
      </c>
      <c r="D373" s="1">
        <f>VLOOKUP(B373,rq_evidence_review!$B$1:$L$55,7,FALSE)</f>
        <v>80</v>
      </c>
      <c r="E373" s="8" t="s">
        <v>594</v>
      </c>
      <c r="F373" s="1" t="str">
        <f t="shared" si="51"/>
        <v/>
      </c>
      <c r="H373" s="1" t="str">
        <f t="shared" si="46"/>
        <v>Açmaz G</v>
      </c>
      <c r="I373" s="1" t="str">
        <f t="shared" si="49"/>
        <v>2013</v>
      </c>
      <c r="J373" s="1" t="str">
        <f t="shared" si="47"/>
        <v>Açmaz G et al., 2013</v>
      </c>
      <c r="K373" s="1" t="str">
        <f t="shared" si="50"/>
        <v>10.1155/2013/851815</v>
      </c>
      <c r="L373" s="1" t="str">
        <f t="shared" si="48"/>
        <v>23935436</v>
      </c>
    </row>
    <row r="374" spans="1:15" ht="45" hidden="1" x14ac:dyDescent="0.25">
      <c r="A374" s="1">
        <f>INDEX(rq_evidence_review!A:A, MATCH(B374, rq_evidence_review!B:B, 0))</f>
        <v>2</v>
      </c>
      <c r="B374" s="6">
        <v>2.2000000000000002</v>
      </c>
      <c r="C374" s="1">
        <f t="shared" si="45"/>
        <v>371</v>
      </c>
      <c r="D374" s="1">
        <f>VLOOKUP(B374,rq_evidence_review!$B$1:$L$55,7,FALSE)</f>
        <v>80</v>
      </c>
      <c r="E374" s="8" t="s">
        <v>595</v>
      </c>
      <c r="F374" s="1" t="str">
        <f t="shared" si="51"/>
        <v/>
      </c>
      <c r="H374" s="1" t="str">
        <f t="shared" si="46"/>
        <v>Adali E</v>
      </c>
      <c r="I374" s="1" t="str">
        <f t="shared" si="49"/>
        <v>2008</v>
      </c>
      <c r="J374" s="1" t="str">
        <f t="shared" si="47"/>
        <v>Adali E et al., 2008</v>
      </c>
      <c r="K374" s="1" t="str">
        <f t="shared" si="50"/>
        <v>10.1177/147323000803600604</v>
      </c>
      <c r="L374" s="1" t="str">
        <f t="shared" si="48"/>
        <v>19094426</v>
      </c>
    </row>
    <row r="375" spans="1:15" ht="30" hidden="1" x14ac:dyDescent="0.25">
      <c r="A375" s="1">
        <f>INDEX(rq_evidence_review!A:A, MATCH(B375, rq_evidence_review!B:B, 0))</f>
        <v>2</v>
      </c>
      <c r="B375" s="6">
        <v>2.2000000000000002</v>
      </c>
      <c r="C375" s="1">
        <f t="shared" si="45"/>
        <v>372</v>
      </c>
      <c r="D375" s="1">
        <f>VLOOKUP(B375,rq_evidence_review!$B$1:$L$55,7,FALSE)</f>
        <v>80</v>
      </c>
      <c r="E375" s="8" t="s">
        <v>596</v>
      </c>
      <c r="F375" s="1" t="str">
        <f t="shared" si="51"/>
        <v/>
      </c>
      <c r="H375" s="1" t="str">
        <f t="shared" si="46"/>
        <v>Ahmadi M</v>
      </c>
      <c r="I375" s="1" t="str">
        <f t="shared" si="49"/>
        <v>2020</v>
      </c>
      <c r="J375" s="1" t="str">
        <f t="shared" si="47"/>
        <v>Ahmadi M et al., 2020</v>
      </c>
      <c r="K375" s="1" t="str">
        <f t="shared" si="50"/>
        <v>10.4314/ahs.v20i3.28</v>
      </c>
      <c r="L375" s="1" t="str">
        <f t="shared" si="48"/>
        <v>33402971</v>
      </c>
    </row>
    <row r="376" spans="1:15" ht="30" hidden="1" x14ac:dyDescent="0.25">
      <c r="A376" s="1">
        <f>INDEX(rq_evidence_review!A:A, MATCH(B376, rq_evidence_review!B:B, 0))</f>
        <v>2</v>
      </c>
      <c r="B376" s="6">
        <v>2.2000000000000002</v>
      </c>
      <c r="C376" s="1">
        <f t="shared" si="45"/>
        <v>373</v>
      </c>
      <c r="D376" s="1">
        <f>VLOOKUP(B376,rq_evidence_review!$B$1:$L$55,7,FALSE)</f>
        <v>80</v>
      </c>
      <c r="E376" s="8" t="s">
        <v>597</v>
      </c>
      <c r="F376" s="1" t="str">
        <f t="shared" si="51"/>
        <v/>
      </c>
      <c r="H376" s="1" t="str">
        <f t="shared" si="46"/>
        <v>Akdağ Cirik D</v>
      </c>
      <c r="I376" s="1" t="str">
        <f t="shared" si="49"/>
        <v>2016</v>
      </c>
      <c r="J376" s="1" t="str">
        <f t="shared" si="47"/>
        <v>Akdağ Cirik D et al., 2016</v>
      </c>
      <c r="K376" s="1" t="str">
        <f t="shared" si="50"/>
        <v>10.3906/sag-1511-112</v>
      </c>
      <c r="L376" s="1" t="str">
        <f t="shared" si="48"/>
        <v>28081337</v>
      </c>
    </row>
    <row r="377" spans="1:15" ht="30" hidden="1" x14ac:dyDescent="0.25">
      <c r="A377" s="1">
        <f>INDEX(rq_evidence_review!A:A, MATCH(B377, rq_evidence_review!B:B, 0))</f>
        <v>2</v>
      </c>
      <c r="B377" s="6">
        <v>2.2000000000000002</v>
      </c>
      <c r="C377" s="1">
        <f t="shared" si="45"/>
        <v>374</v>
      </c>
      <c r="D377" s="1">
        <f>VLOOKUP(B377,rq_evidence_review!$B$1:$L$55,7,FALSE)</f>
        <v>80</v>
      </c>
      <c r="E377" s="8" t="s">
        <v>598</v>
      </c>
      <c r="F377" s="1" t="str">
        <f t="shared" si="51"/>
        <v/>
      </c>
      <c r="H377" s="1" t="str">
        <f t="shared" si="46"/>
        <v>Erson Aksu</v>
      </c>
      <c r="I377" s="1" t="str">
        <f t="shared" si="49"/>
        <v>2019</v>
      </c>
      <c r="J377" s="1" t="str">
        <f t="shared" si="47"/>
        <v>Erson Aksu et al., 2019</v>
      </c>
      <c r="K377" s="1" t="str">
        <f t="shared" si="50"/>
        <v>10.1080/24750573.2019.1691357</v>
      </c>
      <c r="L377" s="1" t="str">
        <f t="shared" si="48"/>
        <v/>
      </c>
    </row>
    <row r="378" spans="1:15" ht="30" hidden="1" x14ac:dyDescent="0.25">
      <c r="A378" s="1">
        <f>INDEX(rq_evidence_review!A:A, MATCH(B378, rq_evidence_review!B:B, 0))</f>
        <v>2</v>
      </c>
      <c r="B378" s="6">
        <v>2.2000000000000002</v>
      </c>
      <c r="C378" s="1">
        <f t="shared" si="45"/>
        <v>375</v>
      </c>
      <c r="D378" s="1">
        <f>VLOOKUP(B378,rq_evidence_review!$B$1:$L$55,7,FALSE)</f>
        <v>80</v>
      </c>
      <c r="E378" s="8" t="s">
        <v>599</v>
      </c>
      <c r="F378" s="1" t="str">
        <f t="shared" si="51"/>
        <v/>
      </c>
      <c r="H378" s="1" t="str">
        <f t="shared" si="46"/>
        <v>Almis H</v>
      </c>
      <c r="I378" s="1" t="str">
        <f t="shared" si="49"/>
        <v>2021</v>
      </c>
      <c r="J378" s="1" t="str">
        <f t="shared" si="47"/>
        <v>Almis H et al., 2021</v>
      </c>
      <c r="K378" s="1" t="str">
        <f t="shared" si="50"/>
        <v>10.1016/j.jpag.2020.12.011</v>
      </c>
      <c r="L378" s="1" t="str">
        <f t="shared" si="48"/>
        <v>33347988</v>
      </c>
    </row>
    <row r="379" spans="1:15" ht="30" hidden="1" x14ac:dyDescent="0.25">
      <c r="A379" s="1">
        <f>INDEX(rq_evidence_review!A:A, MATCH(B379, rq_evidence_review!B:B, 0))</f>
        <v>2</v>
      </c>
      <c r="B379" s="6">
        <v>2.2000000000000002</v>
      </c>
      <c r="C379" s="1">
        <f t="shared" si="45"/>
        <v>376</v>
      </c>
      <c r="D379" s="1">
        <f>VLOOKUP(B379,rq_evidence_review!$B$1:$L$55,7,FALSE)</f>
        <v>80</v>
      </c>
      <c r="E379" s="8" t="s">
        <v>600</v>
      </c>
      <c r="F379" s="1" t="str">
        <f t="shared" si="51"/>
        <v/>
      </c>
      <c r="H379" s="1" t="str">
        <f t="shared" si="46"/>
        <v>Altinkaya</v>
      </c>
      <c r="I379" s="1" t="str">
        <f t="shared" si="49"/>
        <v>2014</v>
      </c>
      <c r="J379" s="1" t="str">
        <f t="shared" si="47"/>
        <v>Altinkaya et al., 2014</v>
      </c>
      <c r="K379" s="1" t="str">
        <f t="shared" si="50"/>
        <v/>
      </c>
      <c r="L379" s="1" t="str">
        <f t="shared" si="48"/>
        <v/>
      </c>
      <c r="M379" s="1" t="s">
        <v>1566</v>
      </c>
      <c r="N379" s="1">
        <v>59115787</v>
      </c>
      <c r="O379" s="1" t="s">
        <v>2000</v>
      </c>
    </row>
    <row r="380" spans="1:15" ht="45" hidden="1" x14ac:dyDescent="0.25">
      <c r="A380" s="1">
        <f>INDEX(rq_evidence_review!A:A, MATCH(B380, rq_evidence_review!B:B, 0))</f>
        <v>2</v>
      </c>
      <c r="B380" s="6">
        <v>2.2000000000000002</v>
      </c>
      <c r="C380" s="1">
        <f t="shared" si="45"/>
        <v>377</v>
      </c>
      <c r="D380" s="1">
        <f>VLOOKUP(B380,rq_evidence_review!$B$1:$L$55,7,FALSE)</f>
        <v>80</v>
      </c>
      <c r="E380" s="8" t="s">
        <v>601</v>
      </c>
      <c r="F380" s="1" t="str">
        <f t="shared" si="51"/>
        <v/>
      </c>
      <c r="H380" s="1" t="str">
        <f t="shared" si="46"/>
        <v>Alur-Gupta S</v>
      </c>
      <c r="I380" s="1" t="str">
        <f t="shared" si="49"/>
        <v>2019</v>
      </c>
      <c r="J380" s="1" t="str">
        <f t="shared" si="47"/>
        <v>Alur-Gupta S et al., 2019</v>
      </c>
      <c r="K380" s="1" t="str">
        <f t="shared" si="50"/>
        <v>10.1016/j.fertnstert.2019.06.018</v>
      </c>
      <c r="L380" s="1" t="str">
        <f t="shared" si="48"/>
        <v>31395311</v>
      </c>
    </row>
    <row r="381" spans="1:15" ht="30" hidden="1" x14ac:dyDescent="0.25">
      <c r="A381" s="1">
        <f>INDEX(rq_evidence_review!A:A, MATCH(B381, rq_evidence_review!B:B, 0))</f>
        <v>2</v>
      </c>
      <c r="B381" s="6">
        <v>2.2000000000000002</v>
      </c>
      <c r="C381" s="1">
        <f t="shared" si="45"/>
        <v>378</v>
      </c>
      <c r="D381" s="1">
        <f>VLOOKUP(B381,rq_evidence_review!$B$1:$L$55,7,FALSE)</f>
        <v>80</v>
      </c>
      <c r="E381" s="8" t="s">
        <v>602</v>
      </c>
      <c r="F381" s="1" t="str">
        <f t="shared" si="51"/>
        <v/>
      </c>
      <c r="H381" s="1" t="str">
        <f t="shared" si="46"/>
        <v>Annagür BB</v>
      </c>
      <c r="I381" s="1" t="str">
        <f t="shared" si="49"/>
        <v>2014</v>
      </c>
      <c r="J381" s="1" t="str">
        <f t="shared" si="47"/>
        <v>Annagür BB et al., 2014</v>
      </c>
      <c r="K381" s="1" t="str">
        <f t="shared" si="50"/>
        <v>10.4274/npa.y6778</v>
      </c>
      <c r="L381" s="1" t="str">
        <f t="shared" si="48"/>
        <v>28360612</v>
      </c>
    </row>
    <row r="382" spans="1:15" ht="30" hidden="1" x14ac:dyDescent="0.25">
      <c r="A382" s="1">
        <f>INDEX(rq_evidence_review!A:A, MATCH(B382, rq_evidence_review!B:B, 0))</f>
        <v>2</v>
      </c>
      <c r="B382" s="6">
        <v>2.2000000000000002</v>
      </c>
      <c r="C382" s="1">
        <f t="shared" si="45"/>
        <v>379</v>
      </c>
      <c r="D382" s="1">
        <f>VLOOKUP(B382,rq_evidence_review!$B$1:$L$55,7,FALSE)</f>
        <v>80</v>
      </c>
      <c r="E382" s="8" t="s">
        <v>603</v>
      </c>
      <c r="F382" s="1" t="str">
        <f t="shared" si="51"/>
        <v/>
      </c>
      <c r="H382" s="1" t="str">
        <f t="shared" si="46"/>
        <v>Asdaq SMB</v>
      </c>
      <c r="I382" s="1" t="str">
        <f t="shared" si="49"/>
        <v>2020</v>
      </c>
      <c r="J382" s="1" t="str">
        <f t="shared" si="47"/>
        <v>Asdaq SMB et al., 2020</v>
      </c>
      <c r="K382" s="1" t="str">
        <f t="shared" si="50"/>
        <v>10.1016/j.jad.2020.05.086</v>
      </c>
      <c r="L382" s="1" t="str">
        <f t="shared" si="48"/>
        <v>32469805</v>
      </c>
    </row>
    <row r="383" spans="1:15" ht="30" hidden="1" x14ac:dyDescent="0.25">
      <c r="A383" s="1">
        <f>INDEX(rq_evidence_review!A:A, MATCH(B383, rq_evidence_review!B:B, 0))</f>
        <v>2</v>
      </c>
      <c r="B383" s="6">
        <v>2.2000000000000002</v>
      </c>
      <c r="C383" s="1">
        <f t="shared" si="45"/>
        <v>380</v>
      </c>
      <c r="D383" s="1">
        <f>VLOOKUP(B383,rq_evidence_review!$B$1:$L$55,7,FALSE)</f>
        <v>80</v>
      </c>
      <c r="E383" s="8" t="s">
        <v>604</v>
      </c>
      <c r="F383" s="1" t="str">
        <f t="shared" si="51"/>
        <v/>
      </c>
      <c r="H383" s="1" t="str">
        <f t="shared" si="46"/>
        <v>Asik M</v>
      </c>
      <c r="I383" s="1" t="str">
        <f t="shared" si="49"/>
        <v>2015</v>
      </c>
      <c r="J383" s="1" t="str">
        <f t="shared" si="47"/>
        <v>Asik M et al., 2015</v>
      </c>
      <c r="K383" s="1" t="str">
        <f t="shared" si="50"/>
        <v>10.1016/j.jad.2015.06.043</v>
      </c>
      <c r="L383" s="1" t="str">
        <f t="shared" si="48"/>
        <v>26241866</v>
      </c>
    </row>
    <row r="384" spans="1:15" ht="45" hidden="1" x14ac:dyDescent="0.25">
      <c r="A384" s="1">
        <f>INDEX(rq_evidence_review!A:A, MATCH(B384, rq_evidence_review!B:B, 0))</f>
        <v>2</v>
      </c>
      <c r="B384" s="6">
        <v>2.2000000000000002</v>
      </c>
      <c r="C384" s="1">
        <f t="shared" si="45"/>
        <v>381</v>
      </c>
      <c r="D384" s="1">
        <f>VLOOKUP(B384,rq_evidence_review!$B$1:$L$55,7,FALSE)</f>
        <v>80</v>
      </c>
      <c r="E384" s="8" t="s">
        <v>605</v>
      </c>
      <c r="F384" s="1" t="str">
        <f t="shared" si="51"/>
        <v/>
      </c>
      <c r="H384" s="1" t="str">
        <f t="shared" si="46"/>
        <v>Balikci A</v>
      </c>
      <c r="I384" s="1" t="str">
        <f t="shared" si="49"/>
        <v>2014</v>
      </c>
      <c r="J384" s="1" t="str">
        <f t="shared" si="47"/>
        <v>Balikci A et al., 2014</v>
      </c>
      <c r="K384" s="1" t="str">
        <f t="shared" si="50"/>
        <v>10.5152/npa.2014.6898</v>
      </c>
      <c r="L384" s="1" t="str">
        <f t="shared" si="48"/>
        <v>28360650</v>
      </c>
    </row>
    <row r="385" spans="1:12" ht="45" hidden="1" x14ac:dyDescent="0.25">
      <c r="A385" s="1">
        <f>INDEX(rq_evidence_review!A:A, MATCH(B385, rq_evidence_review!B:B, 0))</f>
        <v>2</v>
      </c>
      <c r="B385" s="6">
        <v>2.2000000000000002</v>
      </c>
      <c r="C385" s="1">
        <f t="shared" si="45"/>
        <v>382</v>
      </c>
      <c r="D385" s="1">
        <f>VLOOKUP(B385,rq_evidence_review!$B$1:$L$55,7,FALSE)</f>
        <v>80</v>
      </c>
      <c r="E385" s="8" t="s">
        <v>606</v>
      </c>
      <c r="F385" s="1" t="str">
        <f t="shared" si="51"/>
        <v/>
      </c>
      <c r="H385" s="1" t="str">
        <f t="shared" si="46"/>
        <v>Barry</v>
      </c>
      <c r="I385" s="1" t="str">
        <f t="shared" si="49"/>
        <v>2011</v>
      </c>
      <c r="J385" s="1" t="str">
        <f t="shared" si="47"/>
        <v>Barry et al., 2011</v>
      </c>
      <c r="K385" s="1" t="str">
        <f t="shared" si="50"/>
        <v>10.3109/0167482X.2011.568129</v>
      </c>
      <c r="L385" s="1" t="str">
        <f t="shared" si="48"/>
        <v/>
      </c>
    </row>
    <row r="386" spans="1:12" ht="45" hidden="1" x14ac:dyDescent="0.25">
      <c r="A386" s="1">
        <f>INDEX(rq_evidence_review!A:A, MATCH(B386, rq_evidence_review!B:B, 0))</f>
        <v>2</v>
      </c>
      <c r="B386" s="6">
        <v>2.2000000000000002</v>
      </c>
      <c r="C386" s="1">
        <f t="shared" si="45"/>
        <v>383</v>
      </c>
      <c r="D386" s="1">
        <f>VLOOKUP(B386,rq_evidence_review!$B$1:$L$55,7,FALSE)</f>
        <v>80</v>
      </c>
      <c r="E386" s="8" t="s">
        <v>607</v>
      </c>
      <c r="F386" s="1" t="str">
        <f t="shared" si="51"/>
        <v/>
      </c>
      <c r="H386" s="1" t="str">
        <f t="shared" si="46"/>
        <v>Basirat Z</v>
      </c>
      <c r="I386" s="1" t="str">
        <f t="shared" si="49"/>
        <v>2020</v>
      </c>
      <c r="J386" s="1" t="str">
        <f t="shared" si="47"/>
        <v>Basirat Z et al., 2020</v>
      </c>
      <c r="K386" s="1" t="str">
        <f t="shared" si="50"/>
        <v>10.1007/s00404-019-05391-7</v>
      </c>
      <c r="L386" s="1" t="str">
        <f t="shared" si="48"/>
        <v>31776708</v>
      </c>
    </row>
    <row r="387" spans="1:12" ht="45" hidden="1" x14ac:dyDescent="0.25">
      <c r="A387" s="1">
        <f>INDEX(rq_evidence_review!A:A, MATCH(B387, rq_evidence_review!B:B, 0))</f>
        <v>2</v>
      </c>
      <c r="B387" s="6">
        <v>2.2000000000000002</v>
      </c>
      <c r="C387" s="1">
        <f t="shared" si="45"/>
        <v>384</v>
      </c>
      <c r="D387" s="1">
        <f>VLOOKUP(B387,rq_evidence_review!$B$1:$L$55,7,FALSE)</f>
        <v>80</v>
      </c>
      <c r="E387" s="8" t="s">
        <v>608</v>
      </c>
      <c r="F387" s="1" t="str">
        <f t="shared" si="51"/>
        <v/>
      </c>
      <c r="H387" s="1" t="str">
        <f t="shared" si="46"/>
        <v>Basirat Z</v>
      </c>
      <c r="I387" s="1" t="str">
        <f t="shared" si="49"/>
        <v>2019</v>
      </c>
      <c r="J387" s="1" t="str">
        <f t="shared" si="47"/>
        <v>Basirat Z et al., 2019</v>
      </c>
      <c r="K387" s="1" t="str">
        <f t="shared" si="50"/>
        <v>10.22074/ijfs.2019.5703</v>
      </c>
      <c r="L387" s="1" t="str">
        <f t="shared" si="48"/>
        <v>31310074</v>
      </c>
    </row>
    <row r="388" spans="1:12" ht="30" hidden="1" x14ac:dyDescent="0.25">
      <c r="A388" s="1">
        <f>INDEX(rq_evidence_review!A:A, MATCH(B388, rq_evidence_review!B:B, 0))</f>
        <v>2</v>
      </c>
      <c r="B388" s="6">
        <v>2.2000000000000002</v>
      </c>
      <c r="C388" s="1">
        <f t="shared" si="45"/>
        <v>385</v>
      </c>
      <c r="D388" s="1">
        <f>VLOOKUP(B388,rq_evidence_review!$B$1:$L$55,7,FALSE)</f>
        <v>80</v>
      </c>
      <c r="E388" s="8" t="s">
        <v>609</v>
      </c>
      <c r="F388" s="1" t="str">
        <f t="shared" si="51"/>
        <v/>
      </c>
      <c r="H388" s="1" t="str">
        <f t="shared" si="46"/>
        <v>Battaglia C</v>
      </c>
      <c r="I388" s="1" t="str">
        <f t="shared" si="49"/>
        <v>2008</v>
      </c>
      <c r="J388" s="1" t="str">
        <f t="shared" si="47"/>
        <v>Battaglia C et al., 2008</v>
      </c>
      <c r="K388" s="1" t="str">
        <f t="shared" si="50"/>
        <v>10.1111/j.1743-6109.2008.01010.x</v>
      </c>
      <c r="L388" s="1" t="str">
        <f t="shared" si="48"/>
        <v>19090942</v>
      </c>
    </row>
    <row r="389" spans="1:12" ht="30" hidden="1" x14ac:dyDescent="0.25">
      <c r="A389" s="1">
        <f>INDEX(rq_evidence_review!A:A, MATCH(B389, rq_evidence_review!B:B, 0))</f>
        <v>2</v>
      </c>
      <c r="B389" s="6">
        <v>2.2000000000000002</v>
      </c>
      <c r="C389" s="1">
        <f t="shared" si="45"/>
        <v>386</v>
      </c>
      <c r="D389" s="1">
        <f>VLOOKUP(B389,rq_evidence_review!$B$1:$L$55,7,FALSE)</f>
        <v>80</v>
      </c>
      <c r="E389" s="8" t="s">
        <v>610</v>
      </c>
      <c r="F389" s="1" t="str">
        <f t="shared" si="51"/>
        <v/>
      </c>
      <c r="H389" s="1" t="str">
        <f t="shared" si="46"/>
        <v>Benson S</v>
      </c>
      <c r="I389" s="1" t="str">
        <f t="shared" si="49"/>
        <v>2009</v>
      </c>
      <c r="J389" s="1" t="str">
        <f t="shared" si="47"/>
        <v>Benson S et al., 2009</v>
      </c>
      <c r="K389" s="1" t="str">
        <f t="shared" si="50"/>
        <v>10.1016/j.psyneuen.2008.12.001</v>
      </c>
      <c r="L389" s="1" t="str">
        <f t="shared" si="48"/>
        <v>19150179</v>
      </c>
    </row>
    <row r="390" spans="1:12" ht="45" hidden="1" x14ac:dyDescent="0.25">
      <c r="A390" s="1">
        <f>INDEX(rq_evidence_review!A:A, MATCH(B390, rq_evidence_review!B:B, 0))</f>
        <v>2</v>
      </c>
      <c r="B390" s="6">
        <v>2.2000000000000002</v>
      </c>
      <c r="C390" s="1">
        <f t="shared" si="45"/>
        <v>387</v>
      </c>
      <c r="D390" s="1">
        <f>VLOOKUP(B390,rq_evidence_review!$B$1:$L$55,7,FALSE)</f>
        <v>80</v>
      </c>
      <c r="E390" s="8" t="s">
        <v>611</v>
      </c>
      <c r="F390" s="1" t="str">
        <f t="shared" si="51"/>
        <v/>
      </c>
      <c r="H390" s="1" t="str">
        <f t="shared" si="46"/>
        <v>Benson J</v>
      </c>
      <c r="I390" s="1" t="str">
        <f t="shared" si="49"/>
        <v>2020</v>
      </c>
      <c r="J390" s="1" t="str">
        <f t="shared" si="47"/>
        <v>Benson J et al., 2020</v>
      </c>
      <c r="K390" s="1" t="str">
        <f t="shared" si="50"/>
        <v>10.1016/j.jcjd.2020.05.015</v>
      </c>
      <c r="L390" s="1" t="str">
        <f t="shared" si="48"/>
        <v>32792104</v>
      </c>
    </row>
    <row r="391" spans="1:12" ht="45" hidden="1" x14ac:dyDescent="0.25">
      <c r="A391" s="1">
        <f>INDEX(rq_evidence_review!A:A, MATCH(B391, rq_evidence_review!B:B, 0))</f>
        <v>2</v>
      </c>
      <c r="B391" s="6">
        <v>2.2000000000000002</v>
      </c>
      <c r="C391" s="1">
        <f t="shared" si="45"/>
        <v>388</v>
      </c>
      <c r="D391" s="1">
        <f>VLOOKUP(B391,rq_evidence_review!$B$1:$L$55,7,FALSE)</f>
        <v>80</v>
      </c>
      <c r="E391" s="8" t="s">
        <v>612</v>
      </c>
      <c r="F391" s="1" t="str">
        <f t="shared" si="51"/>
        <v/>
      </c>
      <c r="H391" s="1" t="str">
        <f t="shared" si="46"/>
        <v>Benson S</v>
      </c>
      <c r="I391" s="1" t="str">
        <f t="shared" si="49"/>
        <v>2008</v>
      </c>
      <c r="J391" s="1" t="str">
        <f t="shared" si="47"/>
        <v>Benson S et al., 2008</v>
      </c>
      <c r="K391" s="1" t="str">
        <f t="shared" si="50"/>
        <v>10.1016/j.bbi.2007.07.003</v>
      </c>
      <c r="L391" s="1" t="str">
        <f t="shared" si="48"/>
        <v>17716857</v>
      </c>
    </row>
    <row r="392" spans="1:12" ht="30" hidden="1" x14ac:dyDescent="0.25">
      <c r="A392" s="1">
        <f>INDEX(rq_evidence_review!A:A, MATCH(B392, rq_evidence_review!B:B, 0))</f>
        <v>2</v>
      </c>
      <c r="B392" s="6">
        <v>2.2000000000000002</v>
      </c>
      <c r="C392" s="1">
        <f t="shared" si="45"/>
        <v>389</v>
      </c>
      <c r="D392" s="1">
        <f>VLOOKUP(B392,rq_evidence_review!$B$1:$L$55,7,FALSE)</f>
        <v>80</v>
      </c>
      <c r="E392" s="8" t="s">
        <v>613</v>
      </c>
      <c r="F392" s="1" t="str">
        <f t="shared" si="51"/>
        <v/>
      </c>
      <c r="H392" s="1" t="str">
        <f t="shared" si="46"/>
        <v>Besenek M</v>
      </c>
      <c r="I392" s="1" t="str">
        <f t="shared" si="49"/>
        <v>2021</v>
      </c>
      <c r="J392" s="1" t="str">
        <f t="shared" si="47"/>
        <v>Besenek M et al., 2021</v>
      </c>
      <c r="K392" s="1" t="str">
        <f t="shared" si="50"/>
        <v>10.1111/jog.14444</v>
      </c>
      <c r="L392" s="1" t="str">
        <f t="shared" si="48"/>
        <v>32830412</v>
      </c>
    </row>
    <row r="393" spans="1:12" ht="30" hidden="1" x14ac:dyDescent="0.25">
      <c r="A393" s="1">
        <f>INDEX(rq_evidence_review!A:A, MATCH(B393, rq_evidence_review!B:B, 0))</f>
        <v>2</v>
      </c>
      <c r="B393" s="6">
        <v>2.2000000000000002</v>
      </c>
      <c r="C393" s="1">
        <f t="shared" si="45"/>
        <v>390</v>
      </c>
      <c r="D393" s="1">
        <f>VLOOKUP(B393,rq_evidence_review!$B$1:$L$55,7,FALSE)</f>
        <v>80</v>
      </c>
      <c r="E393" s="8" t="s">
        <v>614</v>
      </c>
      <c r="F393" s="1" t="str">
        <f t="shared" si="51"/>
        <v/>
      </c>
      <c r="H393" s="1" t="str">
        <f t="shared" si="46"/>
        <v>Bhattacharya SM</v>
      </c>
      <c r="I393" s="1" t="str">
        <f t="shared" si="49"/>
        <v>2010</v>
      </c>
      <c r="J393" s="1" t="str">
        <f t="shared" si="47"/>
        <v>Bhattacharya SM et al., 2010</v>
      </c>
      <c r="K393" s="1" t="str">
        <f t="shared" si="50"/>
        <v>10.1016/j.fertnstert.2009.09.025</v>
      </c>
      <c r="L393" s="1" t="str">
        <f t="shared" si="48"/>
        <v>19896652</v>
      </c>
    </row>
    <row r="394" spans="1:12" ht="45" hidden="1" x14ac:dyDescent="0.25">
      <c r="A394" s="1">
        <f>INDEX(rq_evidence_review!A:A, MATCH(B394, rq_evidence_review!B:B, 0))</f>
        <v>2</v>
      </c>
      <c r="B394" s="6">
        <v>2.2000000000000002</v>
      </c>
      <c r="C394" s="1">
        <f t="shared" si="45"/>
        <v>391</v>
      </c>
      <c r="D394" s="1">
        <f>VLOOKUP(B394,rq_evidence_review!$B$1:$L$55,7,FALSE)</f>
        <v>80</v>
      </c>
      <c r="E394" s="8" t="s">
        <v>615</v>
      </c>
      <c r="F394" s="1" t="str">
        <f t="shared" si="51"/>
        <v/>
      </c>
      <c r="H394" s="1" t="str">
        <f t="shared" si="46"/>
        <v>Borghi L</v>
      </c>
      <c r="I394" s="1" t="str">
        <f t="shared" si="49"/>
        <v>2018</v>
      </c>
      <c r="J394" s="1" t="str">
        <f t="shared" si="47"/>
        <v>Borghi L et al., 2018</v>
      </c>
      <c r="K394" s="1" t="str">
        <f t="shared" si="50"/>
        <v>10.1080/0167482X.2017.1311319</v>
      </c>
      <c r="L394" s="1" t="str">
        <f t="shared" si="48"/>
        <v>28385114</v>
      </c>
    </row>
    <row r="395" spans="1:12" ht="30" hidden="1" x14ac:dyDescent="0.25">
      <c r="A395" s="1">
        <f>INDEX(rq_evidence_review!A:A, MATCH(B395, rq_evidence_review!B:B, 0))</f>
        <v>2</v>
      </c>
      <c r="B395" s="6">
        <v>2.2000000000000002</v>
      </c>
      <c r="C395" s="1">
        <f t="shared" si="45"/>
        <v>392</v>
      </c>
      <c r="D395" s="1">
        <f>VLOOKUP(B395,rq_evidence_review!$B$1:$L$55,7,FALSE)</f>
        <v>80</v>
      </c>
      <c r="E395" s="8" t="s">
        <v>616</v>
      </c>
      <c r="F395" s="1" t="str">
        <f t="shared" si="51"/>
        <v/>
      </c>
      <c r="H395" s="1" t="str">
        <f t="shared" si="46"/>
        <v>Caltekin</v>
      </c>
      <c r="I395" s="1" t="str">
        <f t="shared" si="49"/>
        <v>2021</v>
      </c>
      <c r="J395" s="1" t="str">
        <f t="shared" si="47"/>
        <v>Caltekin et al., 2021</v>
      </c>
      <c r="K395" s="9" t="s">
        <v>1567</v>
      </c>
      <c r="L395" s="1" t="str">
        <f t="shared" si="48"/>
        <v/>
      </c>
    </row>
    <row r="396" spans="1:12" ht="30" hidden="1" x14ac:dyDescent="0.25">
      <c r="A396" s="1">
        <f>INDEX(rq_evidence_review!A:A, MATCH(B396, rq_evidence_review!B:B, 0))</f>
        <v>2</v>
      </c>
      <c r="B396" s="6">
        <v>2.2000000000000002</v>
      </c>
      <c r="C396" s="1">
        <f t="shared" si="45"/>
        <v>393</v>
      </c>
      <c r="D396" s="1">
        <f>VLOOKUP(B396,rq_evidence_review!$B$1:$L$55,7,FALSE)</f>
        <v>80</v>
      </c>
      <c r="E396" s="8" t="s">
        <v>617</v>
      </c>
      <c r="F396" s="1" t="str">
        <f t="shared" si="51"/>
        <v/>
      </c>
      <c r="H396" s="1" t="str">
        <f t="shared" si="46"/>
        <v>Cinar N</v>
      </c>
      <c r="I396" s="1" t="str">
        <f t="shared" si="49"/>
        <v>2011</v>
      </c>
      <c r="J396" s="1" t="str">
        <f t="shared" si="47"/>
        <v>Cinar N et al., 2011</v>
      </c>
      <c r="K396" s="1" t="str">
        <f t="shared" si="50"/>
        <v>10.1093/humrep/der338</v>
      </c>
      <c r="L396" s="1" t="str">
        <f t="shared" si="48"/>
        <v>21984577</v>
      </c>
    </row>
    <row r="397" spans="1:12" ht="30" hidden="1" x14ac:dyDescent="0.25">
      <c r="A397" s="1">
        <f>INDEX(rq_evidence_review!A:A, MATCH(B397, rq_evidence_review!B:B, 0))</f>
        <v>2</v>
      </c>
      <c r="B397" s="6">
        <v>2.2000000000000002</v>
      </c>
      <c r="C397" s="1">
        <f t="shared" si="45"/>
        <v>394</v>
      </c>
      <c r="D397" s="1">
        <f>VLOOKUP(B397,rq_evidence_review!$B$1:$L$55,7,FALSE)</f>
        <v>80</v>
      </c>
      <c r="E397" s="8" t="s">
        <v>618</v>
      </c>
      <c r="F397" s="1" t="str">
        <f t="shared" si="51"/>
        <v/>
      </c>
      <c r="H397" s="1" t="str">
        <f t="shared" si="46"/>
        <v>Ozcan Dag Z</v>
      </c>
      <c r="I397" s="1" t="str">
        <f t="shared" si="49"/>
        <v>2017</v>
      </c>
      <c r="J397" s="1" t="str">
        <f t="shared" si="47"/>
        <v>Ozcan Dag Z et al., 2017</v>
      </c>
      <c r="K397" s="1" t="str">
        <f t="shared" si="50"/>
        <v>10.1080/09513590.2016.1254610</v>
      </c>
      <c r="L397" s="1" t="str">
        <f t="shared" si="48"/>
        <v>27908217</v>
      </c>
    </row>
    <row r="398" spans="1:12" ht="30" hidden="1" x14ac:dyDescent="0.25">
      <c r="A398" s="1">
        <f>INDEX(rq_evidence_review!A:A, MATCH(B398, rq_evidence_review!B:B, 0))</f>
        <v>2</v>
      </c>
      <c r="B398" s="6">
        <v>2.2000000000000002</v>
      </c>
      <c r="C398" s="1">
        <f t="shared" si="45"/>
        <v>395</v>
      </c>
      <c r="D398" s="1">
        <f>VLOOKUP(B398,rq_evidence_review!$B$1:$L$55,7,FALSE)</f>
        <v>80</v>
      </c>
      <c r="E398" s="8" t="s">
        <v>619</v>
      </c>
      <c r="F398" s="1" t="str">
        <f t="shared" si="51"/>
        <v/>
      </c>
      <c r="H398" s="1" t="str">
        <f t="shared" si="46"/>
        <v>Davari-Tanha F</v>
      </c>
      <c r="I398" s="1" t="str">
        <f t="shared" si="49"/>
        <v>2014</v>
      </c>
      <c r="J398" s="1" t="str">
        <f t="shared" si="47"/>
        <v>Davari-Tanha F et al., 2014</v>
      </c>
      <c r="K398" s="1" t="str">
        <f t="shared" si="50"/>
        <v/>
      </c>
      <c r="L398" s="1" t="str">
        <f t="shared" si="48"/>
        <v>24658986</v>
      </c>
    </row>
    <row r="399" spans="1:12" ht="30" hidden="1" x14ac:dyDescent="0.25">
      <c r="A399" s="1">
        <f>INDEX(rq_evidence_review!A:A, MATCH(B399, rq_evidence_review!B:B, 0))</f>
        <v>2</v>
      </c>
      <c r="B399" s="6">
        <v>2.2000000000000002</v>
      </c>
      <c r="C399" s="1">
        <f t="shared" si="45"/>
        <v>396</v>
      </c>
      <c r="D399" s="1">
        <f>VLOOKUP(B399,rq_evidence_review!$B$1:$L$55,7,FALSE)</f>
        <v>80</v>
      </c>
      <c r="E399" s="8" t="s">
        <v>620</v>
      </c>
      <c r="F399" s="1" t="str">
        <f t="shared" si="51"/>
        <v/>
      </c>
      <c r="H399" s="1" t="str">
        <f t="shared" si="46"/>
        <v>Deeks AA</v>
      </c>
      <c r="I399" s="1" t="str">
        <f t="shared" si="49"/>
        <v>2011</v>
      </c>
      <c r="J399" s="1" t="str">
        <f t="shared" si="47"/>
        <v>Deeks AA et al., 2011</v>
      </c>
      <c r="K399" s="1" t="str">
        <f t="shared" si="50"/>
        <v>10.1093/humrep/der071</v>
      </c>
      <c r="L399" s="1" t="str">
        <f t="shared" si="48"/>
        <v>21436137</v>
      </c>
    </row>
    <row r="400" spans="1:12" ht="45" hidden="1" x14ac:dyDescent="0.25">
      <c r="A400" s="1">
        <f>INDEX(rq_evidence_review!A:A, MATCH(B400, rq_evidence_review!B:B, 0))</f>
        <v>2</v>
      </c>
      <c r="B400" s="6">
        <v>2.2000000000000002</v>
      </c>
      <c r="C400" s="1">
        <f t="shared" si="45"/>
        <v>397</v>
      </c>
      <c r="D400" s="1">
        <f>VLOOKUP(B400,rq_evidence_review!$B$1:$L$55,7,FALSE)</f>
        <v>80</v>
      </c>
      <c r="E400" s="8" t="s">
        <v>621</v>
      </c>
      <c r="F400" s="1" t="str">
        <f t="shared" si="51"/>
        <v/>
      </c>
      <c r="H400" s="1" t="str">
        <f t="shared" si="46"/>
        <v>Donbaloğlu Z</v>
      </c>
      <c r="I400" s="1" t="str">
        <f t="shared" si="49"/>
        <v>2022</v>
      </c>
      <c r="J400" s="1" t="str">
        <f t="shared" si="47"/>
        <v>Donbaloğlu Z et al., 2022</v>
      </c>
      <c r="K400" s="1" t="str">
        <f t="shared" si="50"/>
        <v>10.1297/cpe.2022-0010</v>
      </c>
      <c r="L400" s="1" t="str">
        <f t="shared" si="48"/>
        <v>35431449</v>
      </c>
    </row>
    <row r="401" spans="1:12" ht="30" hidden="1" x14ac:dyDescent="0.25">
      <c r="A401" s="1">
        <f>INDEX(rq_evidence_review!A:A, MATCH(B401, rq_evidence_review!B:B, 0))</f>
        <v>2</v>
      </c>
      <c r="B401" s="6">
        <v>2.2000000000000002</v>
      </c>
      <c r="C401" s="1">
        <f t="shared" si="45"/>
        <v>398</v>
      </c>
      <c r="D401" s="1">
        <f>VLOOKUP(B401,rq_evidence_review!$B$1:$L$55,7,FALSE)</f>
        <v>80</v>
      </c>
      <c r="E401" s="8" t="s">
        <v>622</v>
      </c>
      <c r="F401" s="1" t="str">
        <f t="shared" si="51"/>
        <v/>
      </c>
      <c r="H401" s="1" t="str">
        <f t="shared" si="46"/>
        <v>Dybciak P</v>
      </c>
      <c r="I401" s="1" t="str">
        <f t="shared" si="49"/>
        <v>2022</v>
      </c>
      <c r="J401" s="1" t="str">
        <f t="shared" si="47"/>
        <v>Dybciak P et al., 2022</v>
      </c>
      <c r="K401" s="1" t="str">
        <f t="shared" si="50"/>
        <v>10.3390/medicina58070942</v>
      </c>
      <c r="L401" s="1" t="str">
        <f t="shared" si="48"/>
        <v>35888661</v>
      </c>
    </row>
    <row r="402" spans="1:12" ht="30" hidden="1" x14ac:dyDescent="0.25">
      <c r="A402" s="1">
        <f>INDEX(rq_evidence_review!A:A, MATCH(B402, rq_evidence_review!B:B, 0))</f>
        <v>2</v>
      </c>
      <c r="B402" s="6">
        <v>2.2000000000000002</v>
      </c>
      <c r="C402" s="1">
        <f t="shared" si="45"/>
        <v>399</v>
      </c>
      <c r="D402" s="1">
        <f>VLOOKUP(B402,rq_evidence_review!$B$1:$L$55,7,FALSE)</f>
        <v>80</v>
      </c>
      <c r="E402" s="8" t="s">
        <v>623</v>
      </c>
      <c r="F402" s="1" t="str">
        <f t="shared" si="51"/>
        <v/>
      </c>
      <c r="H402" s="1" t="str">
        <f t="shared" si="46"/>
        <v>Elsenbruch S</v>
      </c>
      <c r="I402" s="1" t="str">
        <f t="shared" si="49"/>
        <v>2003</v>
      </c>
      <c r="J402" s="1" t="str">
        <f t="shared" si="47"/>
        <v>Elsenbruch S et al., 2003</v>
      </c>
      <c r="K402" s="1" t="str">
        <f t="shared" si="50"/>
        <v>10.1210/jc.2003-030562</v>
      </c>
      <c r="L402" s="1" t="str">
        <f t="shared" si="48"/>
        <v>14671172</v>
      </c>
    </row>
    <row r="403" spans="1:12" ht="30" hidden="1" x14ac:dyDescent="0.25">
      <c r="A403" s="1">
        <f>INDEX(rq_evidence_review!A:A, MATCH(B403, rq_evidence_review!B:B, 0))</f>
        <v>2</v>
      </c>
      <c r="B403" s="6">
        <v>2.2000000000000002</v>
      </c>
      <c r="C403" s="1">
        <f t="shared" si="45"/>
        <v>400</v>
      </c>
      <c r="D403" s="1">
        <f>VLOOKUP(B403,rq_evidence_review!$B$1:$L$55,7,FALSE)</f>
        <v>80</v>
      </c>
      <c r="E403" s="8" t="s">
        <v>624</v>
      </c>
      <c r="F403" s="1" t="str">
        <f t="shared" si="51"/>
        <v/>
      </c>
      <c r="H403" s="1" t="str">
        <f t="shared" si="46"/>
        <v>Emeksiz HC</v>
      </c>
      <c r="I403" s="1" t="str">
        <f t="shared" si="49"/>
        <v>2018</v>
      </c>
      <c r="J403" s="1" t="str">
        <f t="shared" si="47"/>
        <v>Emeksiz HC et al., 2018</v>
      </c>
      <c r="K403" s="1" t="str">
        <f t="shared" si="50"/>
        <v>10.3906/sag-1708-131</v>
      </c>
      <c r="L403" s="1" t="str">
        <f t="shared" si="48"/>
        <v>29914248</v>
      </c>
    </row>
    <row r="404" spans="1:12" ht="30" hidden="1" x14ac:dyDescent="0.25">
      <c r="A404" s="1">
        <f>INDEX(rq_evidence_review!A:A, MATCH(B404, rq_evidence_review!B:B, 0))</f>
        <v>2</v>
      </c>
      <c r="B404" s="6">
        <v>2.2000000000000002</v>
      </c>
      <c r="C404" s="1">
        <f t="shared" si="45"/>
        <v>401</v>
      </c>
      <c r="D404" s="1">
        <f>VLOOKUP(B404,rq_evidence_review!$B$1:$L$55,7,FALSE)</f>
        <v>80</v>
      </c>
      <c r="E404" s="8" t="s">
        <v>625</v>
      </c>
      <c r="F404" s="1" t="str">
        <f t="shared" si="51"/>
        <v/>
      </c>
      <c r="H404" s="1" t="str">
        <f t="shared" si="46"/>
        <v>Enjezab B</v>
      </c>
      <c r="I404" s="1" t="str">
        <f t="shared" si="49"/>
        <v>2017</v>
      </c>
      <c r="J404" s="1" t="str">
        <f t="shared" si="47"/>
        <v>Enjezab B et al., 2017</v>
      </c>
      <c r="K404" s="1" t="str">
        <f t="shared" si="50"/>
        <v>10.19082/5820</v>
      </c>
      <c r="L404" s="1" t="str">
        <f t="shared" si="48"/>
        <v>29403625</v>
      </c>
    </row>
    <row r="405" spans="1:12" ht="30" hidden="1" x14ac:dyDescent="0.25">
      <c r="A405" s="1">
        <f>INDEX(rq_evidence_review!A:A, MATCH(B405, rq_evidence_review!B:B, 0))</f>
        <v>2</v>
      </c>
      <c r="B405" s="6">
        <v>2.2000000000000002</v>
      </c>
      <c r="C405" s="1">
        <f t="shared" si="45"/>
        <v>402</v>
      </c>
      <c r="D405" s="1">
        <f>VLOOKUP(B405,rq_evidence_review!$B$1:$L$55,7,FALSE)</f>
        <v>80</v>
      </c>
      <c r="E405" s="8" t="s">
        <v>626</v>
      </c>
      <c r="F405" s="1" t="str">
        <f t="shared" si="51"/>
        <v/>
      </c>
      <c r="H405" s="1" t="str">
        <f t="shared" si="46"/>
        <v>Ercan CM</v>
      </c>
      <c r="I405" s="1" t="str">
        <f t="shared" si="49"/>
        <v>2013</v>
      </c>
      <c r="J405" s="1" t="str">
        <f t="shared" si="47"/>
        <v>Ercan CM et al., 2013</v>
      </c>
      <c r="K405" s="1" t="str">
        <f t="shared" si="50"/>
        <v>10.1038/ijir.2013.2</v>
      </c>
      <c r="L405" s="1" t="str">
        <f t="shared" si="48"/>
        <v>23407282</v>
      </c>
    </row>
    <row r="406" spans="1:12" ht="30" hidden="1" x14ac:dyDescent="0.25">
      <c r="A406" s="1">
        <f>INDEX(rq_evidence_review!A:A, MATCH(B406, rq_evidence_review!B:B, 0))</f>
        <v>2</v>
      </c>
      <c r="B406" s="6">
        <v>2.2000000000000002</v>
      </c>
      <c r="C406" s="1">
        <f t="shared" si="45"/>
        <v>403</v>
      </c>
      <c r="D406" s="1">
        <f>VLOOKUP(B406,rq_evidence_review!$B$1:$L$55,7,FALSE)</f>
        <v>80</v>
      </c>
      <c r="E406" s="8" t="s">
        <v>627</v>
      </c>
      <c r="F406" s="1" t="str">
        <f t="shared" si="51"/>
        <v/>
      </c>
      <c r="H406" s="1" t="str">
        <f t="shared" si="46"/>
        <v>Ghazeeri G</v>
      </c>
      <c r="I406" s="1" t="str">
        <f t="shared" si="49"/>
        <v>2022</v>
      </c>
      <c r="J406" s="1" t="str">
        <f t="shared" si="47"/>
        <v>Ghazeeri G et al., 2022</v>
      </c>
      <c r="K406" s="1" t="str">
        <f t="shared" si="50"/>
        <v>10.1371/journal.pone.0266398</v>
      </c>
      <c r="L406" s="1" t="str">
        <f t="shared" si="48"/>
        <v>35363827</v>
      </c>
    </row>
    <row r="407" spans="1:12" ht="30" hidden="1" x14ac:dyDescent="0.25">
      <c r="A407" s="1">
        <f>INDEX(rq_evidence_review!A:A, MATCH(B407, rq_evidence_review!B:B, 0))</f>
        <v>2</v>
      </c>
      <c r="B407" s="6">
        <v>2.2000000000000002</v>
      </c>
      <c r="C407" s="1">
        <f t="shared" si="45"/>
        <v>404</v>
      </c>
      <c r="D407" s="1">
        <f>VLOOKUP(B407,rq_evidence_review!$B$1:$L$55,7,FALSE)</f>
        <v>80</v>
      </c>
      <c r="E407" s="8" t="s">
        <v>628</v>
      </c>
      <c r="F407" s="1" t="str">
        <f t="shared" si="51"/>
        <v/>
      </c>
      <c r="H407" s="1" t="str">
        <f t="shared" si="46"/>
        <v>Ghazeeri G</v>
      </c>
      <c r="I407" s="1" t="str">
        <f t="shared" si="49"/>
        <v>2013</v>
      </c>
      <c r="J407" s="1" t="str">
        <f t="shared" si="47"/>
        <v>Ghazeeri G et al., 2013</v>
      </c>
      <c r="K407" s="1" t="str">
        <f t="shared" si="50"/>
        <v>10.1016/j.jpag.2013.04.005</v>
      </c>
      <c r="L407" s="1" t="str">
        <f t="shared" si="48"/>
        <v>23849090</v>
      </c>
    </row>
    <row r="408" spans="1:12" ht="45" hidden="1" x14ac:dyDescent="0.25">
      <c r="A408" s="1">
        <f>INDEX(rq_evidence_review!A:A, MATCH(B408, rq_evidence_review!B:B, 0))</f>
        <v>2</v>
      </c>
      <c r="B408" s="6">
        <v>2.2000000000000002</v>
      </c>
      <c r="C408" s="1">
        <f t="shared" si="45"/>
        <v>405</v>
      </c>
      <c r="D408" s="1">
        <f>VLOOKUP(B408,rq_evidence_review!$B$1:$L$55,7,FALSE)</f>
        <v>80</v>
      </c>
      <c r="E408" s="8" t="s">
        <v>629</v>
      </c>
      <c r="F408" s="1" t="str">
        <f t="shared" si="51"/>
        <v/>
      </c>
      <c r="H408" s="1" t="str">
        <f t="shared" si="46"/>
        <v>Glowinska A</v>
      </c>
      <c r="I408" s="1" t="str">
        <f t="shared" si="49"/>
        <v>2020</v>
      </c>
      <c r="J408" s="1" t="str">
        <f t="shared" si="47"/>
        <v>Glowinska A et al., 2020</v>
      </c>
      <c r="K408" s="1" t="str">
        <f t="shared" si="50"/>
        <v>10.1007/s43032-019-00061-0</v>
      </c>
      <c r="L408" s="1" t="str">
        <f t="shared" si="48"/>
        <v>32046411</v>
      </c>
    </row>
    <row r="409" spans="1:12" ht="45" hidden="1" x14ac:dyDescent="0.25">
      <c r="A409" s="1">
        <f>INDEX(rq_evidence_review!A:A, MATCH(B409, rq_evidence_review!B:B, 0))</f>
        <v>2</v>
      </c>
      <c r="B409" s="6">
        <v>2.2000000000000002</v>
      </c>
      <c r="C409" s="1">
        <f t="shared" si="45"/>
        <v>406</v>
      </c>
      <c r="D409" s="1">
        <f>VLOOKUP(B409,rq_evidence_review!$B$1:$L$55,7,FALSE)</f>
        <v>80</v>
      </c>
      <c r="E409" s="8" t="s">
        <v>630</v>
      </c>
      <c r="F409" s="1" t="str">
        <f t="shared" si="51"/>
        <v/>
      </c>
      <c r="H409" s="1" t="str">
        <f t="shared" si="46"/>
        <v>Greenwood EA</v>
      </c>
      <c r="I409" s="1" t="str">
        <f t="shared" si="49"/>
        <v>2019</v>
      </c>
      <c r="J409" s="1" t="str">
        <f t="shared" si="47"/>
        <v>Greenwood EA et al., 2019</v>
      </c>
      <c r="K409" s="1" t="str">
        <f t="shared" si="50"/>
        <v>10.1210/jc.2019-00234</v>
      </c>
      <c r="L409" s="1" t="str">
        <f t="shared" si="48"/>
        <v>30985868</v>
      </c>
    </row>
    <row r="410" spans="1:12" ht="30" hidden="1" x14ac:dyDescent="0.25">
      <c r="A410" s="1">
        <f>INDEX(rq_evidence_review!A:A, MATCH(B410, rq_evidence_review!B:B, 0))</f>
        <v>2</v>
      </c>
      <c r="B410" s="6">
        <v>2.2000000000000002</v>
      </c>
      <c r="C410" s="1">
        <f t="shared" si="45"/>
        <v>407</v>
      </c>
      <c r="D410" s="1">
        <f>VLOOKUP(B410,rq_evidence_review!$B$1:$L$55,7,FALSE)</f>
        <v>80</v>
      </c>
      <c r="E410" s="8" t="s">
        <v>631</v>
      </c>
      <c r="F410" s="1" t="str">
        <f t="shared" si="51"/>
        <v/>
      </c>
      <c r="H410" s="1" t="str">
        <f t="shared" si="46"/>
        <v>Hahn S</v>
      </c>
      <c r="I410" s="1" t="str">
        <f t="shared" si="49"/>
        <v>2005</v>
      </c>
      <c r="J410" s="1" t="str">
        <f t="shared" si="47"/>
        <v>Hahn S et al., 2005</v>
      </c>
      <c r="K410" s="1" t="str">
        <f t="shared" si="50"/>
        <v>10.1530/eje.1.02024</v>
      </c>
      <c r="L410" s="1" t="str">
        <f t="shared" si="48"/>
        <v>16322391</v>
      </c>
    </row>
    <row r="411" spans="1:12" ht="30" hidden="1" x14ac:dyDescent="0.25">
      <c r="A411" s="1">
        <f>INDEX(rq_evidence_review!A:A, MATCH(B411, rq_evidence_review!B:B, 0))</f>
        <v>2</v>
      </c>
      <c r="B411" s="6">
        <v>2.2000000000000002</v>
      </c>
      <c r="C411" s="1">
        <f t="shared" si="45"/>
        <v>408</v>
      </c>
      <c r="D411" s="1">
        <f>VLOOKUP(B411,rq_evidence_review!$B$1:$L$55,7,FALSE)</f>
        <v>80</v>
      </c>
      <c r="E411" s="8" t="s">
        <v>632</v>
      </c>
      <c r="F411" s="1" t="str">
        <f t="shared" si="51"/>
        <v/>
      </c>
      <c r="H411" s="1" t="str">
        <f t="shared" si="46"/>
        <v>HARMANCI</v>
      </c>
      <c r="I411" s="1" t="str">
        <f t="shared" si="49"/>
        <v>2013</v>
      </c>
      <c r="J411" s="1" t="str">
        <f t="shared" si="47"/>
        <v>HARMANCI et al., 2013</v>
      </c>
      <c r="K411" s="1" t="str">
        <f t="shared" si="50"/>
        <v>10.5350/dajpn2013260205</v>
      </c>
      <c r="L411" s="1" t="str">
        <f t="shared" si="48"/>
        <v/>
      </c>
    </row>
    <row r="412" spans="1:12" ht="30" hidden="1" x14ac:dyDescent="0.25">
      <c r="A412" s="1">
        <f>INDEX(rq_evidence_review!A:A, MATCH(B412, rq_evidence_review!B:B, 0))</f>
        <v>2</v>
      </c>
      <c r="B412" s="6">
        <v>2.2000000000000002</v>
      </c>
      <c r="C412" s="1">
        <f t="shared" si="45"/>
        <v>409</v>
      </c>
      <c r="D412" s="1">
        <f>VLOOKUP(B412,rq_evidence_review!$B$1:$L$55,7,FALSE)</f>
        <v>80</v>
      </c>
      <c r="E412" s="8" t="s">
        <v>633</v>
      </c>
      <c r="F412" s="1" t="str">
        <f t="shared" si="51"/>
        <v/>
      </c>
      <c r="H412" s="1" t="str">
        <f t="shared" si="46"/>
        <v>Harnod</v>
      </c>
      <c r="I412" s="1" t="str">
        <f t="shared" si="49"/>
        <v>2020</v>
      </c>
      <c r="J412" s="1" t="str">
        <f t="shared" si="47"/>
        <v>Harnod et al., 2020</v>
      </c>
      <c r="K412" s="1" t="str">
        <f t="shared" si="50"/>
        <v>10.1016/j.jad.2020.04.032</v>
      </c>
      <c r="L412" s="1" t="str">
        <f t="shared" si="48"/>
        <v/>
      </c>
    </row>
    <row r="413" spans="1:12" ht="30" hidden="1" x14ac:dyDescent="0.25">
      <c r="A413" s="1">
        <f>INDEX(rq_evidence_review!A:A, MATCH(B413, rq_evidence_review!B:B, 0))</f>
        <v>2</v>
      </c>
      <c r="B413" s="6">
        <v>2.2000000000000002</v>
      </c>
      <c r="C413" s="1">
        <f t="shared" si="45"/>
        <v>410</v>
      </c>
      <c r="D413" s="1">
        <f>VLOOKUP(B413,rq_evidence_review!$B$1:$L$55,7,FALSE)</f>
        <v>80</v>
      </c>
      <c r="E413" s="8" t="s">
        <v>634</v>
      </c>
      <c r="F413" s="1" t="str">
        <f t="shared" si="51"/>
        <v/>
      </c>
      <c r="H413" s="1" t="str">
        <f t="shared" si="46"/>
        <v>Himelein MJ</v>
      </c>
      <c r="I413" s="1" t="str">
        <f t="shared" si="49"/>
        <v>2006</v>
      </c>
      <c r="J413" s="1" t="str">
        <f t="shared" si="47"/>
        <v>Himelein MJ et al., 2006</v>
      </c>
      <c r="K413" s="1" t="str">
        <f t="shared" si="50"/>
        <v>10.1177/1359105306065021</v>
      </c>
      <c r="L413" s="1" t="str">
        <f t="shared" si="48"/>
        <v>16769740</v>
      </c>
    </row>
    <row r="414" spans="1:12" ht="30" hidden="1" x14ac:dyDescent="0.25">
      <c r="A414" s="1">
        <f>INDEX(rq_evidence_review!A:A, MATCH(B414, rq_evidence_review!B:B, 0))</f>
        <v>2</v>
      </c>
      <c r="B414" s="6">
        <v>2.2000000000000002</v>
      </c>
      <c r="C414" s="1">
        <f t="shared" ref="C414:C477" si="52">C413+1</f>
        <v>411</v>
      </c>
      <c r="D414" s="1">
        <f>VLOOKUP(B414,rq_evidence_review!$B$1:$L$55,7,FALSE)</f>
        <v>80</v>
      </c>
      <c r="E414" s="8" t="s">
        <v>635</v>
      </c>
      <c r="F414" s="1" t="str">
        <f t="shared" si="51"/>
        <v/>
      </c>
      <c r="H414" s="1" t="str">
        <f t="shared" si="46"/>
        <v>Hollinrake E</v>
      </c>
      <c r="I414" s="1" t="str">
        <f t="shared" si="49"/>
        <v>2007</v>
      </c>
      <c r="J414" s="1" t="str">
        <f t="shared" si="47"/>
        <v>Hollinrake E et al., 2007</v>
      </c>
      <c r="K414" s="1" t="str">
        <f t="shared" si="50"/>
        <v>10.1016/j.fertnstert.2006.11.039</v>
      </c>
      <c r="L414" s="1" t="str">
        <f t="shared" si="48"/>
        <v>17397839</v>
      </c>
    </row>
    <row r="415" spans="1:12" ht="45" hidden="1" x14ac:dyDescent="0.25">
      <c r="A415" s="1">
        <f>INDEX(rq_evidence_review!A:A, MATCH(B415, rq_evidence_review!B:B, 0))</f>
        <v>2</v>
      </c>
      <c r="B415" s="6">
        <v>2.2000000000000002</v>
      </c>
      <c r="C415" s="1">
        <f t="shared" si="52"/>
        <v>412</v>
      </c>
      <c r="D415" s="1">
        <f>VLOOKUP(B415,rq_evidence_review!$B$1:$L$55,7,FALSE)</f>
        <v>80</v>
      </c>
      <c r="E415" s="8" t="s">
        <v>636</v>
      </c>
      <c r="F415" s="1" t="str">
        <f t="shared" si="51"/>
        <v/>
      </c>
      <c r="H415" s="1" t="str">
        <f t="shared" si="46"/>
        <v>Hussain A</v>
      </c>
      <c r="I415" s="1" t="str">
        <f t="shared" si="49"/>
        <v>2015</v>
      </c>
      <c r="J415" s="1" t="str">
        <f t="shared" si="47"/>
        <v>Hussain A et al., 2015</v>
      </c>
      <c r="K415" s="1" t="str">
        <f t="shared" si="50"/>
        <v>10.4103/0253-7176.150822</v>
      </c>
      <c r="L415" s="1" t="str">
        <f t="shared" si="48"/>
        <v>25722515</v>
      </c>
    </row>
    <row r="416" spans="1:12" ht="45" hidden="1" x14ac:dyDescent="0.25">
      <c r="A416" s="1">
        <f>INDEX(rq_evidence_review!A:A, MATCH(B416, rq_evidence_review!B:B, 0))</f>
        <v>2</v>
      </c>
      <c r="B416" s="6">
        <v>2.2000000000000002</v>
      </c>
      <c r="C416" s="1">
        <f t="shared" si="52"/>
        <v>413</v>
      </c>
      <c r="D416" s="1">
        <f>VLOOKUP(B416,rq_evidence_review!$B$1:$L$55,7,FALSE)</f>
        <v>80</v>
      </c>
      <c r="E416" s="8" t="s">
        <v>637</v>
      </c>
      <c r="F416" s="1" t="str">
        <f t="shared" si="51"/>
        <v/>
      </c>
      <c r="H416" s="1" t="str">
        <f t="shared" ref="H416:H479" si="53">LEFT(E416, FIND(",", E416) - 1)</f>
        <v>Jedel E</v>
      </c>
      <c r="I416" s="1" t="str">
        <f t="shared" si="49"/>
        <v>2010</v>
      </c>
      <c r="J416" s="1" t="str">
        <f t="shared" ref="J416:J479" si="54">H416 &amp; " et al., " &amp; I416</f>
        <v>Jedel E et al., 2010</v>
      </c>
      <c r="K416" s="1" t="str">
        <f t="shared" ref="K416:K479" si="55">ExtractDOI(E416)</f>
        <v>10.1093/humrep/dep384</v>
      </c>
      <c r="L416" s="1" t="str">
        <f t="shared" ref="L416:L479" si="56">ExtractPMID(E416)</f>
        <v>19933236</v>
      </c>
    </row>
    <row r="417" spans="1:14" ht="45" hidden="1" x14ac:dyDescent="0.25">
      <c r="A417" s="1">
        <f>INDEX(rq_evidence_review!A:A, MATCH(B417, rq_evidence_review!B:B, 0))</f>
        <v>2</v>
      </c>
      <c r="B417" s="6">
        <v>2.2000000000000002</v>
      </c>
      <c r="C417" s="1">
        <f t="shared" si="52"/>
        <v>414</v>
      </c>
      <c r="D417" s="1">
        <f>VLOOKUP(B417,rq_evidence_review!$B$1:$L$55,7,FALSE)</f>
        <v>80</v>
      </c>
      <c r="E417" s="8" t="s">
        <v>638</v>
      </c>
      <c r="F417" s="1" t="str">
        <f t="shared" si="51"/>
        <v/>
      </c>
      <c r="H417" s="1" t="str">
        <f t="shared" si="53"/>
        <v>Komarowska H</v>
      </c>
      <c r="I417" s="1" t="str">
        <f t="shared" ref="I417:I480" si="57">ExtractYear(E417)</f>
        <v>2013</v>
      </c>
      <c r="J417" s="1" t="str">
        <f t="shared" si="54"/>
        <v>Komarowska H et al., 2013</v>
      </c>
      <c r="K417" s="1" t="str">
        <f t="shared" si="55"/>
        <v/>
      </c>
      <c r="L417" s="1" t="str">
        <f t="shared" si="56"/>
        <v>24464003</v>
      </c>
    </row>
    <row r="418" spans="1:14" ht="45" hidden="1" x14ac:dyDescent="0.25">
      <c r="A418" s="1">
        <f>INDEX(rq_evidence_review!A:A, MATCH(B418, rq_evidence_review!B:B, 0))</f>
        <v>2</v>
      </c>
      <c r="B418" s="6">
        <v>2.2000000000000002</v>
      </c>
      <c r="C418" s="1">
        <f t="shared" si="52"/>
        <v>415</v>
      </c>
      <c r="D418" s="1">
        <f>VLOOKUP(B418,rq_evidence_review!$B$1:$L$55,7,FALSE)</f>
        <v>80</v>
      </c>
      <c r="E418" s="8" t="s">
        <v>639</v>
      </c>
      <c r="F418" s="1" t="str">
        <f t="shared" si="51"/>
        <v/>
      </c>
      <c r="H418" s="1" t="str">
        <f t="shared" si="53"/>
        <v>Karjula S</v>
      </c>
      <c r="I418" s="1" t="str">
        <f t="shared" si="57"/>
        <v>2017</v>
      </c>
      <c r="J418" s="1" t="str">
        <f t="shared" si="54"/>
        <v>Karjula S et al., 2017</v>
      </c>
      <c r="K418" s="1" t="str">
        <f t="shared" si="55"/>
        <v>10.1210/jc.2016-3863</v>
      </c>
      <c r="L418" s="1" t="str">
        <f t="shared" si="56"/>
        <v>28323926</v>
      </c>
    </row>
    <row r="419" spans="1:14" ht="45" hidden="1" x14ac:dyDescent="0.25">
      <c r="A419" s="1">
        <f>INDEX(rq_evidence_review!A:A, MATCH(B419, rq_evidence_review!B:B, 0))</f>
        <v>2</v>
      </c>
      <c r="B419" s="6">
        <v>2.2000000000000002</v>
      </c>
      <c r="C419" s="1">
        <f t="shared" si="52"/>
        <v>416</v>
      </c>
      <c r="D419" s="1">
        <f>VLOOKUP(B419,rq_evidence_review!$B$1:$L$55,7,FALSE)</f>
        <v>80</v>
      </c>
      <c r="E419" s="8" t="s">
        <v>640</v>
      </c>
      <c r="F419" s="1" t="str">
        <f t="shared" si="51"/>
        <v/>
      </c>
      <c r="H419" s="1" t="str">
        <f t="shared" si="53"/>
        <v>Aydogan Kirmizi D</v>
      </c>
      <c r="I419" s="1" t="str">
        <f t="shared" si="57"/>
        <v>2020</v>
      </c>
      <c r="J419" s="1" t="str">
        <f t="shared" si="54"/>
        <v>Aydogan Kirmizi D et al., 2020</v>
      </c>
      <c r="K419" s="1" t="str">
        <f t="shared" si="55"/>
        <v>10.1016/j.npep.2020.102099</v>
      </c>
      <c r="L419" s="1" t="str">
        <f t="shared" si="56"/>
        <v>33120204</v>
      </c>
    </row>
    <row r="420" spans="1:14" ht="30" hidden="1" x14ac:dyDescent="0.25">
      <c r="A420" s="1">
        <f>INDEX(rq_evidence_review!A:A, MATCH(B420, rq_evidence_review!B:B, 0))</f>
        <v>2</v>
      </c>
      <c r="B420" s="6">
        <v>2.2000000000000002</v>
      </c>
      <c r="C420" s="1">
        <f t="shared" si="52"/>
        <v>417</v>
      </c>
      <c r="D420" s="1">
        <f>VLOOKUP(B420,rq_evidence_review!$B$1:$L$55,7,FALSE)</f>
        <v>80</v>
      </c>
      <c r="E420" s="8" t="s">
        <v>641</v>
      </c>
      <c r="F420" s="1" t="str">
        <f t="shared" si="51"/>
        <v/>
      </c>
      <c r="H420" s="1" t="str">
        <f t="shared" si="53"/>
        <v>Koseoglu SB</v>
      </c>
      <c r="I420" s="1" t="str">
        <f t="shared" si="57"/>
        <v>2016</v>
      </c>
      <c r="J420" s="1" t="str">
        <f t="shared" si="54"/>
        <v>Koseoglu SB et al., 2016</v>
      </c>
      <c r="K420" s="1" t="str">
        <f t="shared" si="55"/>
        <v>10.1016/j.kjms.2016.04.015</v>
      </c>
      <c r="L420" s="1" t="str">
        <f t="shared" si="56"/>
        <v>27377844</v>
      </c>
    </row>
    <row r="421" spans="1:14" ht="45" hidden="1" x14ac:dyDescent="0.25">
      <c r="A421" s="1">
        <f>INDEX(rq_evidence_review!A:A, MATCH(B421, rq_evidence_review!B:B, 0))</f>
        <v>2</v>
      </c>
      <c r="B421" s="6">
        <v>2.2000000000000002</v>
      </c>
      <c r="C421" s="1">
        <f t="shared" si="52"/>
        <v>418</v>
      </c>
      <c r="D421" s="1">
        <f>VLOOKUP(B421,rq_evidence_review!$B$1:$L$55,7,FALSE)</f>
        <v>80</v>
      </c>
      <c r="E421" s="8" t="s">
        <v>642</v>
      </c>
      <c r="F421" s="1" t="str">
        <f t="shared" si="51"/>
        <v/>
      </c>
      <c r="H421" s="1" t="str">
        <f t="shared" si="53"/>
        <v>Laggari V</v>
      </c>
      <c r="I421" s="1" t="str">
        <f t="shared" si="57"/>
        <v>2009</v>
      </c>
      <c r="J421" s="1" t="str">
        <f t="shared" si="54"/>
        <v>Laggari V et al., 2009</v>
      </c>
      <c r="K421" s="1" t="str">
        <f t="shared" si="55"/>
        <v>10.1080/01674820802546204</v>
      </c>
      <c r="L421" s="1" t="str">
        <f t="shared" si="56"/>
        <v>19533486</v>
      </c>
    </row>
    <row r="422" spans="1:14" ht="30" hidden="1" x14ac:dyDescent="0.25">
      <c r="A422" s="1">
        <f>INDEX(rq_evidence_review!A:A, MATCH(B422, rq_evidence_review!B:B, 0))</f>
        <v>2</v>
      </c>
      <c r="B422" s="6">
        <v>2.2000000000000002</v>
      </c>
      <c r="C422" s="1">
        <f t="shared" si="52"/>
        <v>419</v>
      </c>
      <c r="D422" s="1">
        <f>VLOOKUP(B422,rq_evidence_review!$B$1:$L$55,7,FALSE)</f>
        <v>80</v>
      </c>
      <c r="E422" s="8" t="s">
        <v>643</v>
      </c>
      <c r="F422" s="1" t="str">
        <f t="shared" si="51"/>
        <v/>
      </c>
      <c r="H422" s="1" t="str">
        <f t="shared" si="53"/>
        <v>Lee I</v>
      </c>
      <c r="I422" s="1" t="str">
        <f t="shared" si="57"/>
        <v>2017</v>
      </c>
      <c r="J422" s="1" t="str">
        <f t="shared" si="54"/>
        <v>Lee I et al., 2017</v>
      </c>
      <c r="K422" s="1" t="str">
        <f t="shared" si="55"/>
        <v>10.1016/j.fertnstert.2016.12.014</v>
      </c>
      <c r="L422" s="1" t="str">
        <f t="shared" si="56"/>
        <v>28104244</v>
      </c>
    </row>
    <row r="423" spans="1:14" ht="30" hidden="1" x14ac:dyDescent="0.25">
      <c r="A423" s="1">
        <f>INDEX(rq_evidence_review!A:A, MATCH(B423, rq_evidence_review!B:B, 0))</f>
        <v>2</v>
      </c>
      <c r="B423" s="6">
        <v>2.2000000000000002</v>
      </c>
      <c r="C423" s="1">
        <f t="shared" si="52"/>
        <v>420</v>
      </c>
      <c r="D423" s="1">
        <f>VLOOKUP(B423,rq_evidence_review!$B$1:$L$55,7,FALSE)</f>
        <v>80</v>
      </c>
      <c r="E423" s="8" t="s">
        <v>644</v>
      </c>
      <c r="F423" s="1" t="str">
        <f t="shared" si="51"/>
        <v/>
      </c>
      <c r="H423" s="1" t="str">
        <f t="shared" si="53"/>
        <v>Li SJ</v>
      </c>
      <c r="I423" s="1" t="str">
        <f t="shared" si="57"/>
        <v>2017</v>
      </c>
      <c r="J423" s="1" t="str">
        <f t="shared" si="54"/>
        <v>Li SJ et al., 2017</v>
      </c>
      <c r="K423" s="1" t="str">
        <f t="shared" si="55"/>
        <v>10.1007/s11596-017-1799-4</v>
      </c>
      <c r="L423" s="1" t="str">
        <f t="shared" si="56"/>
        <v>29058290</v>
      </c>
    </row>
    <row r="424" spans="1:14" ht="45" hidden="1" x14ac:dyDescent="0.25">
      <c r="A424" s="1">
        <f>INDEX(rq_evidence_review!A:A, MATCH(B424, rq_evidence_review!B:B, 0))</f>
        <v>2</v>
      </c>
      <c r="B424" s="6">
        <v>2.2000000000000002</v>
      </c>
      <c r="C424" s="1">
        <f t="shared" si="52"/>
        <v>421</v>
      </c>
      <c r="D424" s="1">
        <f>VLOOKUP(B424,rq_evidence_review!$B$1:$L$55,7,FALSE)</f>
        <v>80</v>
      </c>
      <c r="E424" s="8" t="s">
        <v>645</v>
      </c>
      <c r="F424" s="1" t="str">
        <f t="shared" si="51"/>
        <v/>
      </c>
      <c r="H424" s="1" t="str">
        <f t="shared" si="53"/>
        <v>Månsson M</v>
      </c>
      <c r="I424" s="1" t="str">
        <f t="shared" si="57"/>
        <v>2011</v>
      </c>
      <c r="J424" s="1" t="str">
        <f t="shared" si="54"/>
        <v>Månsson M et al., 2011</v>
      </c>
      <c r="K424" s="1" t="str">
        <f t="shared" si="55"/>
        <v>10.1016/j.ejogrb.2010.12.012</v>
      </c>
      <c r="L424" s="1" t="str">
        <f t="shared" si="56"/>
        <v>21232840</v>
      </c>
    </row>
    <row r="425" spans="1:14" ht="45" hidden="1" x14ac:dyDescent="0.25">
      <c r="A425" s="1">
        <f>INDEX(rq_evidence_review!A:A, MATCH(B425, rq_evidence_review!B:B, 0))</f>
        <v>2</v>
      </c>
      <c r="B425" s="6">
        <v>2.2000000000000002</v>
      </c>
      <c r="C425" s="1">
        <f t="shared" si="52"/>
        <v>422</v>
      </c>
      <c r="D425" s="1">
        <f>VLOOKUP(B425,rq_evidence_review!$B$1:$L$55,7,FALSE)</f>
        <v>80</v>
      </c>
      <c r="E425" s="8" t="s">
        <v>646</v>
      </c>
      <c r="F425" s="1" t="str">
        <f t="shared" si="51"/>
        <v/>
      </c>
      <c r="H425" s="1" t="str">
        <f t="shared" si="53"/>
        <v>Månsson M</v>
      </c>
      <c r="I425" s="1" t="str">
        <f t="shared" si="57"/>
        <v>2008</v>
      </c>
      <c r="J425" s="1" t="str">
        <f t="shared" si="54"/>
        <v>Månsson M et al., 2008</v>
      </c>
      <c r="K425" s="1" t="str">
        <f t="shared" si="55"/>
        <v>10.1016/j.psyneuen.2008.06.003</v>
      </c>
      <c r="L425" s="1" t="str">
        <f t="shared" si="56"/>
        <v>18672334</v>
      </c>
    </row>
    <row r="426" spans="1:14" ht="30" hidden="1" x14ac:dyDescent="0.25">
      <c r="A426" s="1">
        <f>INDEX(rq_evidence_review!A:A, MATCH(B426, rq_evidence_review!B:B, 0))</f>
        <v>2</v>
      </c>
      <c r="B426" s="6">
        <v>2.2000000000000002</v>
      </c>
      <c r="C426" s="1">
        <f t="shared" si="52"/>
        <v>423</v>
      </c>
      <c r="D426" s="1">
        <f>VLOOKUP(B426,rq_evidence_review!$B$1:$L$55,7,FALSE)</f>
        <v>80</v>
      </c>
      <c r="E426" s="8" t="s">
        <v>647</v>
      </c>
      <c r="F426" s="1" t="str">
        <f t="shared" si="51"/>
        <v/>
      </c>
      <c r="H426" s="1" t="str">
        <f t="shared" si="53"/>
        <v>March WA</v>
      </c>
      <c r="I426" s="1" t="str">
        <f t="shared" si="57"/>
        <v>2018</v>
      </c>
      <c r="J426" s="1" t="str">
        <f t="shared" si="54"/>
        <v>March WA et al., 2018</v>
      </c>
      <c r="K426" s="1" t="str">
        <f t="shared" si="55"/>
        <v>10.1111/aogs.13332</v>
      </c>
      <c r="L426" s="1" t="str">
        <f t="shared" si="56"/>
        <v>29460299</v>
      </c>
    </row>
    <row r="427" spans="1:14" ht="30" hidden="1" x14ac:dyDescent="0.25">
      <c r="A427" s="1">
        <f>INDEX(rq_evidence_review!A:A, MATCH(B427, rq_evidence_review!B:B, 0))</f>
        <v>2</v>
      </c>
      <c r="B427" s="6">
        <v>2.2000000000000002</v>
      </c>
      <c r="C427" s="1">
        <f t="shared" si="52"/>
        <v>424</v>
      </c>
      <c r="D427" s="1">
        <f>VLOOKUP(B427,rq_evidence_review!$B$1:$L$55,7,FALSE)</f>
        <v>80</v>
      </c>
      <c r="E427" s="8" t="s">
        <v>648</v>
      </c>
      <c r="F427" s="1" t="str">
        <f t="shared" si="51"/>
        <v/>
      </c>
      <c r="H427" s="1" t="str">
        <f t="shared" si="53"/>
        <v>Maya J</v>
      </c>
      <c r="I427" s="1" t="str">
        <f t="shared" si="57"/>
        <v>2020</v>
      </c>
      <c r="J427" s="1" t="str">
        <f t="shared" si="54"/>
        <v>Maya J et al., 2020</v>
      </c>
      <c r="K427" s="1" t="str">
        <f t="shared" si="55"/>
        <v>10.1515/ijamh-2019-0109</v>
      </c>
      <c r="L427" s="1" t="str">
        <f t="shared" si="56"/>
        <v>31926080</v>
      </c>
    </row>
    <row r="428" spans="1:14" ht="45" hidden="1" x14ac:dyDescent="0.25">
      <c r="A428" s="1">
        <f>INDEX(rq_evidence_review!A:A, MATCH(B428, rq_evidence_review!B:B, 0))</f>
        <v>2</v>
      </c>
      <c r="B428" s="6">
        <v>2.2000000000000002</v>
      </c>
      <c r="C428" s="1">
        <f t="shared" si="52"/>
        <v>425</v>
      </c>
      <c r="D428" s="1">
        <f>VLOOKUP(B428,rq_evidence_review!$B$1:$L$55,7,FALSE)</f>
        <v>80</v>
      </c>
      <c r="E428" s="8" t="s">
        <v>649</v>
      </c>
      <c r="F428" s="1" t="str">
        <f t="shared" si="51"/>
        <v/>
      </c>
      <c r="H428" s="1" t="str">
        <f t="shared" si="53"/>
        <v>Mehrabadi S</v>
      </c>
      <c r="I428" s="1" t="str">
        <f t="shared" si="57"/>
        <v>2020</v>
      </c>
      <c r="J428" s="1" t="str">
        <f t="shared" si="54"/>
        <v>Mehrabadi S et al., 2020</v>
      </c>
      <c r="K428" s="1" t="str">
        <f t="shared" si="55"/>
        <v>10.18502/ijrm.v18i12.8026</v>
      </c>
      <c r="L428" s="1" t="str">
        <f t="shared" si="56"/>
        <v>33426415</v>
      </c>
    </row>
    <row r="429" spans="1:14" ht="30" hidden="1" x14ac:dyDescent="0.25">
      <c r="A429" s="1">
        <f>INDEX(rq_evidence_review!A:A, MATCH(B429, rq_evidence_review!B:B, 0))</f>
        <v>2</v>
      </c>
      <c r="B429" s="6">
        <v>2.2000000000000002</v>
      </c>
      <c r="C429" s="1">
        <f t="shared" si="52"/>
        <v>426</v>
      </c>
      <c r="D429" s="1">
        <f>VLOOKUP(B429,rq_evidence_review!$B$1:$L$55,7,FALSE)</f>
        <v>80</v>
      </c>
      <c r="E429" s="8" t="s">
        <v>650</v>
      </c>
      <c r="F429" s="1" t="str">
        <f t="shared" ref="F429:F492" si="58">IF(ISNUMBER(SEARCH("primary citation", E429)), "primary_citation", "")</f>
        <v/>
      </c>
      <c r="H429" s="1" t="str">
        <f t="shared" si="53"/>
        <v>Moran L</v>
      </c>
      <c r="I429" s="1" t="str">
        <f t="shared" si="57"/>
        <v>2010</v>
      </c>
      <c r="J429" s="1" t="str">
        <f t="shared" si="54"/>
        <v>Moran L et al., 2010</v>
      </c>
      <c r="K429" s="1" t="str">
        <f t="shared" si="55"/>
        <v>10.3109/01674820903477593</v>
      </c>
      <c r="L429" s="1" t="str">
        <f t="shared" si="56"/>
        <v>20050767</v>
      </c>
    </row>
    <row r="430" spans="1:14" ht="30" hidden="1" x14ac:dyDescent="0.25">
      <c r="A430" s="1">
        <f>INDEX(rq_evidence_review!A:A, MATCH(B430, rq_evidence_review!B:B, 0))</f>
        <v>2</v>
      </c>
      <c r="B430" s="6">
        <v>2.2000000000000002</v>
      </c>
      <c r="C430" s="1">
        <f t="shared" si="52"/>
        <v>427</v>
      </c>
      <c r="D430" s="1">
        <f>VLOOKUP(B430,rq_evidence_review!$B$1:$L$55,7,FALSE)</f>
        <v>80</v>
      </c>
      <c r="E430" s="8" t="s">
        <v>651</v>
      </c>
      <c r="F430" s="1" t="str">
        <f t="shared" si="58"/>
        <v/>
      </c>
      <c r="H430" s="1" t="str">
        <f t="shared" si="53"/>
        <v>Moran LJ</v>
      </c>
      <c r="I430" s="1" t="str">
        <f t="shared" si="57"/>
        <v>2012</v>
      </c>
      <c r="J430" s="1" t="str">
        <f t="shared" si="54"/>
        <v>Moran LJ et al., 2012</v>
      </c>
      <c r="K430" s="1" t="str">
        <f t="shared" si="55"/>
        <v>10.1093/humrep/des114</v>
      </c>
      <c r="L430" s="1" t="str">
        <f t="shared" si="56"/>
        <v>22493025</v>
      </c>
    </row>
    <row r="431" spans="1:14" ht="30" hidden="1" x14ac:dyDescent="0.25">
      <c r="A431" s="1">
        <f>INDEX(rq_evidence_review!A:A, MATCH(B431, rq_evidence_review!B:B, 0))</f>
        <v>2</v>
      </c>
      <c r="B431" s="6">
        <v>2.2000000000000002</v>
      </c>
      <c r="C431" s="1">
        <f t="shared" si="52"/>
        <v>428</v>
      </c>
      <c r="D431" s="1">
        <f>VLOOKUP(B431,rq_evidence_review!$B$1:$L$55,7,FALSE)</f>
        <v>80</v>
      </c>
      <c r="E431" s="8" t="s">
        <v>652</v>
      </c>
      <c r="F431" s="1" t="str">
        <f t="shared" si="58"/>
        <v/>
      </c>
      <c r="H431" s="1" t="str">
        <f t="shared" si="53"/>
        <v>Moran LJ</v>
      </c>
      <c r="I431" s="1" t="str">
        <f t="shared" si="57"/>
        <v>2015</v>
      </c>
      <c r="J431" s="1" t="str">
        <f t="shared" si="54"/>
        <v>Moran LJ et al., 2015</v>
      </c>
      <c r="K431" s="1" t="str">
        <f t="shared" si="55"/>
        <v>10.1093/humrep/deu318</v>
      </c>
      <c r="L431" s="1" t="str">
        <f t="shared" si="56"/>
        <v>25432918</v>
      </c>
    </row>
    <row r="432" spans="1:14" ht="30" hidden="1" x14ac:dyDescent="0.25">
      <c r="A432" s="1">
        <f>INDEX(rq_evidence_review!A:A, MATCH(B432, rq_evidence_review!B:B, 0))</f>
        <v>2</v>
      </c>
      <c r="B432" s="6">
        <v>2.2000000000000002</v>
      </c>
      <c r="C432" s="1">
        <f t="shared" si="52"/>
        <v>429</v>
      </c>
      <c r="D432" s="1">
        <f>VLOOKUP(B432,rq_evidence_review!$B$1:$L$55,7,FALSE)</f>
        <v>80</v>
      </c>
      <c r="E432" s="8" t="s">
        <v>653</v>
      </c>
      <c r="F432" s="1" t="str">
        <f t="shared" si="58"/>
        <v/>
      </c>
      <c r="H432" s="1" t="str">
        <f t="shared" si="53"/>
        <v>Mukundan</v>
      </c>
      <c r="I432" s="1" t="str">
        <f t="shared" si="57"/>
        <v>2019</v>
      </c>
      <c r="J432" s="1" t="str">
        <f t="shared" si="54"/>
        <v>Mukundan et al., 2019</v>
      </c>
      <c r="K432" s="1" t="s">
        <v>1568</v>
      </c>
      <c r="L432" s="1" t="str">
        <f t="shared" si="56"/>
        <v/>
      </c>
      <c r="N432" s="1">
        <v>212468337</v>
      </c>
    </row>
    <row r="433" spans="1:15" ht="30" hidden="1" x14ac:dyDescent="0.25">
      <c r="A433" s="1">
        <f>INDEX(rq_evidence_review!A:A, MATCH(B433, rq_evidence_review!B:B, 0))</f>
        <v>2</v>
      </c>
      <c r="B433" s="6">
        <v>2.2000000000000002</v>
      </c>
      <c r="C433" s="1">
        <f t="shared" si="52"/>
        <v>430</v>
      </c>
      <c r="D433" s="1">
        <f>VLOOKUP(B433,rq_evidence_review!$B$1:$L$55,7,FALSE)</f>
        <v>80</v>
      </c>
      <c r="E433" s="8" t="s">
        <v>654</v>
      </c>
      <c r="F433" s="1" t="str">
        <f t="shared" si="58"/>
        <v/>
      </c>
      <c r="H433" s="1" t="str">
        <f t="shared" si="53"/>
        <v>Naumova I</v>
      </c>
      <c r="I433" s="1" t="str">
        <f t="shared" si="57"/>
        <v>2021</v>
      </c>
      <c r="J433" s="1" t="str">
        <f t="shared" si="54"/>
        <v>Naumova I et al., 2021</v>
      </c>
      <c r="K433" s="1" t="str">
        <f t="shared" si="55"/>
        <v>10.1007/s43032-021-00546-x</v>
      </c>
      <c r="L433" s="1" t="str">
        <f t="shared" si="56"/>
        <v>33763818</v>
      </c>
    </row>
    <row r="434" spans="1:15" ht="30" hidden="1" x14ac:dyDescent="0.25">
      <c r="A434" s="1">
        <f>INDEX(rq_evidence_review!A:A, MATCH(B434, rq_evidence_review!B:B, 0))</f>
        <v>2</v>
      </c>
      <c r="B434" s="6">
        <v>2.2000000000000002</v>
      </c>
      <c r="C434" s="1">
        <f t="shared" si="52"/>
        <v>431</v>
      </c>
      <c r="D434" s="1">
        <f>VLOOKUP(B434,rq_evidence_review!$B$1:$L$55,7,FALSE)</f>
        <v>80</v>
      </c>
      <c r="E434" s="8" t="s">
        <v>655</v>
      </c>
      <c r="F434" s="1" t="str">
        <f t="shared" si="58"/>
        <v/>
      </c>
      <c r="H434" s="1" t="str">
        <f t="shared" si="53"/>
        <v>Özdemir O</v>
      </c>
      <c r="I434" s="1" t="str">
        <f t="shared" si="57"/>
        <v>2017</v>
      </c>
      <c r="J434" s="1" t="str">
        <f t="shared" si="54"/>
        <v>Özdemir O et al., 2017</v>
      </c>
      <c r="K434" s="1" t="str">
        <f t="shared" si="55"/>
        <v>10.1016/j.psychres.2016.11.043</v>
      </c>
      <c r="L434" s="1" t="str">
        <f t="shared" si="56"/>
        <v>28168992</v>
      </c>
    </row>
    <row r="435" spans="1:15" ht="30" hidden="1" x14ac:dyDescent="0.25">
      <c r="A435" s="1">
        <f>INDEX(rq_evidence_review!A:A, MATCH(B435, rq_evidence_review!B:B, 0))</f>
        <v>2</v>
      </c>
      <c r="B435" s="6">
        <v>2.2000000000000002</v>
      </c>
      <c r="C435" s="1">
        <f t="shared" si="52"/>
        <v>432</v>
      </c>
      <c r="D435" s="1">
        <f>VLOOKUP(B435,rq_evidence_review!$B$1:$L$55,7,FALSE)</f>
        <v>80</v>
      </c>
      <c r="E435" s="8" t="s">
        <v>656</v>
      </c>
      <c r="F435" s="1" t="str">
        <f t="shared" si="58"/>
        <v/>
      </c>
      <c r="H435" s="1" t="str">
        <f t="shared" si="53"/>
        <v>Ozenli</v>
      </c>
      <c r="I435" s="1" t="str">
        <f t="shared" si="57"/>
        <v>2008</v>
      </c>
      <c r="J435" s="1" t="str">
        <f t="shared" si="54"/>
        <v>Ozenli et al., 2008</v>
      </c>
      <c r="K435" s="1" t="str">
        <f t="shared" si="55"/>
        <v/>
      </c>
      <c r="L435" s="1" t="str">
        <f t="shared" si="56"/>
        <v/>
      </c>
      <c r="N435" s="1">
        <v>146131120</v>
      </c>
      <c r="O435" s="1" t="s">
        <v>1999</v>
      </c>
    </row>
    <row r="436" spans="1:15" ht="30" hidden="1" x14ac:dyDescent="0.25">
      <c r="A436" s="1">
        <f>INDEX(rq_evidence_review!A:A, MATCH(B436, rq_evidence_review!B:B, 0))</f>
        <v>2</v>
      </c>
      <c r="B436" s="6">
        <v>2.2000000000000002</v>
      </c>
      <c r="C436" s="1">
        <f t="shared" si="52"/>
        <v>433</v>
      </c>
      <c r="D436" s="1">
        <f>VLOOKUP(B436,rq_evidence_review!$B$1:$L$55,7,FALSE)</f>
        <v>80</v>
      </c>
      <c r="E436" s="8" t="s">
        <v>657</v>
      </c>
      <c r="F436" s="1" t="str">
        <f t="shared" si="58"/>
        <v/>
      </c>
      <c r="H436" s="1" t="str">
        <f t="shared" si="53"/>
        <v>Öztürk A</v>
      </c>
      <c r="I436" s="1" t="str">
        <f t="shared" si="57"/>
        <v>2019</v>
      </c>
      <c r="J436" s="1" t="str">
        <f t="shared" si="54"/>
        <v>Öztürk A et al., 2019</v>
      </c>
      <c r="K436" s="1" t="str">
        <f t="shared" si="55"/>
        <v>10.1016/j.jogoh.2019.01.006</v>
      </c>
      <c r="L436" s="1" t="str">
        <f t="shared" si="56"/>
        <v>30711689</v>
      </c>
    </row>
    <row r="437" spans="1:15" ht="30" hidden="1" x14ac:dyDescent="0.25">
      <c r="A437" s="1">
        <f>INDEX(rq_evidence_review!A:A, MATCH(B437, rq_evidence_review!B:B, 0))</f>
        <v>2</v>
      </c>
      <c r="B437" s="6">
        <v>2.2000000000000002</v>
      </c>
      <c r="C437" s="1">
        <f t="shared" si="52"/>
        <v>434</v>
      </c>
      <c r="D437" s="1">
        <f>VLOOKUP(B437,rq_evidence_review!$B$1:$L$55,7,FALSE)</f>
        <v>80</v>
      </c>
      <c r="E437" s="8" t="s">
        <v>658</v>
      </c>
      <c r="F437" s="1" t="str">
        <f t="shared" si="58"/>
        <v/>
      </c>
      <c r="H437" s="1" t="str">
        <f t="shared" si="53"/>
        <v>Pastore LM</v>
      </c>
      <c r="I437" s="1" t="str">
        <f t="shared" si="57"/>
        <v>2011</v>
      </c>
      <c r="J437" s="1" t="str">
        <f t="shared" si="54"/>
        <v>Pastore LM et al., 2011</v>
      </c>
      <c r="K437" s="1" t="str">
        <f t="shared" si="55"/>
        <v>10.1016/j.jpsychores.2011.02.005</v>
      </c>
      <c r="L437" s="1" t="str">
        <f t="shared" si="56"/>
        <v>21911106</v>
      </c>
    </row>
    <row r="438" spans="1:15" ht="30" hidden="1" x14ac:dyDescent="0.25">
      <c r="A438" s="1">
        <f>INDEX(rq_evidence_review!A:A, MATCH(B438, rq_evidence_review!B:B, 0))</f>
        <v>2</v>
      </c>
      <c r="B438" s="6">
        <v>2.2000000000000002</v>
      </c>
      <c r="C438" s="1">
        <f t="shared" si="52"/>
        <v>435</v>
      </c>
      <c r="D438" s="1">
        <f>VLOOKUP(B438,rq_evidence_review!$B$1:$L$55,7,FALSE)</f>
        <v>80</v>
      </c>
      <c r="E438" s="8" t="s">
        <v>659</v>
      </c>
      <c r="F438" s="1" t="str">
        <f t="shared" si="58"/>
        <v/>
      </c>
      <c r="H438" s="1" t="str">
        <f t="shared" si="53"/>
        <v>Sahingöz M</v>
      </c>
      <c r="I438" s="1" t="str">
        <f t="shared" si="57"/>
        <v>2013</v>
      </c>
      <c r="J438" s="1" t="str">
        <f t="shared" si="54"/>
        <v>Sahingöz M et al., 2013</v>
      </c>
      <c r="K438" s="1" t="str">
        <f t="shared" si="55"/>
        <v>10.1016/j.genhosppsych.2013.04.003</v>
      </c>
      <c r="L438" s="1" t="str">
        <f t="shared" si="56"/>
        <v>23726743</v>
      </c>
    </row>
    <row r="439" spans="1:15" ht="30" hidden="1" x14ac:dyDescent="0.25">
      <c r="A439" s="1">
        <f>INDEX(rq_evidence_review!A:A, MATCH(B439, rq_evidence_review!B:B, 0))</f>
        <v>2</v>
      </c>
      <c r="B439" s="6">
        <v>2.2000000000000002</v>
      </c>
      <c r="C439" s="1">
        <f t="shared" si="52"/>
        <v>436</v>
      </c>
      <c r="D439" s="1">
        <f>VLOOKUP(B439,rq_evidence_review!$B$1:$L$55,7,FALSE)</f>
        <v>80</v>
      </c>
      <c r="E439" s="8" t="s">
        <v>660</v>
      </c>
      <c r="F439" s="1" t="str">
        <f t="shared" si="58"/>
        <v/>
      </c>
      <c r="H439" s="1" t="str">
        <f t="shared" si="53"/>
        <v>Sari SA</v>
      </c>
      <c r="I439" s="1" t="str">
        <f t="shared" si="57"/>
        <v>2020</v>
      </c>
      <c r="J439" s="1" t="str">
        <f t="shared" si="54"/>
        <v>Sari SA et al., 2020</v>
      </c>
      <c r="K439" s="1" t="str">
        <f t="shared" si="55"/>
        <v>10.1016/j.jpag.2020.08.018</v>
      </c>
      <c r="L439" s="1" t="str">
        <f t="shared" si="56"/>
        <v>32916303</v>
      </c>
    </row>
    <row r="440" spans="1:15" ht="45" hidden="1" x14ac:dyDescent="0.25">
      <c r="A440" s="1">
        <f>INDEX(rq_evidence_review!A:A, MATCH(B440, rq_evidence_review!B:B, 0))</f>
        <v>2</v>
      </c>
      <c r="B440" s="6">
        <v>2.2000000000000002</v>
      </c>
      <c r="C440" s="1">
        <f t="shared" si="52"/>
        <v>437</v>
      </c>
      <c r="D440" s="1">
        <f>VLOOKUP(B440,rq_evidence_review!$B$1:$L$55,7,FALSE)</f>
        <v>80</v>
      </c>
      <c r="E440" s="8" t="s">
        <v>661</v>
      </c>
      <c r="F440" s="1" t="str">
        <f t="shared" si="58"/>
        <v/>
      </c>
      <c r="H440" s="1" t="str">
        <f t="shared" si="53"/>
        <v>Sayyah-Melli M</v>
      </c>
      <c r="I440" s="1" t="str">
        <f t="shared" si="57"/>
        <v>2015</v>
      </c>
      <c r="J440" s="1" t="str">
        <f t="shared" si="54"/>
        <v>Sayyah-Melli M et al., 2015</v>
      </c>
      <c r="K440" s="1" t="str">
        <f t="shared" si="55"/>
        <v>10.15171/jcs.2015.023</v>
      </c>
      <c r="L440" s="1" t="str">
        <f t="shared" si="56"/>
        <v>26464839</v>
      </c>
    </row>
    <row r="441" spans="1:15" ht="30" hidden="1" x14ac:dyDescent="0.25">
      <c r="A441" s="1">
        <f>INDEX(rq_evidence_review!A:A, MATCH(B441, rq_evidence_review!B:B, 0))</f>
        <v>2</v>
      </c>
      <c r="B441" s="6">
        <v>2.2000000000000002</v>
      </c>
      <c r="C441" s="1">
        <f t="shared" si="52"/>
        <v>438</v>
      </c>
      <c r="D441" s="1">
        <f>VLOOKUP(B441,rq_evidence_review!$B$1:$L$55,7,FALSE)</f>
        <v>80</v>
      </c>
      <c r="E441" s="8" t="s">
        <v>662</v>
      </c>
      <c r="F441" s="1" t="str">
        <f t="shared" si="58"/>
        <v/>
      </c>
      <c r="H441" s="1" t="str">
        <f t="shared" si="53"/>
        <v>Shi X</v>
      </c>
      <c r="I441" s="1" t="str">
        <f t="shared" si="57"/>
        <v>2011</v>
      </c>
      <c r="J441" s="1" t="str">
        <f t="shared" si="54"/>
        <v>Shi X et al., 2011</v>
      </c>
      <c r="K441" s="1" t="str">
        <f t="shared" si="55"/>
        <v>10.1007/s00404-011-1947-1</v>
      </c>
      <c r="L441" s="1" t="str">
        <f t="shared" si="56"/>
        <v>21688169</v>
      </c>
    </row>
    <row r="442" spans="1:15" ht="30" hidden="1" x14ac:dyDescent="0.25">
      <c r="A442" s="1">
        <f>INDEX(rq_evidence_review!A:A, MATCH(B442, rq_evidence_review!B:B, 0))</f>
        <v>2</v>
      </c>
      <c r="B442" s="6">
        <v>2.2000000000000002</v>
      </c>
      <c r="C442" s="1">
        <f t="shared" si="52"/>
        <v>439</v>
      </c>
      <c r="D442" s="1">
        <f>VLOOKUP(B442,rq_evidence_review!$B$1:$L$55,7,FALSE)</f>
        <v>80</v>
      </c>
      <c r="E442" s="8" t="s">
        <v>483</v>
      </c>
      <c r="F442" s="1" t="str">
        <f t="shared" si="58"/>
        <v/>
      </c>
      <c r="H442" s="1" t="str">
        <f t="shared" si="53"/>
        <v>Sirmans SM</v>
      </c>
      <c r="I442" s="1" t="str">
        <f t="shared" si="57"/>
        <v>2014</v>
      </c>
      <c r="J442" s="1" t="str">
        <f t="shared" si="54"/>
        <v>Sirmans SM et al., 2014</v>
      </c>
      <c r="K442" s="1" t="str">
        <f t="shared" si="55"/>
        <v>10.1097/01.JIM.0000446834.90599.5d</v>
      </c>
      <c r="L442" s="1" t="str">
        <f t="shared" si="56"/>
        <v>24844662</v>
      </c>
    </row>
    <row r="443" spans="1:15" ht="30" hidden="1" x14ac:dyDescent="0.25">
      <c r="A443" s="1">
        <f>INDEX(rq_evidence_review!A:A, MATCH(B443, rq_evidence_review!B:B, 0))</f>
        <v>2</v>
      </c>
      <c r="B443" s="6">
        <v>2.2000000000000002</v>
      </c>
      <c r="C443" s="1">
        <f t="shared" si="52"/>
        <v>440</v>
      </c>
      <c r="D443" s="1">
        <f>VLOOKUP(B443,rq_evidence_review!$B$1:$L$55,7,FALSE)</f>
        <v>80</v>
      </c>
      <c r="E443" s="8" t="s">
        <v>663</v>
      </c>
      <c r="F443" s="1" t="str">
        <f t="shared" si="58"/>
        <v/>
      </c>
      <c r="H443" s="1" t="str">
        <f t="shared" si="53"/>
        <v>Soyupek F</v>
      </c>
      <c r="I443" s="1" t="str">
        <f t="shared" si="57"/>
        <v>2008</v>
      </c>
      <c r="J443" s="1" t="str">
        <f t="shared" si="54"/>
        <v>Soyupek F et al., 2008</v>
      </c>
      <c r="K443" s="1" t="str">
        <f t="shared" si="55"/>
        <v>10.1080/09513590802288218</v>
      </c>
      <c r="L443" s="1" t="str">
        <f t="shared" si="56"/>
        <v>19012100</v>
      </c>
    </row>
    <row r="444" spans="1:15" ht="30" hidden="1" x14ac:dyDescent="0.25">
      <c r="A444" s="1">
        <f>INDEX(rq_evidence_review!A:A, MATCH(B444, rq_evidence_review!B:B, 0))</f>
        <v>2</v>
      </c>
      <c r="B444" s="6">
        <v>2.2000000000000002</v>
      </c>
      <c r="C444" s="1">
        <f t="shared" si="52"/>
        <v>441</v>
      </c>
      <c r="D444" s="1">
        <f>VLOOKUP(B444,rq_evidence_review!$B$1:$L$55,7,FALSE)</f>
        <v>80</v>
      </c>
      <c r="E444" s="8" t="s">
        <v>664</v>
      </c>
      <c r="F444" s="1" t="str">
        <f t="shared" si="58"/>
        <v/>
      </c>
      <c r="H444" s="1" t="str">
        <f t="shared" si="53"/>
        <v>Soyupek</v>
      </c>
      <c r="I444" s="1" t="str">
        <f t="shared" si="57"/>
        <v>2010</v>
      </c>
      <c r="J444" s="1" t="str">
        <f t="shared" si="54"/>
        <v>Soyupek et al., 2010</v>
      </c>
      <c r="K444" s="1" t="str">
        <f t="shared" si="55"/>
        <v>10.3109/10582452.2010.483968</v>
      </c>
      <c r="L444" s="1" t="str">
        <f t="shared" si="56"/>
        <v/>
      </c>
    </row>
    <row r="445" spans="1:15" ht="30" hidden="1" x14ac:dyDescent="0.25">
      <c r="A445" s="1">
        <f>INDEX(rq_evidence_review!A:A, MATCH(B445, rq_evidence_review!B:B, 0))</f>
        <v>2</v>
      </c>
      <c r="B445" s="6">
        <v>2.2000000000000002</v>
      </c>
      <c r="C445" s="1">
        <f t="shared" si="52"/>
        <v>442</v>
      </c>
      <c r="D445" s="1">
        <f>VLOOKUP(B445,rq_evidence_review!$B$1:$L$55,7,FALSE)</f>
        <v>80</v>
      </c>
      <c r="E445" s="8" t="s">
        <v>665</v>
      </c>
      <c r="F445" s="1" t="str">
        <f t="shared" si="58"/>
        <v/>
      </c>
      <c r="H445" s="1" t="str">
        <f t="shared" si="53"/>
        <v>Sulaiman MA</v>
      </c>
      <c r="I445" s="1" t="str">
        <f t="shared" si="57"/>
        <v>2017</v>
      </c>
      <c r="J445" s="1" t="str">
        <f t="shared" si="54"/>
        <v>Sulaiman MA et al., 2017</v>
      </c>
      <c r="K445" s="1" t="str">
        <f t="shared" si="55"/>
        <v>10.2147/IJWH.S145383</v>
      </c>
      <c r="L445" s="1" t="str">
        <f t="shared" si="56"/>
        <v>29276413</v>
      </c>
    </row>
    <row r="446" spans="1:15" ht="30" hidden="1" x14ac:dyDescent="0.25">
      <c r="A446" s="1">
        <f>INDEX(rq_evidence_review!A:A, MATCH(B446, rq_evidence_review!B:B, 0))</f>
        <v>2</v>
      </c>
      <c r="B446" s="6">
        <v>2.2000000000000002</v>
      </c>
      <c r="C446" s="1">
        <f t="shared" si="52"/>
        <v>443</v>
      </c>
      <c r="D446" s="1">
        <f>VLOOKUP(B446,rq_evidence_review!$B$1:$L$55,7,FALSE)</f>
        <v>80</v>
      </c>
      <c r="E446" s="8" t="s">
        <v>666</v>
      </c>
      <c r="F446" s="1" t="str">
        <f t="shared" si="58"/>
        <v/>
      </c>
      <c r="H446" s="1" t="str">
        <f t="shared" si="53"/>
        <v>Tan J</v>
      </c>
      <c r="I446" s="1" t="str">
        <f t="shared" si="57"/>
        <v>2017</v>
      </c>
      <c r="J446" s="1" t="str">
        <f t="shared" si="54"/>
        <v>Tan J et al., 2017</v>
      </c>
      <c r="K446" s="1" t="str">
        <f t="shared" si="55"/>
        <v>10.4103/0366-6999.198916</v>
      </c>
      <c r="L446" s="1" t="str">
        <f t="shared" si="56"/>
        <v>28139507</v>
      </c>
    </row>
    <row r="447" spans="1:15" ht="45" hidden="1" x14ac:dyDescent="0.25">
      <c r="A447" s="1">
        <f>INDEX(rq_evidence_review!A:A, MATCH(B447, rq_evidence_review!B:B, 0))</f>
        <v>2</v>
      </c>
      <c r="B447" s="6">
        <v>2.2000000000000002</v>
      </c>
      <c r="C447" s="1">
        <f t="shared" si="52"/>
        <v>444</v>
      </c>
      <c r="D447" s="1">
        <f>VLOOKUP(B447,rq_evidence_review!$B$1:$L$55,7,FALSE)</f>
        <v>80</v>
      </c>
      <c r="E447" s="8" t="s">
        <v>667</v>
      </c>
      <c r="F447" s="1" t="str">
        <f t="shared" si="58"/>
        <v/>
      </c>
      <c r="H447" s="1" t="str">
        <f t="shared" si="53"/>
        <v>Tseng PH</v>
      </c>
      <c r="I447" s="1" t="str">
        <f t="shared" si="57"/>
        <v>2021</v>
      </c>
      <c r="J447" s="1" t="str">
        <f t="shared" si="54"/>
        <v>Tseng PH et al., 2021</v>
      </c>
      <c r="K447" s="1" t="str">
        <f t="shared" si="55"/>
        <v>10.3389/fendo.2021.779456</v>
      </c>
      <c r="L447" s="1" t="str">
        <f t="shared" si="56"/>
        <v>34867827</v>
      </c>
    </row>
    <row r="448" spans="1:15" ht="45" hidden="1" x14ac:dyDescent="0.25">
      <c r="A448" s="1">
        <f>INDEX(rq_evidence_review!A:A, MATCH(B448, rq_evidence_review!B:B, 0))</f>
        <v>2</v>
      </c>
      <c r="B448" s="6">
        <v>2.2000000000000002</v>
      </c>
      <c r="C448" s="1">
        <f t="shared" si="52"/>
        <v>445</v>
      </c>
      <c r="D448" s="1">
        <f>VLOOKUP(B448,rq_evidence_review!$B$1:$L$55,7,FALSE)</f>
        <v>80</v>
      </c>
      <c r="E448" s="8" t="s">
        <v>668</v>
      </c>
      <c r="F448" s="1" t="str">
        <f t="shared" si="58"/>
        <v/>
      </c>
      <c r="H448" s="1" t="str">
        <f t="shared" si="53"/>
        <v>Varanasi LC</v>
      </c>
      <c r="I448" s="1" t="str">
        <f t="shared" si="57"/>
        <v>2018</v>
      </c>
      <c r="J448" s="1" t="str">
        <f t="shared" si="54"/>
        <v>Varanasi LC et al., 2018</v>
      </c>
      <c r="K448" s="1" t="str">
        <f t="shared" si="55"/>
        <v>10.1111/ajo.12730</v>
      </c>
      <c r="L448" s="1" t="str">
        <f t="shared" si="56"/>
        <v>29052216</v>
      </c>
    </row>
    <row r="449" spans="1:14" ht="30" hidden="1" x14ac:dyDescent="0.25">
      <c r="A449" s="1">
        <f>INDEX(rq_evidence_review!A:A, MATCH(B449, rq_evidence_review!B:B, 0))</f>
        <v>2</v>
      </c>
      <c r="B449" s="6">
        <v>2.2000000000000002</v>
      </c>
      <c r="C449" s="1">
        <f t="shared" si="52"/>
        <v>446</v>
      </c>
      <c r="D449" s="1">
        <f>VLOOKUP(B449,rq_evidence_review!$B$1:$L$55,7,FALSE)</f>
        <v>80</v>
      </c>
      <c r="E449" s="8" t="s">
        <v>669</v>
      </c>
      <c r="F449" s="1" t="str">
        <f t="shared" si="58"/>
        <v/>
      </c>
      <c r="H449" s="1" t="str">
        <f t="shared" si="53"/>
        <v>Weiner CL</v>
      </c>
      <c r="I449" s="1" t="str">
        <f t="shared" si="57"/>
        <v>2004</v>
      </c>
      <c r="J449" s="1" t="str">
        <f t="shared" si="54"/>
        <v>Weiner CL et al., 2004</v>
      </c>
      <c r="K449" s="1" t="str">
        <f t="shared" si="55"/>
        <v>10.1097/01.psy.0000127871.46309.fe</v>
      </c>
      <c r="L449" s="1" t="str">
        <f t="shared" si="56"/>
        <v>15184695</v>
      </c>
    </row>
    <row r="450" spans="1:14" ht="30" hidden="1" x14ac:dyDescent="0.25">
      <c r="A450" s="1">
        <f>INDEX(rq_evidence_review!A:A, MATCH(B450, rq_evidence_review!B:B, 0))</f>
        <v>2</v>
      </c>
      <c r="B450" s="6">
        <v>2.2000000000000002</v>
      </c>
      <c r="C450" s="1">
        <f t="shared" si="52"/>
        <v>447</v>
      </c>
      <c r="D450" s="1">
        <f>VLOOKUP(B450,rq_evidence_review!$B$1:$L$55,7,FALSE)</f>
        <v>80</v>
      </c>
      <c r="E450" s="8" t="s">
        <v>670</v>
      </c>
      <c r="F450" s="1" t="str">
        <f t="shared" si="58"/>
        <v/>
      </c>
      <c r="H450" s="1" t="str">
        <f t="shared" si="53"/>
        <v>Zachurzok A</v>
      </c>
      <c r="I450" s="1" t="str">
        <f t="shared" si="57"/>
        <v>2021</v>
      </c>
      <c r="J450" s="1" t="str">
        <f t="shared" si="54"/>
        <v>Zachurzok A et al., 2021</v>
      </c>
      <c r="K450" s="1" t="str">
        <f t="shared" si="55"/>
        <v>10.5603/GP.a2021.0042</v>
      </c>
      <c r="L450" s="1" t="str">
        <f t="shared" si="56"/>
        <v>33751507</v>
      </c>
    </row>
    <row r="451" spans="1:14" ht="30" hidden="1" x14ac:dyDescent="0.25">
      <c r="A451" s="1">
        <f>INDEX(rq_evidence_review!A:A, MATCH(B451, rq_evidence_review!B:B, 0))</f>
        <v>2</v>
      </c>
      <c r="B451" s="6">
        <v>2.2000000000000002</v>
      </c>
      <c r="C451" s="1">
        <f t="shared" si="52"/>
        <v>448</v>
      </c>
      <c r="D451" s="1">
        <f>VLOOKUP(B451,rq_evidence_review!$B$1:$L$55,7,FALSE)</f>
        <v>80</v>
      </c>
      <c r="E451" s="8" t="s">
        <v>671</v>
      </c>
      <c r="F451" s="1" t="str">
        <f t="shared" si="58"/>
        <v/>
      </c>
      <c r="H451" s="1" t="str">
        <f t="shared" si="53"/>
        <v>Deniz A</v>
      </c>
      <c r="I451" s="1" t="str">
        <f t="shared" si="57"/>
        <v>2020</v>
      </c>
      <c r="J451" s="1" t="str">
        <f t="shared" si="54"/>
        <v>Deniz A et al., 2020</v>
      </c>
      <c r="K451" s="1" t="str">
        <f t="shared" si="55"/>
        <v>10.4103/njcp.njcp_15_20</v>
      </c>
      <c r="L451" s="1" t="str">
        <f t="shared" si="56"/>
        <v>33221780</v>
      </c>
    </row>
    <row r="452" spans="1:14" ht="30" hidden="1" x14ac:dyDescent="0.25">
      <c r="A452" s="1">
        <f>INDEX(rq_evidence_review!A:A, MATCH(B452, rq_evidence_review!B:B, 0))</f>
        <v>2</v>
      </c>
      <c r="B452" s="6">
        <f>rq_evidence_review!B16</f>
        <v>2.2000000000000002</v>
      </c>
      <c r="C452" s="1">
        <f t="shared" si="52"/>
        <v>449</v>
      </c>
      <c r="D452" s="1">
        <f>VLOOKUP(B452,rq_evidence_review!$B$1:$L$55,7,FALSE)</f>
        <v>80</v>
      </c>
      <c r="E452" s="8" t="s">
        <v>672</v>
      </c>
      <c r="F452" s="1" t="str">
        <f t="shared" si="58"/>
        <v/>
      </c>
      <c r="H452" s="1" t="str">
        <f t="shared" si="53"/>
        <v>Zueff LN</v>
      </c>
      <c r="I452" s="1" t="str">
        <f t="shared" si="57"/>
        <v>2015</v>
      </c>
      <c r="J452" s="1" t="str">
        <f t="shared" si="54"/>
        <v>Zueff LN et al., 2015</v>
      </c>
      <c r="K452" s="1" t="str">
        <f t="shared" si="55"/>
        <v>10.1080/0092623X.2013.864369</v>
      </c>
      <c r="L452" s="1" t="str">
        <f t="shared" si="56"/>
        <v>24274091</v>
      </c>
    </row>
    <row r="453" spans="1:14" ht="30" hidden="1" x14ac:dyDescent="0.25">
      <c r="A453" s="1">
        <f>INDEX(rq_evidence_review!A:A, MATCH(B453, rq_evidence_review!B:B, 0))</f>
        <v>2</v>
      </c>
      <c r="B453" s="6">
        <f>rq_evidence_review!B17</f>
        <v>2.2999999999999998</v>
      </c>
      <c r="C453" s="1">
        <f t="shared" si="52"/>
        <v>450</v>
      </c>
      <c r="D453" s="1">
        <f>VLOOKUP(B453,rq_evidence_review!$B$1:$L$55,7,FALSE)</f>
        <v>29</v>
      </c>
      <c r="E453" s="8" t="s">
        <v>673</v>
      </c>
      <c r="F453" s="1" t="str">
        <f t="shared" si="58"/>
        <v/>
      </c>
      <c r="G453" s="1" t="s">
        <v>945</v>
      </c>
      <c r="H453" s="1" t="str">
        <f t="shared" si="53"/>
        <v>Benetti-Pinto</v>
      </c>
      <c r="I453" s="1" t="str">
        <f t="shared" si="57"/>
        <v>2014</v>
      </c>
      <c r="J453" s="1" t="str">
        <f t="shared" si="54"/>
        <v>Benetti-Pinto et al., 2014</v>
      </c>
      <c r="K453" s="1" t="str">
        <f t="shared" si="55"/>
        <v>10.1007/s00404-014-3423-1</v>
      </c>
      <c r="L453" s="1" t="str">
        <f t="shared" si="56"/>
        <v/>
      </c>
    </row>
    <row r="454" spans="1:14" ht="30" hidden="1" x14ac:dyDescent="0.25">
      <c r="A454" s="1">
        <f>INDEX(rq_evidence_review!A:A, MATCH(B454, rq_evidence_review!B:B, 0))</f>
        <v>2</v>
      </c>
      <c r="B454" s="6">
        <v>2.2999999999999998</v>
      </c>
      <c r="C454" s="1">
        <f t="shared" si="52"/>
        <v>451</v>
      </c>
      <c r="D454" s="1">
        <f>VLOOKUP(B454,rq_evidence_review!$B$1:$L$55,7,FALSE)</f>
        <v>29</v>
      </c>
      <c r="E454" s="8" t="s">
        <v>674</v>
      </c>
      <c r="F454" s="1" t="str">
        <f t="shared" si="58"/>
        <v/>
      </c>
      <c r="G454" s="1" t="s">
        <v>945</v>
      </c>
      <c r="H454" s="1" t="str">
        <f t="shared" si="53"/>
        <v>Caruso</v>
      </c>
      <c r="I454" s="1" t="str">
        <f t="shared" si="57"/>
        <v>2009</v>
      </c>
      <c r="J454" s="1" t="str">
        <f t="shared" si="54"/>
        <v>Caruso et al., 2009</v>
      </c>
      <c r="K454" s="1" t="str">
        <f t="shared" si="55"/>
        <v>10.1111/j.1743-6109.2009.01529.x</v>
      </c>
      <c r="L454" s="1" t="str">
        <f t="shared" si="56"/>
        <v/>
      </c>
    </row>
    <row r="455" spans="1:14" ht="60" hidden="1" x14ac:dyDescent="0.25">
      <c r="A455" s="1">
        <f>INDEX(rq_evidence_review!A:A, MATCH(B455, rq_evidence_review!B:B, 0))</f>
        <v>2</v>
      </c>
      <c r="B455" s="6">
        <v>2.2999999999999998</v>
      </c>
      <c r="C455" s="1">
        <f t="shared" si="52"/>
        <v>452</v>
      </c>
      <c r="D455" s="1">
        <f>VLOOKUP(B455,rq_evidence_review!$B$1:$L$55,7,FALSE)</f>
        <v>29</v>
      </c>
      <c r="E455" s="8" t="s">
        <v>675</v>
      </c>
      <c r="F455" s="1" t="str">
        <f t="shared" si="58"/>
        <v/>
      </c>
      <c r="G455" s="1" t="s">
        <v>945</v>
      </c>
      <c r="H455" s="1" t="str">
        <f t="shared" si="53"/>
        <v>Diamond</v>
      </c>
      <c r="I455" s="1" t="str">
        <f t="shared" si="57"/>
        <v>2017</v>
      </c>
      <c r="J455" s="1" t="str">
        <f t="shared" si="54"/>
        <v>Diamond et al., 2017</v>
      </c>
      <c r="K455" s="1" t="str">
        <f t="shared" si="55"/>
        <v>10.1016/j.ajog.2017.04.034</v>
      </c>
      <c r="L455" s="1" t="str">
        <f t="shared" si="56"/>
        <v/>
      </c>
    </row>
    <row r="456" spans="1:14" ht="30" hidden="1" x14ac:dyDescent="0.25">
      <c r="A456" s="1">
        <f>INDEX(rq_evidence_review!A:A, MATCH(B456, rq_evidence_review!B:B, 0))</f>
        <v>2</v>
      </c>
      <c r="B456" s="6">
        <v>2.2999999999999998</v>
      </c>
      <c r="C456" s="1">
        <f t="shared" si="52"/>
        <v>453</v>
      </c>
      <c r="D456" s="1">
        <f>VLOOKUP(B456,rq_evidence_review!$B$1:$L$55,7,FALSE)</f>
        <v>29</v>
      </c>
      <c r="E456" s="8" t="s">
        <v>676</v>
      </c>
      <c r="F456" s="1" t="str">
        <f t="shared" si="58"/>
        <v/>
      </c>
      <c r="G456" s="1" t="s">
        <v>945</v>
      </c>
      <c r="H456" s="1" t="str">
        <f t="shared" si="53"/>
        <v>Drosdzol</v>
      </c>
      <c r="I456" s="1" t="str">
        <f t="shared" si="57"/>
        <v>2007</v>
      </c>
      <c r="J456" s="1" t="str">
        <f t="shared" si="54"/>
        <v>Drosdzol et al., 2007</v>
      </c>
      <c r="L456" s="10">
        <v>18292843</v>
      </c>
      <c r="M456" s="9" t="s">
        <v>1557</v>
      </c>
      <c r="N456" s="1">
        <v>38876279</v>
      </c>
    </row>
    <row r="457" spans="1:14" ht="30" hidden="1" x14ac:dyDescent="0.25">
      <c r="A457" s="1">
        <f>INDEX(rq_evidence_review!A:A, MATCH(B457, rq_evidence_review!B:B, 0))</f>
        <v>2</v>
      </c>
      <c r="B457" s="6">
        <v>2.2999999999999998</v>
      </c>
      <c r="C457" s="1">
        <f t="shared" si="52"/>
        <v>454</v>
      </c>
      <c r="D457" s="1">
        <f>VLOOKUP(B457,rq_evidence_review!$B$1:$L$55,7,FALSE)</f>
        <v>29</v>
      </c>
      <c r="E457" s="8" t="s">
        <v>677</v>
      </c>
      <c r="F457" s="1" t="str">
        <f t="shared" si="58"/>
        <v/>
      </c>
      <c r="G457" s="1" t="s">
        <v>945</v>
      </c>
      <c r="H457" s="1" t="str">
        <f t="shared" si="53"/>
        <v>Elkhiat</v>
      </c>
      <c r="I457" s="1" t="str">
        <f t="shared" si="57"/>
        <v>2015</v>
      </c>
      <c r="J457" s="1" t="str">
        <f t="shared" si="54"/>
        <v>Elkhiat et al., 2015</v>
      </c>
      <c r="K457" s="1" t="str">
        <f t="shared" si="55"/>
        <v>10.1097/01.XHA.0000470182.71509.1b</v>
      </c>
      <c r="L457" s="1" t="str">
        <f t="shared" si="56"/>
        <v/>
      </c>
    </row>
    <row r="458" spans="1:14" ht="30" hidden="1" x14ac:dyDescent="0.25">
      <c r="A458" s="1">
        <f>INDEX(rq_evidence_review!A:A, MATCH(B458, rq_evidence_review!B:B, 0))</f>
        <v>2</v>
      </c>
      <c r="B458" s="6">
        <v>2.2999999999999998</v>
      </c>
      <c r="C458" s="1">
        <f t="shared" si="52"/>
        <v>455</v>
      </c>
      <c r="D458" s="1">
        <f>VLOOKUP(B458,rq_evidence_review!$B$1:$L$55,7,FALSE)</f>
        <v>29</v>
      </c>
      <c r="E458" s="8" t="s">
        <v>678</v>
      </c>
      <c r="F458" s="1" t="str">
        <f t="shared" si="58"/>
        <v/>
      </c>
      <c r="G458" s="1" t="s">
        <v>945</v>
      </c>
      <c r="H458" s="1" t="str">
        <f t="shared" si="53"/>
        <v>Elsenbruch</v>
      </c>
      <c r="I458" s="1" t="str">
        <f t="shared" si="57"/>
        <v>2003</v>
      </c>
      <c r="J458" s="1" t="str">
        <f t="shared" si="54"/>
        <v>Elsenbruch et al., 2003</v>
      </c>
      <c r="K458" s="1" t="str">
        <f t="shared" si="55"/>
        <v>10.1210/jc.2003-030562</v>
      </c>
      <c r="L458" s="1" t="str">
        <f t="shared" si="56"/>
        <v/>
      </c>
    </row>
    <row r="459" spans="1:14" ht="30" hidden="1" x14ac:dyDescent="0.25">
      <c r="A459" s="1">
        <f>INDEX(rq_evidence_review!A:A, MATCH(B459, rq_evidence_review!B:B, 0))</f>
        <v>2</v>
      </c>
      <c r="B459" s="6">
        <v>2.2999999999999998</v>
      </c>
      <c r="C459" s="1">
        <f t="shared" si="52"/>
        <v>456</v>
      </c>
      <c r="D459" s="1">
        <f>VLOOKUP(B459,rq_evidence_review!$B$1:$L$55,7,FALSE)</f>
        <v>29</v>
      </c>
      <c r="E459" s="8" t="s">
        <v>679</v>
      </c>
      <c r="F459" s="1" t="str">
        <f t="shared" si="58"/>
        <v/>
      </c>
      <c r="G459" s="1" t="s">
        <v>945</v>
      </c>
      <c r="H459" s="1" t="str">
        <f t="shared" si="53"/>
        <v>Ercan</v>
      </c>
      <c r="I459" s="1" t="str">
        <f t="shared" si="57"/>
        <v>2013</v>
      </c>
      <c r="J459" s="1" t="str">
        <f t="shared" si="54"/>
        <v>Ercan et al., 2013</v>
      </c>
      <c r="K459" s="1" t="str">
        <f t="shared" si="55"/>
        <v>10.1038/ijir.2013.2</v>
      </c>
      <c r="L459" s="1" t="str">
        <f t="shared" si="56"/>
        <v/>
      </c>
    </row>
    <row r="460" spans="1:14" ht="30" hidden="1" x14ac:dyDescent="0.25">
      <c r="A460" s="1">
        <f>INDEX(rq_evidence_review!A:A, MATCH(B460, rq_evidence_review!B:B, 0))</f>
        <v>2</v>
      </c>
      <c r="B460" s="6">
        <v>2.2999999999999998</v>
      </c>
      <c r="C460" s="1">
        <f t="shared" si="52"/>
        <v>457</v>
      </c>
      <c r="D460" s="1">
        <f>VLOOKUP(B460,rq_evidence_review!$B$1:$L$55,7,FALSE)</f>
        <v>29</v>
      </c>
      <c r="E460" s="8" t="s">
        <v>680</v>
      </c>
      <c r="F460" s="1" t="str">
        <f t="shared" si="58"/>
        <v/>
      </c>
      <c r="G460" s="1" t="s">
        <v>945</v>
      </c>
      <c r="H460" s="1" t="str">
        <f t="shared" si="53"/>
        <v>Ferraresi</v>
      </c>
      <c r="I460" s="1" t="str">
        <f t="shared" si="57"/>
        <v>2013</v>
      </c>
      <c r="J460" s="1" t="str">
        <f t="shared" si="54"/>
        <v>Ferraresi et al., 2013</v>
      </c>
      <c r="K460" s="1" t="str">
        <f t="shared" si="55"/>
        <v>10.1111/jsm.12011</v>
      </c>
      <c r="L460" s="1" t="str">
        <f t="shared" si="56"/>
        <v/>
      </c>
    </row>
    <row r="461" spans="1:14" ht="30" hidden="1" x14ac:dyDescent="0.25">
      <c r="A461" s="1">
        <f>INDEX(rq_evidence_review!A:A, MATCH(B461, rq_evidence_review!B:B, 0))</f>
        <v>2</v>
      </c>
      <c r="B461" s="6">
        <v>2.2999999999999998</v>
      </c>
      <c r="C461" s="1">
        <f t="shared" si="52"/>
        <v>458</v>
      </c>
      <c r="D461" s="1">
        <f>VLOOKUP(B461,rq_evidence_review!$B$1:$L$55,7,FALSE)</f>
        <v>29</v>
      </c>
      <c r="E461" s="8" t="s">
        <v>681</v>
      </c>
      <c r="F461" s="1" t="str">
        <f t="shared" si="58"/>
        <v/>
      </c>
      <c r="G461" s="1" t="s">
        <v>945</v>
      </c>
      <c r="H461" s="1" t="str">
        <f t="shared" si="53"/>
        <v>Gateva</v>
      </c>
      <c r="I461" s="1" t="str">
        <f t="shared" si="57"/>
        <v>2012</v>
      </c>
      <c r="J461" s="1" t="str">
        <f t="shared" si="54"/>
        <v>Gateva et al., 2012</v>
      </c>
      <c r="K461" s="1" t="str">
        <f t="shared" si="55"/>
        <v>10.4236/asm.2012.22005</v>
      </c>
      <c r="L461" s="1" t="str">
        <f t="shared" si="56"/>
        <v/>
      </c>
    </row>
    <row r="462" spans="1:14" ht="30" hidden="1" x14ac:dyDescent="0.25">
      <c r="A462" s="1">
        <f>INDEX(rq_evidence_review!A:A, MATCH(B462, rq_evidence_review!B:B, 0))</f>
        <v>2</v>
      </c>
      <c r="B462" s="6">
        <v>2.2999999999999998</v>
      </c>
      <c r="C462" s="1">
        <f t="shared" si="52"/>
        <v>459</v>
      </c>
      <c r="D462" s="1">
        <f>VLOOKUP(B462,rq_evidence_review!$B$1:$L$55,7,FALSE)</f>
        <v>29</v>
      </c>
      <c r="E462" s="8" t="s">
        <v>682</v>
      </c>
      <c r="F462" s="1" t="str">
        <f t="shared" si="58"/>
        <v/>
      </c>
      <c r="G462" s="1" t="s">
        <v>945</v>
      </c>
      <c r="H462" s="1" t="str">
        <f t="shared" si="53"/>
        <v>Hahn</v>
      </c>
      <c r="I462" s="1" t="str">
        <f t="shared" si="57"/>
        <v>2005</v>
      </c>
      <c r="J462" s="1" t="str">
        <f t="shared" si="54"/>
        <v>Hahn et al., 2005</v>
      </c>
      <c r="K462" s="1" t="str">
        <f t="shared" si="55"/>
        <v>10.1530/eje.1.02024</v>
      </c>
      <c r="L462" s="1" t="str">
        <f t="shared" si="56"/>
        <v/>
      </c>
    </row>
    <row r="463" spans="1:14" ht="30" hidden="1" x14ac:dyDescent="0.25">
      <c r="A463" s="1">
        <f>INDEX(rq_evidence_review!A:A, MATCH(B463, rq_evidence_review!B:B, 0))</f>
        <v>2</v>
      </c>
      <c r="B463" s="6">
        <v>2.2999999999999998</v>
      </c>
      <c r="C463" s="1">
        <f t="shared" si="52"/>
        <v>460</v>
      </c>
      <c r="D463" s="1">
        <f>VLOOKUP(B463,rq_evidence_review!$B$1:$L$55,7,FALSE)</f>
        <v>29</v>
      </c>
      <c r="E463" s="8" t="s">
        <v>683</v>
      </c>
      <c r="F463" s="1" t="str">
        <f t="shared" si="58"/>
        <v/>
      </c>
      <c r="G463" s="1" t="s">
        <v>945</v>
      </c>
      <c r="H463" s="1" t="str">
        <f t="shared" si="53"/>
        <v>Kowalczyk</v>
      </c>
      <c r="I463" s="1" t="str">
        <f t="shared" si="57"/>
        <v>2015</v>
      </c>
      <c r="J463" s="1" t="str">
        <f t="shared" si="54"/>
        <v>Kowalczyk et al., 2015</v>
      </c>
      <c r="K463" s="1" t="str">
        <f t="shared" si="55"/>
        <v>10.17772/gp/1995</v>
      </c>
      <c r="L463" s="1" t="str">
        <f t="shared" si="56"/>
        <v/>
      </c>
    </row>
    <row r="464" spans="1:14" ht="30" hidden="1" x14ac:dyDescent="0.25">
      <c r="A464" s="1">
        <f>INDEX(rq_evidence_review!A:A, MATCH(B464, rq_evidence_review!B:B, 0))</f>
        <v>2</v>
      </c>
      <c r="B464" s="6">
        <v>2.2999999999999998</v>
      </c>
      <c r="C464" s="1">
        <f t="shared" si="52"/>
        <v>461</v>
      </c>
      <c r="D464" s="1">
        <f>VLOOKUP(B464,rq_evidence_review!$B$1:$L$55,7,FALSE)</f>
        <v>29</v>
      </c>
      <c r="E464" s="8" t="s">
        <v>1976</v>
      </c>
      <c r="F464" s="1" t="str">
        <f t="shared" si="58"/>
        <v/>
      </c>
      <c r="G464" s="1" t="s">
        <v>945</v>
      </c>
      <c r="H464" s="1" t="str">
        <f t="shared" si="53"/>
        <v>Lara</v>
      </c>
      <c r="I464" s="1" t="str">
        <f t="shared" si="57"/>
        <v>2015</v>
      </c>
      <c r="J464" s="1" t="str">
        <f t="shared" si="54"/>
        <v>Lara et al., 2015</v>
      </c>
      <c r="K464" s="1" t="str">
        <f t="shared" si="55"/>
        <v>10.1111/jsm.12909</v>
      </c>
      <c r="L464" s="1" t="str">
        <f t="shared" si="56"/>
        <v/>
      </c>
    </row>
    <row r="465" spans="1:14" ht="30" hidden="1" x14ac:dyDescent="0.25">
      <c r="A465" s="1">
        <f>INDEX(rq_evidence_review!A:A, MATCH(B465, rq_evidence_review!B:B, 0))</f>
        <v>2</v>
      </c>
      <c r="B465" s="6">
        <v>2.2999999999999998</v>
      </c>
      <c r="C465" s="1">
        <f t="shared" si="52"/>
        <v>462</v>
      </c>
      <c r="D465" s="1">
        <f>VLOOKUP(B465,rq_evidence_review!$B$1:$L$55,7,FALSE)</f>
        <v>29</v>
      </c>
      <c r="E465" s="8" t="s">
        <v>684</v>
      </c>
      <c r="F465" s="1" t="str">
        <f t="shared" si="58"/>
        <v/>
      </c>
      <c r="G465" s="1" t="s">
        <v>945</v>
      </c>
      <c r="H465" s="1" t="str">
        <f t="shared" si="53"/>
        <v>Mansson</v>
      </c>
      <c r="I465" s="1" t="str">
        <f t="shared" si="57"/>
        <v>2011</v>
      </c>
      <c r="J465" s="1" t="str">
        <f t="shared" si="54"/>
        <v>Mansson et al., 2011</v>
      </c>
      <c r="K465" s="1" t="str">
        <f t="shared" si="55"/>
        <v>10.1016/j.ejogrb.2010.12.012</v>
      </c>
      <c r="L465" s="1" t="str">
        <f t="shared" si="56"/>
        <v/>
      </c>
    </row>
    <row r="466" spans="1:14" ht="30" hidden="1" x14ac:dyDescent="0.25">
      <c r="A466" s="1">
        <f>INDEX(rq_evidence_review!A:A, MATCH(B466, rq_evidence_review!B:B, 0))</f>
        <v>2</v>
      </c>
      <c r="B466" s="6">
        <v>2.2999999999999998</v>
      </c>
      <c r="C466" s="1">
        <f t="shared" si="52"/>
        <v>463</v>
      </c>
      <c r="D466" s="1">
        <f>VLOOKUP(B466,rq_evidence_review!$B$1:$L$55,7,FALSE)</f>
        <v>29</v>
      </c>
      <c r="E466" s="8" t="s">
        <v>685</v>
      </c>
      <c r="F466" s="1" t="str">
        <f t="shared" si="58"/>
        <v/>
      </c>
      <c r="G466" s="1" t="s">
        <v>945</v>
      </c>
      <c r="H466" s="1" t="str">
        <f t="shared" si="53"/>
        <v>Noroozzadeh</v>
      </c>
      <c r="I466" s="1" t="str">
        <f t="shared" si="57"/>
        <v>2016</v>
      </c>
      <c r="J466" s="1" t="str">
        <f t="shared" si="54"/>
        <v>Noroozzadeh et al., 2016</v>
      </c>
      <c r="K466" s="1" t="str">
        <f t="shared" si="55"/>
        <v>10.1038/ijir.2016.35</v>
      </c>
      <c r="L466" s="1" t="str">
        <f t="shared" si="56"/>
        <v/>
      </c>
    </row>
    <row r="467" spans="1:14" ht="30" hidden="1" x14ac:dyDescent="0.25">
      <c r="A467" s="1">
        <f>INDEX(rq_evidence_review!A:A, MATCH(B467, rq_evidence_review!B:B, 0))</f>
        <v>2</v>
      </c>
      <c r="B467" s="6">
        <v>2.2999999999999998</v>
      </c>
      <c r="C467" s="1">
        <f t="shared" si="52"/>
        <v>464</v>
      </c>
      <c r="D467" s="1">
        <f>VLOOKUP(B467,rq_evidence_review!$B$1:$L$55,7,FALSE)</f>
        <v>29</v>
      </c>
      <c r="E467" s="8" t="s">
        <v>686</v>
      </c>
      <c r="F467" s="1" t="str">
        <f t="shared" si="58"/>
        <v/>
      </c>
      <c r="G467" s="1" t="s">
        <v>945</v>
      </c>
      <c r="H467" s="1" t="str">
        <f t="shared" si="53"/>
        <v>Shafti</v>
      </c>
      <c r="I467" s="1" t="str">
        <f t="shared" si="57"/>
        <v>2016</v>
      </c>
      <c r="J467" s="1" t="str">
        <f t="shared" si="54"/>
        <v>Shafti et al., 2016</v>
      </c>
      <c r="K467" s="1" t="str">
        <f t="shared" si="55"/>
        <v/>
      </c>
      <c r="L467" s="10">
        <v>27648099</v>
      </c>
      <c r="M467" s="1" t="s">
        <v>1563</v>
      </c>
      <c r="N467" s="1">
        <v>8524156</v>
      </c>
    </row>
    <row r="468" spans="1:14" ht="30" hidden="1" x14ac:dyDescent="0.25">
      <c r="A468" s="1">
        <f>INDEX(rq_evidence_review!A:A, MATCH(B468, rq_evidence_review!B:B, 0))</f>
        <v>2</v>
      </c>
      <c r="B468" s="6">
        <v>2.2999999999999998</v>
      </c>
      <c r="C468" s="1">
        <f t="shared" si="52"/>
        <v>465</v>
      </c>
      <c r="D468" s="1">
        <f>VLOOKUP(B468,rq_evidence_review!$B$1:$L$55,7,FALSE)</f>
        <v>29</v>
      </c>
      <c r="E468" s="8" t="s">
        <v>687</v>
      </c>
      <c r="F468" s="1" t="str">
        <f t="shared" si="58"/>
        <v/>
      </c>
      <c r="G468" s="1" t="s">
        <v>945</v>
      </c>
      <c r="H468" s="1" t="str">
        <f t="shared" si="53"/>
        <v>Stovall</v>
      </c>
      <c r="I468" s="1" t="str">
        <f t="shared" si="57"/>
        <v>2012</v>
      </c>
      <c r="J468" s="1" t="str">
        <f t="shared" si="54"/>
        <v>Stovall et al., 2012</v>
      </c>
      <c r="K468" s="1" t="str">
        <f t="shared" si="55"/>
        <v>10.1111/j.1743-6109.2011.02539.x</v>
      </c>
      <c r="L468" s="1" t="str">
        <f t="shared" si="56"/>
        <v/>
      </c>
    </row>
    <row r="469" spans="1:14" ht="30" hidden="1" x14ac:dyDescent="0.25">
      <c r="A469" s="1">
        <f>INDEX(rq_evidence_review!A:A, MATCH(B469, rq_evidence_review!B:B, 0))</f>
        <v>2</v>
      </c>
      <c r="B469" s="6">
        <v>2.2999999999999998</v>
      </c>
      <c r="C469" s="1">
        <f t="shared" si="52"/>
        <v>466</v>
      </c>
      <c r="D469" s="1">
        <f>VLOOKUP(B469,rq_evidence_review!$B$1:$L$55,7,FALSE)</f>
        <v>29</v>
      </c>
      <c r="E469" s="8" t="s">
        <v>688</v>
      </c>
      <c r="F469" s="1" t="str">
        <f t="shared" si="58"/>
        <v/>
      </c>
      <c r="G469" s="1" t="s">
        <v>945</v>
      </c>
      <c r="H469" s="1" t="str">
        <f t="shared" si="53"/>
        <v>Tan</v>
      </c>
      <c r="I469" s="1" t="str">
        <f t="shared" si="57"/>
        <v>2008</v>
      </c>
      <c r="J469" s="1" t="str">
        <f t="shared" si="54"/>
        <v>Tan et al., 2008</v>
      </c>
      <c r="K469" s="1" t="str">
        <f t="shared" si="55"/>
        <v>10.1093/humrep/den227</v>
      </c>
      <c r="L469" s="1" t="str">
        <f t="shared" si="56"/>
        <v/>
      </c>
    </row>
    <row r="470" spans="1:14" ht="30" hidden="1" x14ac:dyDescent="0.25">
      <c r="A470" s="1">
        <f>INDEX(rq_evidence_review!A:A, MATCH(B470, rq_evidence_review!B:B, 0))</f>
        <v>2</v>
      </c>
      <c r="B470" s="6">
        <v>2.2999999999999998</v>
      </c>
      <c r="C470" s="1">
        <f t="shared" si="52"/>
        <v>467</v>
      </c>
      <c r="D470" s="1">
        <f>VLOOKUP(B470,rq_evidence_review!$B$1:$L$55,7,FALSE)</f>
        <v>29</v>
      </c>
      <c r="E470" s="8" t="s">
        <v>689</v>
      </c>
      <c r="F470" s="1" t="str">
        <f t="shared" si="58"/>
        <v/>
      </c>
      <c r="G470" s="1" t="s">
        <v>945</v>
      </c>
      <c r="H470" s="1" t="str">
        <f t="shared" si="53"/>
        <v>Zueff</v>
      </c>
      <c r="I470" s="1" t="str">
        <f t="shared" si="57"/>
        <v>2015</v>
      </c>
      <c r="J470" s="1" t="str">
        <f t="shared" si="54"/>
        <v>Zueff et al., 2015</v>
      </c>
      <c r="K470" s="1" t="str">
        <f t="shared" si="55"/>
        <v>10.1080/0092623X.2013.864369</v>
      </c>
      <c r="L470" s="1" t="str">
        <f t="shared" si="56"/>
        <v/>
      </c>
    </row>
    <row r="471" spans="1:14" ht="30" hidden="1" x14ac:dyDescent="0.25">
      <c r="A471" s="1">
        <f>INDEX(rq_evidence_review!A:A, MATCH(B471, rq_evidence_review!B:B, 0))</f>
        <v>2</v>
      </c>
      <c r="B471" s="6">
        <v>2.2999999999999998</v>
      </c>
      <c r="C471" s="1">
        <f t="shared" si="52"/>
        <v>468</v>
      </c>
      <c r="D471" s="1">
        <f>VLOOKUP(B471,rq_evidence_review!$B$1:$L$55,7,FALSE)</f>
        <v>29</v>
      </c>
      <c r="E471" s="8" t="s">
        <v>690</v>
      </c>
      <c r="F471" s="1" t="str">
        <f t="shared" si="58"/>
        <v/>
      </c>
      <c r="H471" s="1" t="str">
        <f t="shared" si="53"/>
        <v>Akbari Sene A</v>
      </c>
      <c r="I471" s="1" t="str">
        <f t="shared" si="57"/>
        <v>2021</v>
      </c>
      <c r="J471" s="1" t="str">
        <f t="shared" si="54"/>
        <v>Akbari Sene A et al., 2021</v>
      </c>
      <c r="K471" s="1" t="str">
        <f t="shared" si="55"/>
        <v>10.22074/IJFS.2021.6206</v>
      </c>
      <c r="L471" s="1" t="str">
        <f t="shared" si="56"/>
        <v/>
      </c>
    </row>
    <row r="472" spans="1:14" ht="45" hidden="1" x14ac:dyDescent="0.25">
      <c r="A472" s="1">
        <f>INDEX(rq_evidence_review!A:A, MATCH(B472, rq_evidence_review!B:B, 0))</f>
        <v>2</v>
      </c>
      <c r="B472" s="6">
        <v>2.2999999999999998</v>
      </c>
      <c r="C472" s="1">
        <f t="shared" si="52"/>
        <v>469</v>
      </c>
      <c r="D472" s="1">
        <f>VLOOKUP(B472,rq_evidence_review!$B$1:$L$55,7,FALSE)</f>
        <v>29</v>
      </c>
      <c r="E472" s="8" t="s">
        <v>691</v>
      </c>
      <c r="F472" s="1" t="str">
        <f t="shared" si="58"/>
        <v/>
      </c>
      <c r="H472" s="1" t="str">
        <f t="shared" si="53"/>
        <v>Ashrafi</v>
      </c>
      <c r="I472" s="1" t="str">
        <f t="shared" si="57"/>
        <v>2022</v>
      </c>
      <c r="J472" s="1" t="str">
        <f t="shared" si="54"/>
        <v>Ashrafi et al., 2022</v>
      </c>
      <c r="K472" s="1" t="str">
        <f t="shared" si="55"/>
        <v>10.1186/s12905-022-01708-y</v>
      </c>
      <c r="L472" s="1" t="str">
        <f t="shared" si="56"/>
        <v/>
      </c>
    </row>
    <row r="473" spans="1:14" ht="30" hidden="1" x14ac:dyDescent="0.25">
      <c r="A473" s="1">
        <f>INDEX(rq_evidence_review!A:A, MATCH(B473, rq_evidence_review!B:B, 0))</f>
        <v>2</v>
      </c>
      <c r="B473" s="6">
        <v>2.2999999999999998</v>
      </c>
      <c r="C473" s="1">
        <f t="shared" si="52"/>
        <v>470</v>
      </c>
      <c r="D473" s="1">
        <f>VLOOKUP(B473,rq_evidence_review!$B$1:$L$55,7,FALSE)</f>
        <v>29</v>
      </c>
      <c r="E473" s="8" t="s">
        <v>692</v>
      </c>
      <c r="F473" s="1" t="str">
        <f t="shared" si="58"/>
        <v/>
      </c>
      <c r="H473" s="1" t="str">
        <f t="shared" si="53"/>
        <v>Aydogan Kirmizi</v>
      </c>
      <c r="I473" s="1" t="str">
        <f t="shared" si="57"/>
        <v>2020</v>
      </c>
      <c r="J473" s="1" t="str">
        <f t="shared" si="54"/>
        <v>Aydogan Kirmizi et al., 2020</v>
      </c>
      <c r="K473" s="1" t="str">
        <f t="shared" si="55"/>
        <v>10.1016/j.npep.2020.102099</v>
      </c>
      <c r="L473" s="1" t="str">
        <f t="shared" si="56"/>
        <v/>
      </c>
    </row>
    <row r="474" spans="1:14" ht="30" hidden="1" x14ac:dyDescent="0.25">
      <c r="A474" s="1">
        <f>INDEX(rq_evidence_review!A:A, MATCH(B474, rq_evidence_review!B:B, 0))</f>
        <v>2</v>
      </c>
      <c r="B474" s="6">
        <v>2.2999999999999998</v>
      </c>
      <c r="C474" s="1">
        <f t="shared" si="52"/>
        <v>471</v>
      </c>
      <c r="D474" s="1">
        <f>VLOOKUP(B474,rq_evidence_review!$B$1:$L$55,7,FALSE)</f>
        <v>29</v>
      </c>
      <c r="E474" s="8" t="s">
        <v>693</v>
      </c>
      <c r="F474" s="1" t="str">
        <f t="shared" si="58"/>
        <v/>
      </c>
      <c r="H474" s="1" t="str">
        <f t="shared" si="53"/>
        <v>Basirat</v>
      </c>
      <c r="I474" s="1" t="str">
        <f t="shared" si="57"/>
        <v>2019</v>
      </c>
      <c r="J474" s="1" t="str">
        <f t="shared" si="54"/>
        <v>Basirat et al., 2019</v>
      </c>
      <c r="K474" s="1" t="str">
        <f t="shared" si="55"/>
        <v>10.22074/ijfs.2019.5703</v>
      </c>
      <c r="L474" s="1" t="str">
        <f t="shared" si="56"/>
        <v/>
      </c>
    </row>
    <row r="475" spans="1:14" ht="30" hidden="1" x14ac:dyDescent="0.25">
      <c r="A475" s="1">
        <f>INDEX(rq_evidence_review!A:A, MATCH(B475, rq_evidence_review!B:B, 0))</f>
        <v>2</v>
      </c>
      <c r="B475" s="6">
        <v>2.2999999999999998</v>
      </c>
      <c r="C475" s="1">
        <f t="shared" si="52"/>
        <v>472</v>
      </c>
      <c r="D475" s="1">
        <f>VLOOKUP(B475,rq_evidence_review!$B$1:$L$55,7,FALSE)</f>
        <v>29</v>
      </c>
      <c r="E475" s="8" t="s">
        <v>694</v>
      </c>
      <c r="F475" s="1" t="str">
        <f t="shared" si="58"/>
        <v/>
      </c>
      <c r="H475" s="1" t="str">
        <f t="shared" si="53"/>
        <v>Deniz</v>
      </c>
      <c r="I475" s="1" t="str">
        <f t="shared" si="57"/>
        <v>2020</v>
      </c>
      <c r="J475" s="1" t="str">
        <f t="shared" si="54"/>
        <v>Deniz et al., 2020</v>
      </c>
      <c r="K475" s="1" t="str">
        <f t="shared" si="55"/>
        <v>10.4103/njcp.njcp_15_20</v>
      </c>
      <c r="L475" s="1" t="str">
        <f t="shared" si="56"/>
        <v/>
      </c>
    </row>
    <row r="476" spans="1:14" ht="45" hidden="1" x14ac:dyDescent="0.25">
      <c r="A476" s="1">
        <f>INDEX(rq_evidence_review!A:A, MATCH(B476, rq_evidence_review!B:B, 0))</f>
        <v>2</v>
      </c>
      <c r="B476" s="6">
        <v>2.2999999999999998</v>
      </c>
      <c r="C476" s="1">
        <f t="shared" si="52"/>
        <v>473</v>
      </c>
      <c r="D476" s="1">
        <f>VLOOKUP(B476,rq_evidence_review!$B$1:$L$55,7,FALSE)</f>
        <v>29</v>
      </c>
      <c r="E476" s="8" t="s">
        <v>695</v>
      </c>
      <c r="F476" s="1" t="str">
        <f t="shared" si="58"/>
        <v/>
      </c>
      <c r="H476" s="1" t="str">
        <f t="shared" si="53"/>
        <v>Glowinska</v>
      </c>
      <c r="I476" s="1" t="str">
        <f t="shared" si="57"/>
        <v>2020</v>
      </c>
      <c r="J476" s="1" t="str">
        <f t="shared" si="54"/>
        <v>Glowinska et al., 2020</v>
      </c>
      <c r="K476" s="1" t="str">
        <f t="shared" si="55"/>
        <v>10.1007/s43032-019-00061-0</v>
      </c>
      <c r="L476" s="1" t="str">
        <f t="shared" si="56"/>
        <v/>
      </c>
    </row>
    <row r="477" spans="1:14" ht="30" hidden="1" x14ac:dyDescent="0.25">
      <c r="A477" s="1">
        <f>INDEX(rq_evidence_review!A:A, MATCH(B477, rq_evidence_review!B:B, 0))</f>
        <v>2</v>
      </c>
      <c r="B477" s="6">
        <v>2.2999999999999998</v>
      </c>
      <c r="C477" s="1">
        <f t="shared" si="52"/>
        <v>474</v>
      </c>
      <c r="D477" s="1">
        <f>VLOOKUP(B477,rq_evidence_review!$B$1:$L$55,7,FALSE)</f>
        <v>29</v>
      </c>
      <c r="E477" s="8" t="s">
        <v>696</v>
      </c>
      <c r="F477" s="1" t="str">
        <f t="shared" si="58"/>
        <v/>
      </c>
      <c r="H477" s="1" t="str">
        <f t="shared" si="53"/>
        <v>Karsten</v>
      </c>
      <c r="I477" s="1" t="str">
        <f t="shared" si="57"/>
        <v>2021</v>
      </c>
      <c r="J477" s="1" t="str">
        <f t="shared" si="54"/>
        <v>Karsten et al., 2021</v>
      </c>
      <c r="K477" s="1" t="str">
        <f t="shared" si="55"/>
        <v>10.1093/hropen/hoab038</v>
      </c>
      <c r="L477" s="1" t="str">
        <f t="shared" si="56"/>
        <v/>
      </c>
    </row>
    <row r="478" spans="1:14" ht="30" hidden="1" x14ac:dyDescent="0.25">
      <c r="A478" s="1">
        <f>INDEX(rq_evidence_review!A:A, MATCH(B478, rq_evidence_review!B:B, 0))</f>
        <v>2</v>
      </c>
      <c r="B478" s="6">
        <v>2.2999999999999998</v>
      </c>
      <c r="C478" s="1">
        <f t="shared" ref="C478:C541" si="59">C477+1</f>
        <v>475</v>
      </c>
      <c r="D478" s="1">
        <f>VLOOKUP(B478,rq_evidence_review!$B$1:$L$55,7,FALSE)</f>
        <v>29</v>
      </c>
      <c r="E478" s="8" t="s">
        <v>697</v>
      </c>
      <c r="F478" s="1" t="str">
        <f t="shared" si="58"/>
        <v/>
      </c>
      <c r="H478" s="1" t="str">
        <f t="shared" si="53"/>
        <v>Kaluzna</v>
      </c>
      <c r="I478" s="1" t="str">
        <f t="shared" si="57"/>
        <v>2021</v>
      </c>
      <c r="J478" s="1" t="str">
        <f t="shared" si="54"/>
        <v>Kaluzna et al., 2021</v>
      </c>
      <c r="K478" s="1" t="str">
        <f t="shared" si="55"/>
        <v>10.1530/EC-21-0257</v>
      </c>
      <c r="L478" s="1" t="str">
        <f t="shared" si="56"/>
        <v/>
      </c>
    </row>
    <row r="479" spans="1:14" ht="30" hidden="1" x14ac:dyDescent="0.25">
      <c r="A479" s="1">
        <f>INDEX(rq_evidence_review!A:A, MATCH(B479, rq_evidence_review!B:B, 0))</f>
        <v>2</v>
      </c>
      <c r="B479" s="6">
        <v>2.2999999999999998</v>
      </c>
      <c r="C479" s="1">
        <f t="shared" si="59"/>
        <v>476</v>
      </c>
      <c r="D479" s="1">
        <f>VLOOKUP(B479,rq_evidence_review!$B$1:$L$55,7,FALSE)</f>
        <v>29</v>
      </c>
      <c r="E479" s="8" t="s">
        <v>698</v>
      </c>
      <c r="F479" s="1" t="str">
        <f t="shared" si="58"/>
        <v/>
      </c>
      <c r="H479" s="1" t="str">
        <f t="shared" si="53"/>
        <v>Mantzou</v>
      </c>
      <c r="I479" s="1" t="str">
        <f t="shared" si="57"/>
        <v>2021</v>
      </c>
      <c r="J479" s="1" t="str">
        <f t="shared" si="54"/>
        <v>Mantzou et al., 2021</v>
      </c>
      <c r="K479" s="1" t="str">
        <f t="shared" si="55"/>
        <v>10.1016/j.jsxm.2021.09.004</v>
      </c>
      <c r="L479" s="1" t="str">
        <f t="shared" si="56"/>
        <v/>
      </c>
    </row>
    <row r="480" spans="1:14" ht="30" hidden="1" x14ac:dyDescent="0.25">
      <c r="A480" s="1">
        <f>INDEX(rq_evidence_review!A:A, MATCH(B480, rq_evidence_review!B:B, 0))</f>
        <v>2</v>
      </c>
      <c r="B480" s="6">
        <v>2.2999999999999998</v>
      </c>
      <c r="C480" s="1">
        <f t="shared" si="59"/>
        <v>477</v>
      </c>
      <c r="D480" s="1">
        <f>VLOOKUP(B480,rq_evidence_review!$B$1:$L$55,7,FALSE)</f>
        <v>29</v>
      </c>
      <c r="E480" s="8" t="s">
        <v>699</v>
      </c>
      <c r="F480" s="1" t="str">
        <f t="shared" si="58"/>
        <v/>
      </c>
      <c r="H480" s="1" t="str">
        <f t="shared" ref="H480:H543" si="60">LEFT(E480, FIND(",", E480) - 1)</f>
        <v>Naumova</v>
      </c>
      <c r="I480" s="1" t="str">
        <f t="shared" si="57"/>
        <v>2021</v>
      </c>
      <c r="J480" s="1" t="str">
        <f t="shared" ref="J480:J543" si="61">H480 &amp; " et al., " &amp; I480</f>
        <v>Naumova et al., 2021</v>
      </c>
      <c r="K480" s="1" t="str">
        <f>ExtractDOI(E480)</f>
        <v>10.1007/s43032-021-00546-x</v>
      </c>
      <c r="L480" s="1" t="str">
        <f t="shared" ref="L480:L543" si="62">ExtractPMID(E480)</f>
        <v/>
      </c>
    </row>
    <row r="481" spans="1:12" ht="45" hidden="1" x14ac:dyDescent="0.25">
      <c r="A481" s="1">
        <f>INDEX(rq_evidence_review!A:A, MATCH(B481, rq_evidence_review!B:B, 0))</f>
        <v>2</v>
      </c>
      <c r="B481" s="6">
        <v>2.2999999999999998</v>
      </c>
      <c r="C481" s="1">
        <f t="shared" si="59"/>
        <v>478</v>
      </c>
      <c r="D481" s="1">
        <f>VLOOKUP(B481,rq_evidence_review!$B$1:$L$55,7,FALSE)</f>
        <v>29</v>
      </c>
      <c r="E481" s="8" t="s">
        <v>700</v>
      </c>
      <c r="F481" s="1" t="str">
        <f t="shared" si="58"/>
        <v/>
      </c>
      <c r="H481" s="1" t="str">
        <f t="shared" si="60"/>
        <v>Thagavi</v>
      </c>
      <c r="I481" s="1" t="str">
        <f t="shared" ref="I481:I544" si="63">ExtractYear(E481)</f>
        <v>2021</v>
      </c>
      <c r="J481" s="1" t="str">
        <f t="shared" si="61"/>
        <v>Thagavi et al., 2021</v>
      </c>
      <c r="K481" s="1" t="str">
        <f>ExtractDOI(E481)</f>
        <v>10.1186/s43043-020-00047-y</v>
      </c>
      <c r="L481" s="1" t="str">
        <f t="shared" si="62"/>
        <v/>
      </c>
    </row>
    <row r="482" spans="1:12" ht="45" hidden="1" x14ac:dyDescent="0.25">
      <c r="A482" s="1">
        <f>INDEX(rq_evidence_review!A:A, MATCH(B482, rq_evidence_review!B:B, 0))</f>
        <v>2</v>
      </c>
      <c r="B482" s="6">
        <f>rq_evidence_review!B18</f>
        <v>2.4</v>
      </c>
      <c r="C482" s="1">
        <f t="shared" si="59"/>
        <v>479</v>
      </c>
      <c r="D482" s="1">
        <f>VLOOKUP(B482,rq_evidence_review!$B$1:$L$55,7,FALSE)</f>
        <v>9</v>
      </c>
      <c r="E482" s="8" t="s">
        <v>701</v>
      </c>
      <c r="F482" s="1" t="str">
        <f t="shared" si="58"/>
        <v/>
      </c>
      <c r="H482" s="1" t="str">
        <f t="shared" si="60"/>
        <v>Alur-Gupta</v>
      </c>
      <c r="I482" s="1" t="str">
        <f t="shared" si="63"/>
        <v>2019</v>
      </c>
      <c r="J482" s="1" t="str">
        <f t="shared" si="61"/>
        <v>Alur-Gupta et al., 2019</v>
      </c>
      <c r="K482" s="9" t="s">
        <v>1569</v>
      </c>
      <c r="L482" s="1" t="str">
        <f t="shared" si="62"/>
        <v/>
      </c>
    </row>
    <row r="483" spans="1:12" ht="30" hidden="1" x14ac:dyDescent="0.25">
      <c r="A483" s="1">
        <f>INDEX(rq_evidence_review!A:A, MATCH(B483, rq_evidence_review!B:B, 0))</f>
        <v>2</v>
      </c>
      <c r="B483" s="6">
        <v>2.4</v>
      </c>
      <c r="C483" s="1">
        <f t="shared" si="59"/>
        <v>480</v>
      </c>
      <c r="D483" s="1">
        <f>VLOOKUP(B483,rq_evidence_review!$B$1:$L$55,7,FALSE)</f>
        <v>9</v>
      </c>
      <c r="E483" s="8" t="s">
        <v>702</v>
      </c>
      <c r="F483" s="1" t="str">
        <f t="shared" si="58"/>
        <v/>
      </c>
      <c r="H483" s="1" t="str">
        <f t="shared" si="60"/>
        <v>Annagür BB</v>
      </c>
      <c r="I483" s="1" t="str">
        <f t="shared" si="63"/>
        <v>2014</v>
      </c>
      <c r="J483" s="1" t="str">
        <f t="shared" si="61"/>
        <v>Annagür BB et al., 2014</v>
      </c>
      <c r="K483" s="9" t="s">
        <v>1570</v>
      </c>
      <c r="L483" s="1" t="str">
        <f t="shared" si="62"/>
        <v/>
      </c>
    </row>
    <row r="484" spans="1:12" ht="30" hidden="1" x14ac:dyDescent="0.25">
      <c r="A484" s="1">
        <f>INDEX(rq_evidence_review!A:A, MATCH(B484, rq_evidence_review!B:B, 0))</f>
        <v>2</v>
      </c>
      <c r="B484" s="6">
        <v>2.4</v>
      </c>
      <c r="C484" s="1">
        <f t="shared" si="59"/>
        <v>481</v>
      </c>
      <c r="D484" s="1">
        <f>VLOOKUP(B484,rq_evidence_review!$B$1:$L$55,7,FALSE)</f>
        <v>9</v>
      </c>
      <c r="E484" s="8" t="s">
        <v>703</v>
      </c>
      <c r="F484" s="1" t="str">
        <f t="shared" si="58"/>
        <v/>
      </c>
      <c r="H484" s="1" t="str">
        <f t="shared" si="60"/>
        <v>Azizi Kutenaee</v>
      </c>
      <c r="I484" s="1" t="str">
        <f t="shared" si="63"/>
        <v>2020</v>
      </c>
      <c r="J484" s="1" t="str">
        <f t="shared" si="61"/>
        <v>Azizi Kutenaee et al., 2020</v>
      </c>
      <c r="K484" s="9" t="s">
        <v>1571</v>
      </c>
      <c r="L484" s="1" t="str">
        <f t="shared" si="62"/>
        <v/>
      </c>
    </row>
    <row r="485" spans="1:12" ht="30" hidden="1" x14ac:dyDescent="0.25">
      <c r="A485" s="1">
        <f>INDEX(rq_evidence_review!A:A, MATCH(B485, rq_evidence_review!B:B, 0))</f>
        <v>2</v>
      </c>
      <c r="B485" s="6">
        <v>2.4</v>
      </c>
      <c r="C485" s="1">
        <f t="shared" si="59"/>
        <v>482</v>
      </c>
      <c r="D485" s="1">
        <f>VLOOKUP(B485,rq_evidence_review!$B$1:$L$55,7,FALSE)</f>
        <v>9</v>
      </c>
      <c r="E485" s="8" t="s">
        <v>704</v>
      </c>
      <c r="F485" s="1" t="str">
        <f t="shared" si="58"/>
        <v/>
      </c>
      <c r="H485" s="1" t="str">
        <f t="shared" si="60"/>
        <v>Deeks</v>
      </c>
      <c r="I485" s="1" t="str">
        <f t="shared" si="63"/>
        <v>2011</v>
      </c>
      <c r="J485" s="1" t="str">
        <f t="shared" si="61"/>
        <v>Deeks et al., 2011</v>
      </c>
      <c r="K485" s="9" t="s">
        <v>1572</v>
      </c>
      <c r="L485" s="1" t="str">
        <f t="shared" si="62"/>
        <v/>
      </c>
    </row>
    <row r="486" spans="1:12" ht="30" hidden="1" x14ac:dyDescent="0.25">
      <c r="A486" s="1">
        <f>INDEX(rq_evidence_review!A:A, MATCH(B486, rq_evidence_review!B:B, 0))</f>
        <v>2</v>
      </c>
      <c r="B486" s="6">
        <v>2.4</v>
      </c>
      <c r="C486" s="1">
        <f t="shared" si="59"/>
        <v>483</v>
      </c>
      <c r="D486" s="1">
        <f>VLOOKUP(B486,rq_evidence_review!$B$1:$L$55,7,FALSE)</f>
        <v>9</v>
      </c>
      <c r="E486" s="8" t="s">
        <v>705</v>
      </c>
      <c r="F486" s="1" t="str">
        <f t="shared" si="58"/>
        <v/>
      </c>
      <c r="H486" s="1" t="str">
        <f t="shared" si="60"/>
        <v>Himelein</v>
      </c>
      <c r="I486" s="1" t="str">
        <f t="shared" si="63"/>
        <v>2006</v>
      </c>
      <c r="J486" s="1" t="str">
        <f t="shared" si="61"/>
        <v>Himelein et al., 2006</v>
      </c>
      <c r="K486" s="9" t="s">
        <v>1573</v>
      </c>
      <c r="L486" s="1" t="str">
        <f t="shared" si="62"/>
        <v/>
      </c>
    </row>
    <row r="487" spans="1:12" ht="30" hidden="1" x14ac:dyDescent="0.25">
      <c r="A487" s="1">
        <f>INDEX(rq_evidence_review!A:A, MATCH(B487, rq_evidence_review!B:B, 0))</f>
        <v>2</v>
      </c>
      <c r="B487" s="6">
        <v>2.4</v>
      </c>
      <c r="C487" s="1">
        <f t="shared" si="59"/>
        <v>484</v>
      </c>
      <c r="D487" s="1">
        <f>VLOOKUP(B487,rq_evidence_review!$B$1:$L$55,7,FALSE)</f>
        <v>9</v>
      </c>
      <c r="E487" s="8" t="s">
        <v>706</v>
      </c>
      <c r="F487" s="1" t="str">
        <f t="shared" si="58"/>
        <v/>
      </c>
      <c r="H487" s="1" t="str">
        <f t="shared" si="60"/>
        <v>Karacan</v>
      </c>
      <c r="I487" s="1" t="str">
        <f t="shared" si="63"/>
        <v>2014</v>
      </c>
      <c r="J487" s="1" t="str">
        <f t="shared" si="61"/>
        <v>Karacan et al., 2014</v>
      </c>
      <c r="K487" s="9" t="s">
        <v>1574</v>
      </c>
      <c r="L487" s="1" t="str">
        <f t="shared" si="62"/>
        <v/>
      </c>
    </row>
    <row r="488" spans="1:12" ht="30" hidden="1" x14ac:dyDescent="0.25">
      <c r="A488" s="1">
        <f>INDEX(rq_evidence_review!A:A, MATCH(B488, rq_evidence_review!B:B, 0))</f>
        <v>2</v>
      </c>
      <c r="B488" s="6">
        <v>2.4</v>
      </c>
      <c r="C488" s="1">
        <f t="shared" si="59"/>
        <v>485</v>
      </c>
      <c r="D488" s="1">
        <f>VLOOKUP(B488,rq_evidence_review!$B$1:$L$55,7,FALSE)</f>
        <v>9</v>
      </c>
      <c r="E488" s="8" t="s">
        <v>707</v>
      </c>
      <c r="F488" s="1" t="str">
        <f t="shared" si="58"/>
        <v/>
      </c>
      <c r="H488" s="1" t="str">
        <f t="shared" si="60"/>
        <v>Morotti</v>
      </c>
      <c r="I488" s="1" t="str">
        <f t="shared" si="63"/>
        <v>2013</v>
      </c>
      <c r="J488" s="1" t="str">
        <f t="shared" si="61"/>
        <v>Morotti et al., 2013</v>
      </c>
      <c r="K488" s="9" t="s">
        <v>1575</v>
      </c>
      <c r="L488" s="1" t="str">
        <f t="shared" si="62"/>
        <v/>
      </c>
    </row>
    <row r="489" spans="1:12" ht="30" hidden="1" x14ac:dyDescent="0.25">
      <c r="A489" s="1">
        <f>INDEX(rq_evidence_review!A:A, MATCH(B489, rq_evidence_review!B:B, 0))</f>
        <v>2</v>
      </c>
      <c r="B489" s="6">
        <v>2.4</v>
      </c>
      <c r="C489" s="1">
        <f t="shared" si="59"/>
        <v>486</v>
      </c>
      <c r="D489" s="1">
        <f>VLOOKUP(B489,rq_evidence_review!$B$1:$L$55,7,FALSE)</f>
        <v>9</v>
      </c>
      <c r="E489" s="8" t="s">
        <v>708</v>
      </c>
      <c r="F489" s="1" t="str">
        <f t="shared" si="58"/>
        <v/>
      </c>
      <c r="H489" s="1" t="str">
        <f t="shared" si="60"/>
        <v>Pastore</v>
      </c>
      <c r="I489" s="1" t="str">
        <f t="shared" si="63"/>
        <v>2011</v>
      </c>
      <c r="J489" s="1" t="str">
        <f t="shared" si="61"/>
        <v>Pastore et al., 2011</v>
      </c>
      <c r="K489" s="9" t="s">
        <v>1576</v>
      </c>
      <c r="L489" s="1" t="str">
        <f t="shared" si="62"/>
        <v/>
      </c>
    </row>
    <row r="490" spans="1:12" ht="30" hidden="1" x14ac:dyDescent="0.25">
      <c r="A490" s="1">
        <f>INDEX(rq_evidence_review!A:A, MATCH(B490, rq_evidence_review!B:B, 0))</f>
        <v>2</v>
      </c>
      <c r="B490" s="6">
        <v>2.4</v>
      </c>
      <c r="C490" s="1">
        <f t="shared" si="59"/>
        <v>487</v>
      </c>
      <c r="D490" s="1">
        <f>VLOOKUP(B490,rq_evidence_review!$B$1:$L$55,7,FALSE)</f>
        <v>9</v>
      </c>
      <c r="E490" s="8" t="s">
        <v>709</v>
      </c>
      <c r="F490" s="1" t="str">
        <f t="shared" si="58"/>
        <v/>
      </c>
      <c r="H490" s="1" t="str">
        <f t="shared" si="60"/>
        <v>Scaruffi</v>
      </c>
      <c r="I490" s="1" t="str">
        <f t="shared" si="63"/>
        <v>2019</v>
      </c>
      <c r="J490" s="1" t="str">
        <f t="shared" si="61"/>
        <v>Scaruffi et al., 2019</v>
      </c>
      <c r="K490" s="9" t="s">
        <v>1577</v>
      </c>
      <c r="L490" s="1" t="str">
        <f t="shared" si="62"/>
        <v/>
      </c>
    </row>
    <row r="491" spans="1:12" ht="30" hidden="1" x14ac:dyDescent="0.25">
      <c r="A491" s="1">
        <f>INDEX(rq_evidence_review!A:A, MATCH(B491, rq_evidence_review!B:B, 0))</f>
        <v>2</v>
      </c>
      <c r="B491" s="6">
        <f>rq_evidence_review!B19</f>
        <v>2.5</v>
      </c>
      <c r="C491" s="1">
        <f t="shared" si="59"/>
        <v>488</v>
      </c>
      <c r="D491" s="1">
        <f>VLOOKUP(B491,rq_evidence_review!$B$1:$L$55,7,FALSE)</f>
        <v>14</v>
      </c>
      <c r="E491" s="8" t="s">
        <v>710</v>
      </c>
      <c r="F491" s="1" t="str">
        <f t="shared" si="58"/>
        <v/>
      </c>
      <c r="G491" s="1" t="s">
        <v>717</v>
      </c>
      <c r="H491" s="1" t="str">
        <f t="shared" si="60"/>
        <v>Hollinrake</v>
      </c>
      <c r="I491" s="1" t="str">
        <f t="shared" si="63"/>
        <v>2007</v>
      </c>
      <c r="J491" s="1" t="str">
        <f t="shared" si="61"/>
        <v>Hollinrake et al., 2007</v>
      </c>
      <c r="K491" s="9" t="s">
        <v>1578</v>
      </c>
      <c r="L491" s="1" t="str">
        <f t="shared" si="62"/>
        <v/>
      </c>
    </row>
    <row r="492" spans="1:12" ht="30" hidden="1" x14ac:dyDescent="0.25">
      <c r="A492" s="1">
        <f>INDEX(rq_evidence_review!A:A, MATCH(B492, rq_evidence_review!B:B, 0))</f>
        <v>2</v>
      </c>
      <c r="B492" s="6">
        <v>2.5</v>
      </c>
      <c r="C492" s="1">
        <f t="shared" si="59"/>
        <v>489</v>
      </c>
      <c r="D492" s="1">
        <f>VLOOKUP(B492,rq_evidence_review!$B$1:$L$55,7,FALSE)</f>
        <v>14</v>
      </c>
      <c r="E492" s="8" t="s">
        <v>711</v>
      </c>
      <c r="F492" s="1" t="str">
        <f t="shared" si="58"/>
        <v/>
      </c>
      <c r="G492" s="1" t="s">
        <v>717</v>
      </c>
      <c r="H492" s="1" t="str">
        <f t="shared" si="60"/>
        <v>Mansson</v>
      </c>
      <c r="I492" s="1" t="str">
        <f t="shared" si="63"/>
        <v>2008</v>
      </c>
      <c r="J492" s="1" t="str">
        <f t="shared" si="61"/>
        <v>Mansson et al., 2008</v>
      </c>
      <c r="K492" s="9" t="s">
        <v>1579</v>
      </c>
      <c r="L492" s="1" t="str">
        <f t="shared" si="62"/>
        <v/>
      </c>
    </row>
    <row r="493" spans="1:12" ht="30" hidden="1" x14ac:dyDescent="0.25">
      <c r="A493" s="1">
        <f>INDEX(rq_evidence_review!A:A, MATCH(B493, rq_evidence_review!B:B, 0))</f>
        <v>2</v>
      </c>
      <c r="B493" s="6">
        <v>2.5</v>
      </c>
      <c r="C493" s="1">
        <f t="shared" si="59"/>
        <v>490</v>
      </c>
      <c r="D493" s="1">
        <f>VLOOKUP(B493,rq_evidence_review!$B$1:$L$55,7,FALSE)</f>
        <v>14</v>
      </c>
      <c r="E493" s="8" t="s">
        <v>712</v>
      </c>
      <c r="F493" s="1" t="str">
        <f t="shared" ref="F493:F556" si="64">IF(ISNUMBER(SEARCH("primary citation", E493)), "primary_citation", "")</f>
        <v/>
      </c>
      <c r="G493" s="1" t="s">
        <v>717</v>
      </c>
      <c r="H493" s="1" t="str">
        <f t="shared" si="60"/>
        <v>Batcheller</v>
      </c>
      <c r="I493" s="1" t="str">
        <f t="shared" si="63"/>
        <v>2013</v>
      </c>
      <c r="J493" s="1" t="str">
        <f t="shared" si="61"/>
        <v>Batcheller et al., 2013</v>
      </c>
      <c r="K493" s="9" t="s">
        <v>1580</v>
      </c>
      <c r="L493" s="1" t="str">
        <f t="shared" si="62"/>
        <v/>
      </c>
    </row>
    <row r="494" spans="1:12" ht="30" hidden="1" x14ac:dyDescent="0.25">
      <c r="A494" s="1">
        <f>INDEX(rq_evidence_review!A:A, MATCH(B494, rq_evidence_review!B:B, 0))</f>
        <v>2</v>
      </c>
      <c r="B494" s="6">
        <v>2.5</v>
      </c>
      <c r="C494" s="1">
        <f t="shared" si="59"/>
        <v>491</v>
      </c>
      <c r="D494" s="1">
        <f>VLOOKUP(B494,rq_evidence_review!$B$1:$L$55,7,FALSE)</f>
        <v>14</v>
      </c>
      <c r="E494" s="8" t="s">
        <v>713</v>
      </c>
      <c r="F494" s="1" t="str">
        <f t="shared" si="64"/>
        <v/>
      </c>
      <c r="G494" s="1" t="s">
        <v>717</v>
      </c>
      <c r="H494" s="1" t="str">
        <f t="shared" si="60"/>
        <v>Karacan</v>
      </c>
      <c r="I494" s="1" t="str">
        <f t="shared" si="63"/>
        <v>2014</v>
      </c>
      <c r="J494" s="1" t="str">
        <f t="shared" si="61"/>
        <v>Karacan et al., 2014</v>
      </c>
      <c r="K494" s="9" t="s">
        <v>1574</v>
      </c>
      <c r="L494" s="1" t="str">
        <f t="shared" si="62"/>
        <v/>
      </c>
    </row>
    <row r="495" spans="1:12" ht="30" hidden="1" x14ac:dyDescent="0.25">
      <c r="A495" s="1">
        <f>INDEX(rq_evidence_review!A:A, MATCH(B495, rq_evidence_review!B:B, 0))</f>
        <v>2</v>
      </c>
      <c r="B495" s="6">
        <v>2.5</v>
      </c>
      <c r="C495" s="1">
        <f t="shared" si="59"/>
        <v>492</v>
      </c>
      <c r="D495" s="1">
        <f>VLOOKUP(B495,rq_evidence_review!$B$1:$L$55,7,FALSE)</f>
        <v>14</v>
      </c>
      <c r="E495" s="8" t="s">
        <v>714</v>
      </c>
      <c r="F495" s="1" t="str">
        <f t="shared" si="64"/>
        <v/>
      </c>
      <c r="G495" s="1" t="s">
        <v>717</v>
      </c>
      <c r="H495" s="1" t="str">
        <f t="shared" si="60"/>
        <v>Larsson</v>
      </c>
      <c r="I495" s="1" t="str">
        <f t="shared" si="63"/>
        <v>2016</v>
      </c>
      <c r="J495" s="1" t="str">
        <f t="shared" si="61"/>
        <v>Larsson et al., 2016</v>
      </c>
      <c r="K495" s="9" t="s">
        <v>1581</v>
      </c>
      <c r="L495" s="1" t="str">
        <f t="shared" si="62"/>
        <v/>
      </c>
    </row>
    <row r="496" spans="1:12" ht="30" hidden="1" x14ac:dyDescent="0.25">
      <c r="A496" s="1">
        <f>INDEX(rq_evidence_review!A:A, MATCH(B496, rq_evidence_review!B:B, 0))</f>
        <v>2</v>
      </c>
      <c r="B496" s="6">
        <v>2.5</v>
      </c>
      <c r="C496" s="1">
        <f t="shared" si="59"/>
        <v>493</v>
      </c>
      <c r="D496" s="1">
        <f>VLOOKUP(B496,rq_evidence_review!$B$1:$L$55,7,FALSE)</f>
        <v>14</v>
      </c>
      <c r="E496" s="8" t="s">
        <v>715</v>
      </c>
      <c r="F496" s="1" t="str">
        <f t="shared" si="64"/>
        <v/>
      </c>
      <c r="G496" s="1" t="s">
        <v>717</v>
      </c>
      <c r="H496" s="1" t="str">
        <f t="shared" si="60"/>
        <v>Lee</v>
      </c>
      <c r="I496" s="1" t="str">
        <f t="shared" si="63"/>
        <v>2016</v>
      </c>
      <c r="J496" s="1" t="str">
        <f t="shared" si="61"/>
        <v>Lee et al., 2016</v>
      </c>
      <c r="K496" s="9" t="s">
        <v>1582</v>
      </c>
      <c r="L496" s="1" t="str">
        <f t="shared" si="62"/>
        <v/>
      </c>
    </row>
    <row r="497" spans="1:15" ht="30" hidden="1" x14ac:dyDescent="0.25">
      <c r="A497" s="1">
        <f>INDEX(rq_evidence_review!A:A, MATCH(B497, rq_evidence_review!B:B, 0))</f>
        <v>2</v>
      </c>
      <c r="B497" s="6">
        <v>2.5</v>
      </c>
      <c r="C497" s="1">
        <f t="shared" si="59"/>
        <v>494</v>
      </c>
      <c r="D497" s="1">
        <f>VLOOKUP(B497,rq_evidence_review!$B$1:$L$55,7,FALSE)</f>
        <v>14</v>
      </c>
      <c r="E497" s="8" t="s">
        <v>716</v>
      </c>
      <c r="F497" s="1" t="str">
        <f t="shared" si="64"/>
        <v/>
      </c>
      <c r="G497" s="1" t="s">
        <v>717</v>
      </c>
      <c r="H497" s="1" t="str">
        <f t="shared" si="60"/>
        <v>Jeanes</v>
      </c>
      <c r="I497" s="1" t="str">
        <f t="shared" si="63"/>
        <v>2017</v>
      </c>
      <c r="J497" s="1" t="str">
        <f t="shared" si="61"/>
        <v>Jeanes et al., 2017</v>
      </c>
      <c r="K497" s="9" t="s">
        <v>1583</v>
      </c>
      <c r="L497" s="1" t="str">
        <f t="shared" si="62"/>
        <v/>
      </c>
    </row>
    <row r="498" spans="1:15" ht="30" hidden="1" x14ac:dyDescent="0.25">
      <c r="A498" s="1">
        <f>INDEX(rq_evidence_review!A:A, MATCH(B498, rq_evidence_review!B:B, 0))</f>
        <v>2</v>
      </c>
      <c r="B498" s="6">
        <v>2.5</v>
      </c>
      <c r="C498" s="1">
        <f t="shared" si="59"/>
        <v>495</v>
      </c>
      <c r="D498" s="1">
        <f>VLOOKUP(B498,rq_evidence_review!$B$1:$L$55,7,FALSE)</f>
        <v>14</v>
      </c>
      <c r="E498" s="8" t="s">
        <v>718</v>
      </c>
      <c r="F498" s="1" t="str">
        <f t="shared" si="64"/>
        <v/>
      </c>
      <c r="H498" s="1" t="str">
        <f t="shared" si="60"/>
        <v>Sirmans</v>
      </c>
      <c r="I498" s="1" t="str">
        <f t="shared" si="63"/>
        <v>2014</v>
      </c>
      <c r="J498" s="1" t="str">
        <f t="shared" si="61"/>
        <v>Sirmans et al., 2014</v>
      </c>
      <c r="K498" s="9" t="s">
        <v>1584</v>
      </c>
      <c r="L498" s="1" t="str">
        <f t="shared" si="62"/>
        <v/>
      </c>
    </row>
    <row r="499" spans="1:15" ht="30" hidden="1" x14ac:dyDescent="0.25">
      <c r="A499" s="1">
        <f>INDEX(rq_evidence_review!A:A, MATCH(B499, rq_evidence_review!B:B, 0))</f>
        <v>2</v>
      </c>
      <c r="B499" s="6">
        <v>2.5</v>
      </c>
      <c r="C499" s="1">
        <f t="shared" si="59"/>
        <v>496</v>
      </c>
      <c r="D499" s="1">
        <f>VLOOKUP(B499,rq_evidence_review!$B$1:$L$55,7,FALSE)</f>
        <v>14</v>
      </c>
      <c r="E499" s="8" t="s">
        <v>719</v>
      </c>
      <c r="F499" s="1" t="str">
        <f t="shared" si="64"/>
        <v/>
      </c>
      <c r="H499" s="1" t="str">
        <f t="shared" si="60"/>
        <v>Cesta</v>
      </c>
      <c r="I499" s="1" t="str">
        <f t="shared" si="63"/>
        <v>2016</v>
      </c>
      <c r="J499" s="1" t="str">
        <f t="shared" si="61"/>
        <v>Cesta et al., 2016</v>
      </c>
      <c r="K499" s="9" t="s">
        <v>1585</v>
      </c>
      <c r="L499" s="1" t="str">
        <f t="shared" si="62"/>
        <v/>
      </c>
    </row>
    <row r="500" spans="1:15" hidden="1" x14ac:dyDescent="0.25">
      <c r="A500" s="1">
        <f>INDEX(rq_evidence_review!A:A, MATCH(B500, rq_evidence_review!B:B, 0))</f>
        <v>2</v>
      </c>
      <c r="B500" s="6">
        <v>2.5</v>
      </c>
      <c r="C500" s="1">
        <f t="shared" si="59"/>
        <v>497</v>
      </c>
      <c r="D500" s="1">
        <f>VLOOKUP(B500,rq_evidence_review!$B$1:$L$55,7,FALSE)</f>
        <v>14</v>
      </c>
      <c r="E500" s="8" t="s">
        <v>720</v>
      </c>
      <c r="F500" s="1" t="str">
        <f t="shared" si="64"/>
        <v/>
      </c>
      <c r="H500" s="1" t="str">
        <f t="shared" si="60"/>
        <v>Maher</v>
      </c>
      <c r="I500" s="1" t="str">
        <f t="shared" si="63"/>
        <v>2018</v>
      </c>
      <c r="J500" s="1" t="str">
        <f t="shared" si="61"/>
        <v>Maher et al., 2018</v>
      </c>
      <c r="K500" s="9" t="s">
        <v>1586</v>
      </c>
      <c r="L500" s="1" t="str">
        <f t="shared" si="62"/>
        <v/>
      </c>
    </row>
    <row r="501" spans="1:15" ht="30" hidden="1" x14ac:dyDescent="0.25">
      <c r="A501" s="1">
        <f>INDEX(rq_evidence_review!A:A, MATCH(B501, rq_evidence_review!B:B, 0))</f>
        <v>2</v>
      </c>
      <c r="B501" s="6">
        <v>2.5</v>
      </c>
      <c r="C501" s="1">
        <f t="shared" si="59"/>
        <v>498</v>
      </c>
      <c r="D501" s="1">
        <f>VLOOKUP(B501,rq_evidence_review!$B$1:$L$55,7,FALSE)</f>
        <v>14</v>
      </c>
      <c r="E501" s="8" t="s">
        <v>721</v>
      </c>
      <c r="F501" s="1" t="str">
        <f t="shared" si="64"/>
        <v/>
      </c>
      <c r="H501" s="1" t="str">
        <f t="shared" si="60"/>
        <v>Lidaka</v>
      </c>
      <c r="I501" s="1" t="str">
        <f t="shared" si="63"/>
        <v>2019</v>
      </c>
      <c r="J501" s="1" t="str">
        <f t="shared" si="61"/>
        <v>Lidaka et al., 2019</v>
      </c>
      <c r="K501" s="9" t="s">
        <v>1541</v>
      </c>
      <c r="L501" s="1" t="str">
        <f t="shared" si="62"/>
        <v/>
      </c>
    </row>
    <row r="502" spans="1:15" ht="45" hidden="1" x14ac:dyDescent="0.25">
      <c r="A502" s="1">
        <f>INDEX(rq_evidence_review!A:A, MATCH(B502, rq_evidence_review!B:B, 0))</f>
        <v>2</v>
      </c>
      <c r="B502" s="6">
        <v>2.5</v>
      </c>
      <c r="C502" s="1">
        <f t="shared" si="59"/>
        <v>499</v>
      </c>
      <c r="D502" s="1">
        <f>VLOOKUP(B502,rq_evidence_review!$B$1:$L$55,7,FALSE)</f>
        <v>14</v>
      </c>
      <c r="E502" s="8" t="s">
        <v>722</v>
      </c>
      <c r="F502" s="1" t="str">
        <f t="shared" si="64"/>
        <v/>
      </c>
      <c r="H502" s="1" t="str">
        <f t="shared" si="60"/>
        <v>Pirotta</v>
      </c>
      <c r="I502" s="1" t="str">
        <f t="shared" si="63"/>
        <v>2019</v>
      </c>
      <c r="J502" s="1" t="str">
        <f t="shared" si="61"/>
        <v>Pirotta et al., 2019</v>
      </c>
      <c r="K502" s="9" t="s">
        <v>1587</v>
      </c>
      <c r="L502" s="1" t="str">
        <f t="shared" si="62"/>
        <v/>
      </c>
    </row>
    <row r="503" spans="1:15" ht="30" hidden="1" x14ac:dyDescent="0.25">
      <c r="A503" s="1">
        <f>INDEX(rq_evidence_review!A:A, MATCH(B503, rq_evidence_review!B:B, 0))</f>
        <v>2</v>
      </c>
      <c r="B503" s="6">
        <v>2.5</v>
      </c>
      <c r="C503" s="1">
        <f t="shared" si="59"/>
        <v>500</v>
      </c>
      <c r="D503" s="1">
        <f>VLOOKUP(B503,rq_evidence_review!$B$1:$L$55,7,FALSE)</f>
        <v>14</v>
      </c>
      <c r="E503" s="8" t="s">
        <v>723</v>
      </c>
      <c r="F503" s="1" t="str">
        <f t="shared" si="64"/>
        <v/>
      </c>
      <c r="H503" s="1" t="str">
        <f t="shared" si="60"/>
        <v>Tay</v>
      </c>
      <c r="I503" s="1" t="str">
        <f t="shared" si="63"/>
        <v>2019</v>
      </c>
      <c r="J503" s="1" t="str">
        <f t="shared" si="61"/>
        <v>Tay et al., 2019</v>
      </c>
      <c r="K503" s="9" t="s">
        <v>1588</v>
      </c>
      <c r="L503" s="1" t="str">
        <f t="shared" si="62"/>
        <v/>
      </c>
    </row>
    <row r="504" spans="1:15" ht="30" hidden="1" x14ac:dyDescent="0.25">
      <c r="A504" s="1">
        <f>INDEX(rq_evidence_review!A:A, MATCH(B504, rq_evidence_review!B:B, 0))</f>
        <v>2</v>
      </c>
      <c r="B504" s="6">
        <v>2.5</v>
      </c>
      <c r="C504" s="1">
        <f t="shared" si="59"/>
        <v>501</v>
      </c>
      <c r="D504" s="1">
        <f>VLOOKUP(B504,rq_evidence_review!$B$1:$L$55,7,FALSE)</f>
        <v>14</v>
      </c>
      <c r="E504" s="8" t="s">
        <v>724</v>
      </c>
      <c r="F504" s="1" t="str">
        <f t="shared" si="64"/>
        <v/>
      </c>
      <c r="H504" s="1" t="str">
        <f t="shared" si="60"/>
        <v>Asdaq</v>
      </c>
      <c r="I504" s="1" t="str">
        <f t="shared" si="63"/>
        <v>2020</v>
      </c>
      <c r="J504" s="1" t="str">
        <f t="shared" si="61"/>
        <v>Asdaq et al., 2020</v>
      </c>
      <c r="K504" s="9" t="s">
        <v>1589</v>
      </c>
      <c r="L504" s="1" t="str">
        <f t="shared" si="62"/>
        <v/>
      </c>
    </row>
    <row r="505" spans="1:15" ht="45" hidden="1" x14ac:dyDescent="0.25">
      <c r="A505" s="1">
        <f>INDEX(rq_evidence_review!A:A, MATCH(B505, rq_evidence_review!B:B, 0))</f>
        <v>2</v>
      </c>
      <c r="B505" s="6" t="str">
        <f>rq_evidence_review!B20</f>
        <v>2.6.1</v>
      </c>
      <c r="C505" s="1">
        <f t="shared" si="59"/>
        <v>502</v>
      </c>
      <c r="D505" s="1">
        <f>VLOOKUP(B505,rq_evidence_review!$B$1:$L$55,7,FALSE)</f>
        <v>41</v>
      </c>
      <c r="E505" s="8" t="s">
        <v>725</v>
      </c>
      <c r="F505" s="1" t="str">
        <f t="shared" si="64"/>
        <v/>
      </c>
      <c r="H505" s="1" t="str">
        <f t="shared" si="60"/>
        <v>Alzamil H</v>
      </c>
      <c r="I505" s="1" t="str">
        <f t="shared" si="63"/>
        <v>2020</v>
      </c>
      <c r="J505" s="1" t="str">
        <f t="shared" si="61"/>
        <v>Alzamil H et al., 2020</v>
      </c>
      <c r="K505" s="1" t="str">
        <f>ExtractDOI(E505)</f>
        <v>10.18295/squmj.2020.20.03.012</v>
      </c>
      <c r="L505" s="1" t="str">
        <f t="shared" si="62"/>
        <v>33110648</v>
      </c>
    </row>
    <row r="506" spans="1:15" ht="30" hidden="1" x14ac:dyDescent="0.25">
      <c r="A506" s="1">
        <f>INDEX(rq_evidence_review!A:A, MATCH(B506, rq_evidence_review!B:B, 0))</f>
        <v>2</v>
      </c>
      <c r="B506" s="6" t="s">
        <v>29</v>
      </c>
      <c r="C506" s="1">
        <f t="shared" si="59"/>
        <v>503</v>
      </c>
      <c r="D506" s="1">
        <f>VLOOKUP(B506,rq_evidence_review!$B$1:$L$55,7,FALSE)</f>
        <v>41</v>
      </c>
      <c r="E506" s="8" t="s">
        <v>726</v>
      </c>
      <c r="F506" s="1" t="str">
        <f t="shared" si="64"/>
        <v/>
      </c>
      <c r="H506" s="1" t="str">
        <f t="shared" si="60"/>
        <v>Arif N</v>
      </c>
      <c r="I506" s="1" t="str">
        <f t="shared" si="63"/>
        <v>2020</v>
      </c>
      <c r="J506" s="1" t="str">
        <f t="shared" si="61"/>
        <v>Arif N et al., 2020</v>
      </c>
      <c r="K506" s="1" t="str">
        <f>ExtractDOI(E506)</f>
        <v/>
      </c>
      <c r="L506" s="1" t="str">
        <f t="shared" si="62"/>
        <v/>
      </c>
      <c r="O506" s="1" t="s">
        <v>1998</v>
      </c>
    </row>
    <row r="507" spans="1:15" ht="30" hidden="1" x14ac:dyDescent="0.25">
      <c r="A507" s="1">
        <f>INDEX(rq_evidence_review!A:A, MATCH(B507, rq_evidence_review!B:B, 0))</f>
        <v>2</v>
      </c>
      <c r="B507" s="6" t="s">
        <v>29</v>
      </c>
      <c r="C507" s="1">
        <f t="shared" si="59"/>
        <v>504</v>
      </c>
      <c r="D507" s="1">
        <f>VLOOKUP(B507,rq_evidence_review!$B$1:$L$55,7,FALSE)</f>
        <v>41</v>
      </c>
      <c r="E507" s="8" t="s">
        <v>727</v>
      </c>
      <c r="F507" s="1" t="str">
        <f t="shared" si="64"/>
        <v/>
      </c>
      <c r="H507" s="1" t="str">
        <f t="shared" si="60"/>
        <v>Asante A</v>
      </c>
      <c r="I507" s="1" t="str">
        <f t="shared" si="63"/>
        <v>2015</v>
      </c>
      <c r="J507" s="1" t="str">
        <f t="shared" si="61"/>
        <v>Asante A et al., 2015</v>
      </c>
      <c r="K507" s="1" t="str">
        <f>ExtractDOI(E507)</f>
        <v/>
      </c>
      <c r="L507" s="9">
        <v>26592060</v>
      </c>
      <c r="M507" s="1" t="s">
        <v>1590</v>
      </c>
      <c r="N507" s="1">
        <v>32001745</v>
      </c>
    </row>
    <row r="508" spans="1:15" ht="30" hidden="1" x14ac:dyDescent="0.25">
      <c r="A508" s="1">
        <f>INDEX(rq_evidence_review!A:A, MATCH(B508, rq_evidence_review!B:B, 0))</f>
        <v>2</v>
      </c>
      <c r="B508" s="6" t="s">
        <v>29</v>
      </c>
      <c r="C508" s="1">
        <f t="shared" si="59"/>
        <v>505</v>
      </c>
      <c r="D508" s="1">
        <f>VLOOKUP(B508,rq_evidence_review!$B$1:$L$55,7,FALSE)</f>
        <v>41</v>
      </c>
      <c r="E508" s="8" t="s">
        <v>728</v>
      </c>
      <c r="F508" s="1" t="str">
        <f t="shared" si="64"/>
        <v/>
      </c>
      <c r="H508" s="1" t="str">
        <f t="shared" si="60"/>
        <v>Carron R</v>
      </c>
      <c r="I508" s="1" t="str">
        <f t="shared" si="63"/>
        <v>2018</v>
      </c>
      <c r="J508" s="1" t="str">
        <f t="shared" si="61"/>
        <v>Carron R et al., 2018</v>
      </c>
      <c r="K508" s="1" t="s">
        <v>1591</v>
      </c>
      <c r="L508" s="1" t="str">
        <f t="shared" si="62"/>
        <v/>
      </c>
    </row>
    <row r="509" spans="1:15" ht="30" hidden="1" x14ac:dyDescent="0.25">
      <c r="A509" s="1">
        <f>INDEX(rq_evidence_review!A:A, MATCH(B509, rq_evidence_review!B:B, 0))</f>
        <v>2</v>
      </c>
      <c r="B509" s="6" t="s">
        <v>29</v>
      </c>
      <c r="C509" s="1">
        <f t="shared" si="59"/>
        <v>506</v>
      </c>
      <c r="D509" s="1">
        <f>VLOOKUP(B509,rq_evidence_review!$B$1:$L$55,7,FALSE)</f>
        <v>41</v>
      </c>
      <c r="E509" s="8" t="s">
        <v>729</v>
      </c>
      <c r="F509" s="1" t="str">
        <f t="shared" si="64"/>
        <v/>
      </c>
      <c r="H509" s="1" t="str">
        <f t="shared" si="60"/>
        <v>Chemerinski A</v>
      </c>
      <c r="I509" s="1" t="str">
        <f t="shared" si="63"/>
        <v>2020</v>
      </c>
      <c r="J509" s="1" t="str">
        <f t="shared" si="61"/>
        <v>Chemerinski A et al., 2020</v>
      </c>
      <c r="K509" s="9" t="s">
        <v>1592</v>
      </c>
      <c r="L509" s="1" t="str">
        <f t="shared" si="62"/>
        <v/>
      </c>
    </row>
    <row r="510" spans="1:15" ht="30" hidden="1" x14ac:dyDescent="0.25">
      <c r="A510" s="1">
        <f>INDEX(rq_evidence_review!A:A, MATCH(B510, rq_evidence_review!B:B, 0))</f>
        <v>2</v>
      </c>
      <c r="B510" s="6" t="s">
        <v>29</v>
      </c>
      <c r="C510" s="1">
        <f t="shared" si="59"/>
        <v>507</v>
      </c>
      <c r="D510" s="1">
        <f>VLOOKUP(B510,rq_evidence_review!$B$1:$L$55,7,FALSE)</f>
        <v>41</v>
      </c>
      <c r="E510" s="8" t="s">
        <v>730</v>
      </c>
      <c r="F510" s="1" t="str">
        <f t="shared" si="64"/>
        <v/>
      </c>
      <c r="H510" s="1" t="str">
        <f t="shared" si="60"/>
        <v>Copp T</v>
      </c>
      <c r="I510" s="1" t="str">
        <f t="shared" si="63"/>
        <v>2020</v>
      </c>
      <c r="J510" s="1" t="str">
        <f t="shared" si="61"/>
        <v>Copp T et al., 2020</v>
      </c>
      <c r="K510" s="9" t="s">
        <v>1593</v>
      </c>
      <c r="L510" s="1" t="str">
        <f t="shared" si="62"/>
        <v/>
      </c>
    </row>
    <row r="511" spans="1:15" ht="30" hidden="1" x14ac:dyDescent="0.25">
      <c r="A511" s="1">
        <f>INDEX(rq_evidence_review!A:A, MATCH(B511, rq_evidence_review!B:B, 0))</f>
        <v>2</v>
      </c>
      <c r="B511" s="6" t="s">
        <v>29</v>
      </c>
      <c r="C511" s="1">
        <f t="shared" si="59"/>
        <v>508</v>
      </c>
      <c r="D511" s="1">
        <f>VLOOKUP(B511,rq_evidence_review!$B$1:$L$55,7,FALSE)</f>
        <v>41</v>
      </c>
      <c r="E511" s="8" t="s">
        <v>731</v>
      </c>
      <c r="F511" s="1" t="str">
        <f t="shared" si="64"/>
        <v/>
      </c>
      <c r="H511" s="1" t="str">
        <f t="shared" si="60"/>
        <v>Dokras A</v>
      </c>
      <c r="I511" s="1" t="str">
        <f t="shared" si="63"/>
        <v>2017</v>
      </c>
      <c r="J511" s="1" t="str">
        <f t="shared" si="61"/>
        <v>Dokras A et al., 2017</v>
      </c>
      <c r="K511" s="9" t="s">
        <v>1594</v>
      </c>
      <c r="L511" s="1" t="str">
        <f t="shared" si="62"/>
        <v/>
      </c>
    </row>
    <row r="512" spans="1:15" ht="30" hidden="1" x14ac:dyDescent="0.25">
      <c r="A512" s="1">
        <f>INDEX(rq_evidence_review!A:A, MATCH(B512, rq_evidence_review!B:B, 0))</f>
        <v>2</v>
      </c>
      <c r="B512" s="6" t="s">
        <v>29</v>
      </c>
      <c r="C512" s="1">
        <f t="shared" si="59"/>
        <v>509</v>
      </c>
      <c r="D512" s="1">
        <f>VLOOKUP(B512,rq_evidence_review!$B$1:$L$55,7,FALSE)</f>
        <v>41</v>
      </c>
      <c r="E512" s="8" t="s">
        <v>732</v>
      </c>
      <c r="F512" s="1" t="str">
        <f t="shared" si="64"/>
        <v/>
      </c>
      <c r="H512" s="1" t="str">
        <f t="shared" si="60"/>
        <v>Doll I</v>
      </c>
      <c r="I512" s="1" t="str">
        <f t="shared" si="63"/>
        <v>2012</v>
      </c>
      <c r="J512" s="1" t="str">
        <f t="shared" si="61"/>
        <v>Doll I et al., 2012</v>
      </c>
      <c r="K512" s="9" t="s">
        <v>1595</v>
      </c>
      <c r="L512" s="1" t="str">
        <f t="shared" si="62"/>
        <v/>
      </c>
    </row>
    <row r="513" spans="1:12" ht="30" hidden="1" x14ac:dyDescent="0.25">
      <c r="A513" s="1">
        <f>INDEX(rq_evidence_review!A:A, MATCH(B513, rq_evidence_review!B:B, 0))</f>
        <v>2</v>
      </c>
      <c r="B513" s="6" t="s">
        <v>29</v>
      </c>
      <c r="C513" s="1">
        <f t="shared" si="59"/>
        <v>510</v>
      </c>
      <c r="D513" s="1">
        <f>VLOOKUP(B513,rq_evidence_review!$B$1:$L$55,7,FALSE)</f>
        <v>41</v>
      </c>
      <c r="E513" s="8" t="s">
        <v>733</v>
      </c>
      <c r="F513" s="1" t="str">
        <f t="shared" si="64"/>
        <v/>
      </c>
      <c r="H513" s="1" t="str">
        <f t="shared" si="60"/>
        <v>Dutta</v>
      </c>
      <c r="I513" s="1" t="str">
        <f t="shared" si="63"/>
        <v>2020</v>
      </c>
      <c r="J513" s="1" t="str">
        <f t="shared" si="61"/>
        <v>Dutta et al., 2020</v>
      </c>
      <c r="K513" s="12" t="s">
        <v>1596</v>
      </c>
      <c r="L513" s="1" t="str">
        <f t="shared" si="62"/>
        <v/>
      </c>
    </row>
    <row r="514" spans="1:12" ht="45" hidden="1" x14ac:dyDescent="0.25">
      <c r="A514" s="1">
        <f>INDEX(rq_evidence_review!A:A, MATCH(B514, rq_evidence_review!B:B, 0))</f>
        <v>2</v>
      </c>
      <c r="B514" s="6" t="s">
        <v>29</v>
      </c>
      <c r="C514" s="1">
        <f t="shared" si="59"/>
        <v>511</v>
      </c>
      <c r="D514" s="1">
        <f>VLOOKUP(B514,rq_evidence_review!$B$1:$L$55,7,FALSE)</f>
        <v>41</v>
      </c>
      <c r="E514" s="8" t="s">
        <v>734</v>
      </c>
      <c r="F514" s="1" t="str">
        <f t="shared" si="64"/>
        <v/>
      </c>
      <c r="H514" s="1" t="str">
        <f t="shared" si="60"/>
        <v>Gibson-Helm M</v>
      </c>
      <c r="I514" s="1" t="str">
        <f t="shared" si="63"/>
        <v>2018</v>
      </c>
      <c r="J514" s="1" t="str">
        <f t="shared" si="61"/>
        <v>Gibson-Helm M et al., 2018</v>
      </c>
      <c r="K514" s="9" t="s">
        <v>1597</v>
      </c>
      <c r="L514" s="1" t="str">
        <f t="shared" si="62"/>
        <v/>
      </c>
    </row>
    <row r="515" spans="1:12" ht="30" hidden="1" x14ac:dyDescent="0.25">
      <c r="A515" s="1">
        <f>INDEX(rq_evidence_review!A:A, MATCH(B515, rq_evidence_review!B:B, 0))</f>
        <v>2</v>
      </c>
      <c r="B515" s="6" t="s">
        <v>29</v>
      </c>
      <c r="C515" s="1">
        <f t="shared" si="59"/>
        <v>512</v>
      </c>
      <c r="D515" s="1">
        <f>VLOOKUP(B515,rq_evidence_review!$B$1:$L$55,7,FALSE)</f>
        <v>41</v>
      </c>
      <c r="E515" s="8" t="s">
        <v>735</v>
      </c>
      <c r="F515" s="1" t="str">
        <f t="shared" si="64"/>
        <v/>
      </c>
      <c r="H515" s="1" t="str">
        <f t="shared" si="60"/>
        <v>Ma R</v>
      </c>
      <c r="I515" s="1" t="str">
        <f t="shared" si="63"/>
        <v>2021</v>
      </c>
      <c r="J515" s="1" t="str">
        <f t="shared" si="61"/>
        <v>Ma R et al., 2021</v>
      </c>
      <c r="K515" s="9" t="s">
        <v>1598</v>
      </c>
      <c r="L515" s="1" t="str">
        <f t="shared" si="62"/>
        <v/>
      </c>
    </row>
    <row r="516" spans="1:12" ht="30" hidden="1" x14ac:dyDescent="0.25">
      <c r="A516" s="1">
        <f>INDEX(rq_evidence_review!A:A, MATCH(B516, rq_evidence_review!B:B, 0))</f>
        <v>2</v>
      </c>
      <c r="B516" s="6" t="s">
        <v>29</v>
      </c>
      <c r="C516" s="1">
        <f t="shared" si="59"/>
        <v>513</v>
      </c>
      <c r="D516" s="1">
        <f>VLOOKUP(B516,rq_evidence_review!$B$1:$L$55,7,FALSE)</f>
        <v>41</v>
      </c>
      <c r="E516" s="8" t="s">
        <v>736</v>
      </c>
      <c r="F516" s="1" t="str">
        <f t="shared" si="64"/>
        <v/>
      </c>
      <c r="H516" s="1" t="str">
        <f t="shared" si="60"/>
        <v>Moran LJ</v>
      </c>
      <c r="I516" s="1" t="str">
        <f t="shared" si="63"/>
        <v>2022</v>
      </c>
      <c r="J516" s="1" t="str">
        <f t="shared" si="61"/>
        <v>Moran LJ et al., 2022</v>
      </c>
      <c r="K516" s="9" t="s">
        <v>1599</v>
      </c>
      <c r="L516" s="10">
        <v>34800697</v>
      </c>
    </row>
    <row r="517" spans="1:12" ht="30" hidden="1" x14ac:dyDescent="0.25">
      <c r="A517" s="1">
        <f>INDEX(rq_evidence_review!A:A, MATCH(B517, rq_evidence_review!B:B, 0))</f>
        <v>2</v>
      </c>
      <c r="B517" s="6" t="s">
        <v>29</v>
      </c>
      <c r="C517" s="1">
        <f t="shared" si="59"/>
        <v>514</v>
      </c>
      <c r="D517" s="1">
        <f>VLOOKUP(B517,rq_evidence_review!$B$1:$L$55,7,FALSE)</f>
        <v>41</v>
      </c>
      <c r="E517" s="8" t="s">
        <v>737</v>
      </c>
      <c r="F517" s="1" t="str">
        <f t="shared" si="64"/>
        <v/>
      </c>
      <c r="H517" s="1" t="str">
        <f t="shared" si="60"/>
        <v>Ning N</v>
      </c>
      <c r="I517" s="1" t="str">
        <f t="shared" si="63"/>
        <v>2013</v>
      </c>
      <c r="J517" s="1" t="str">
        <f t="shared" si="61"/>
        <v>Ning N et al., 2013</v>
      </c>
      <c r="K517" s="9" t="s">
        <v>1600</v>
      </c>
      <c r="L517" s="1" t="str">
        <f t="shared" si="62"/>
        <v/>
      </c>
    </row>
    <row r="518" spans="1:12" ht="45" hidden="1" x14ac:dyDescent="0.25">
      <c r="A518" s="1">
        <f>INDEX(rq_evidence_review!A:A, MATCH(B518, rq_evidence_review!B:B, 0))</f>
        <v>2</v>
      </c>
      <c r="B518" s="6" t="s">
        <v>29</v>
      </c>
      <c r="C518" s="1">
        <f t="shared" si="59"/>
        <v>515</v>
      </c>
      <c r="D518" s="1">
        <f>VLOOKUP(B518,rq_evidence_review!$B$1:$L$55,7,FALSE)</f>
        <v>41</v>
      </c>
      <c r="E518" s="8" t="s">
        <v>738</v>
      </c>
      <c r="F518" s="1" t="str">
        <f t="shared" si="64"/>
        <v/>
      </c>
      <c r="H518" s="1" t="str">
        <f t="shared" si="60"/>
        <v>Piltonen TT</v>
      </c>
      <c r="I518" s="1" t="str">
        <f t="shared" si="63"/>
        <v>2019</v>
      </c>
      <c r="J518" s="1" t="str">
        <f t="shared" si="61"/>
        <v>Piltonen TT et al., 2019</v>
      </c>
      <c r="K518" s="9" t="s">
        <v>1601</v>
      </c>
      <c r="L518" s="1" t="str">
        <f t="shared" si="62"/>
        <v/>
      </c>
    </row>
    <row r="519" spans="1:12" ht="30" hidden="1" x14ac:dyDescent="0.25">
      <c r="A519" s="1">
        <f>INDEX(rq_evidence_review!A:A, MATCH(B519, rq_evidence_review!B:B, 0))</f>
        <v>2</v>
      </c>
      <c r="B519" s="6" t="s">
        <v>29</v>
      </c>
      <c r="C519" s="1">
        <f t="shared" si="59"/>
        <v>516</v>
      </c>
      <c r="D519" s="1">
        <f>VLOOKUP(B519,rq_evidence_review!$B$1:$L$55,7,FALSE)</f>
        <v>41</v>
      </c>
      <c r="E519" s="8" t="s">
        <v>1602</v>
      </c>
      <c r="F519" s="1" t="str">
        <f t="shared" si="64"/>
        <v/>
      </c>
      <c r="H519" s="1" t="str">
        <f t="shared" si="60"/>
        <v>Salman AD</v>
      </c>
      <c r="I519" s="1" t="str">
        <f t="shared" si="63"/>
        <v>2020</v>
      </c>
      <c r="J519" s="1" t="str">
        <f t="shared" si="61"/>
        <v>Salman AD et al., 2020</v>
      </c>
      <c r="K519" s="9" t="s">
        <v>1603</v>
      </c>
      <c r="L519" s="1" t="str">
        <f t="shared" si="62"/>
        <v/>
      </c>
    </row>
    <row r="520" spans="1:12" ht="30" hidden="1" x14ac:dyDescent="0.25">
      <c r="A520" s="1">
        <f>INDEX(rq_evidence_review!A:A, MATCH(B520, rq_evidence_review!B:B, 0))</f>
        <v>2</v>
      </c>
      <c r="B520" s="6" t="s">
        <v>29</v>
      </c>
      <c r="C520" s="1">
        <f t="shared" si="59"/>
        <v>517</v>
      </c>
      <c r="D520" s="1">
        <f>VLOOKUP(B520,rq_evidence_review!$B$1:$L$55,7,FALSE)</f>
        <v>41</v>
      </c>
      <c r="E520" s="8" t="s">
        <v>739</v>
      </c>
      <c r="F520" s="1" t="str">
        <f t="shared" si="64"/>
        <v/>
      </c>
      <c r="H520" s="1" t="str">
        <f t="shared" si="60"/>
        <v>Yan D</v>
      </c>
      <c r="I520" s="1" t="str">
        <f t="shared" si="63"/>
        <v>2021</v>
      </c>
      <c r="J520" s="1" t="str">
        <f t="shared" si="61"/>
        <v>Yan D et al., 2021</v>
      </c>
      <c r="K520" s="9" t="s">
        <v>1604</v>
      </c>
      <c r="L520" s="1" t="str">
        <f t="shared" si="62"/>
        <v/>
      </c>
    </row>
    <row r="521" spans="1:12" ht="30" hidden="1" x14ac:dyDescent="0.25">
      <c r="A521" s="1">
        <f>INDEX(rq_evidence_review!A:A, MATCH(B521, rq_evidence_review!B:B, 0))</f>
        <v>2</v>
      </c>
      <c r="B521" s="6" t="s">
        <v>29</v>
      </c>
      <c r="C521" s="1">
        <f t="shared" si="59"/>
        <v>518</v>
      </c>
      <c r="D521" s="1">
        <f>VLOOKUP(B521,rq_evidence_review!$B$1:$L$55,7,FALSE)</f>
        <v>41</v>
      </c>
      <c r="E521" s="8" t="s">
        <v>740</v>
      </c>
      <c r="F521" s="1" t="str">
        <f t="shared" si="64"/>
        <v/>
      </c>
      <c r="H521" s="1" t="str">
        <f t="shared" si="60"/>
        <v>Authier M</v>
      </c>
      <c r="I521" s="1" t="str">
        <f t="shared" si="63"/>
        <v>2020</v>
      </c>
      <c r="J521" s="1" t="str">
        <f t="shared" si="61"/>
        <v>Authier M et al., 2020</v>
      </c>
      <c r="K521" s="9" t="s">
        <v>1605</v>
      </c>
      <c r="L521" s="1" t="str">
        <f t="shared" si="62"/>
        <v/>
      </c>
    </row>
    <row r="522" spans="1:12" ht="30" hidden="1" x14ac:dyDescent="0.25">
      <c r="A522" s="1">
        <f>INDEX(rq_evidence_review!A:A, MATCH(B522, rq_evidence_review!B:B, 0))</f>
        <v>2</v>
      </c>
      <c r="B522" s="6" t="s">
        <v>29</v>
      </c>
      <c r="C522" s="1">
        <f t="shared" si="59"/>
        <v>519</v>
      </c>
      <c r="D522" s="1">
        <f>VLOOKUP(B522,rq_evidence_review!$B$1:$L$55,7,FALSE)</f>
        <v>41</v>
      </c>
      <c r="E522" s="8" t="s">
        <v>741</v>
      </c>
      <c r="F522" s="1" t="str">
        <f t="shared" si="64"/>
        <v/>
      </c>
      <c r="H522" s="1" t="str">
        <f t="shared" si="60"/>
        <v>Avery JC</v>
      </c>
      <c r="I522" s="1" t="str">
        <f t="shared" si="63"/>
        <v>2007</v>
      </c>
      <c r="J522" s="1" t="str">
        <f t="shared" si="61"/>
        <v>Avery JC et al., 2007</v>
      </c>
      <c r="K522" s="9" t="s">
        <v>1606</v>
      </c>
      <c r="L522" s="1" t="str">
        <f t="shared" si="62"/>
        <v/>
      </c>
    </row>
    <row r="523" spans="1:12" ht="30" hidden="1" x14ac:dyDescent="0.25">
      <c r="A523" s="1">
        <f>INDEX(rq_evidence_review!A:A, MATCH(B523, rq_evidence_review!B:B, 0))</f>
        <v>2</v>
      </c>
      <c r="B523" s="6" t="s">
        <v>29</v>
      </c>
      <c r="C523" s="1">
        <f t="shared" si="59"/>
        <v>520</v>
      </c>
      <c r="D523" s="1">
        <f>VLOOKUP(B523,rq_evidence_review!$B$1:$L$55,7,FALSE)</f>
        <v>41</v>
      </c>
      <c r="E523" s="8" t="s">
        <v>742</v>
      </c>
      <c r="F523" s="1" t="str">
        <f t="shared" si="64"/>
        <v/>
      </c>
      <c r="H523" s="1" t="str">
        <f t="shared" si="60"/>
        <v>Carron R</v>
      </c>
      <c r="I523" s="1" t="str">
        <f t="shared" si="63"/>
        <v>2020</v>
      </c>
      <c r="J523" s="1" t="str">
        <f t="shared" si="61"/>
        <v>Carron R et al., 2020</v>
      </c>
      <c r="K523" s="9" t="s">
        <v>1607</v>
      </c>
      <c r="L523" s="1" t="str">
        <f t="shared" si="62"/>
        <v/>
      </c>
    </row>
    <row r="524" spans="1:12" ht="30" hidden="1" x14ac:dyDescent="0.25">
      <c r="A524" s="1">
        <f>INDEX(rq_evidence_review!A:A, MATCH(B524, rq_evidence_review!B:B, 0))</f>
        <v>2</v>
      </c>
      <c r="B524" s="6" t="s">
        <v>29</v>
      </c>
      <c r="C524" s="1">
        <f t="shared" si="59"/>
        <v>521</v>
      </c>
      <c r="D524" s="1">
        <f>VLOOKUP(B524,rq_evidence_review!$B$1:$L$55,7,FALSE)</f>
        <v>41</v>
      </c>
      <c r="E524" s="8" t="s">
        <v>743</v>
      </c>
      <c r="F524" s="1" t="str">
        <f t="shared" si="64"/>
        <v/>
      </c>
      <c r="H524" s="1" t="str">
        <f t="shared" si="60"/>
        <v>Ching HL</v>
      </c>
      <c r="I524" s="1" t="str">
        <f t="shared" si="63"/>
        <v>2007</v>
      </c>
      <c r="J524" s="1" t="str">
        <f t="shared" si="61"/>
        <v>Ching HL et al., 2007</v>
      </c>
      <c r="K524" s="9" t="s">
        <v>1608</v>
      </c>
      <c r="L524" s="1" t="str">
        <f t="shared" si="62"/>
        <v/>
      </c>
    </row>
    <row r="525" spans="1:12" hidden="1" x14ac:dyDescent="0.25">
      <c r="A525" s="1">
        <f>INDEX(rq_evidence_review!A:A, MATCH(B525, rq_evidence_review!B:B, 0))</f>
        <v>2</v>
      </c>
      <c r="B525" s="6" t="s">
        <v>29</v>
      </c>
      <c r="C525" s="1">
        <f t="shared" si="59"/>
        <v>522</v>
      </c>
      <c r="D525" s="1">
        <f>VLOOKUP(B525,rq_evidence_review!$B$1:$L$55,7,FALSE)</f>
        <v>41</v>
      </c>
      <c r="E525" s="8" t="s">
        <v>744</v>
      </c>
      <c r="F525" s="1" t="str">
        <f t="shared" si="64"/>
        <v/>
      </c>
      <c r="H525" s="1" t="str">
        <f t="shared" si="60"/>
        <v>Crete J</v>
      </c>
      <c r="I525" s="1" t="str">
        <f t="shared" si="63"/>
        <v>2011</v>
      </c>
      <c r="J525" s="1" t="str">
        <f t="shared" si="61"/>
        <v>Crete J et al., 2011</v>
      </c>
      <c r="K525" s="9" t="s">
        <v>1609</v>
      </c>
      <c r="L525" s="10">
        <v>21357181</v>
      </c>
    </row>
    <row r="526" spans="1:12" ht="30" hidden="1" x14ac:dyDescent="0.25">
      <c r="A526" s="1">
        <f>INDEX(rq_evidence_review!A:A, MATCH(B526, rq_evidence_review!B:B, 0))</f>
        <v>2</v>
      </c>
      <c r="B526" s="6" t="s">
        <v>29</v>
      </c>
      <c r="C526" s="1">
        <f t="shared" si="59"/>
        <v>523</v>
      </c>
      <c r="D526" s="1">
        <f>VLOOKUP(B526,rq_evidence_review!$B$1:$L$55,7,FALSE)</f>
        <v>41</v>
      </c>
      <c r="E526" s="8" t="s">
        <v>745</v>
      </c>
      <c r="F526" s="1" t="str">
        <f t="shared" si="64"/>
        <v/>
      </c>
      <c r="H526" s="1" t="str">
        <f t="shared" si="60"/>
        <v>Ee C</v>
      </c>
      <c r="I526" s="1" t="str">
        <f t="shared" si="63"/>
        <v>2020</v>
      </c>
      <c r="J526" s="1" t="str">
        <f t="shared" si="61"/>
        <v>Ee C et al., 2020</v>
      </c>
      <c r="K526" s="9" t="s">
        <v>1610</v>
      </c>
      <c r="L526" s="1" t="str">
        <f t="shared" si="62"/>
        <v/>
      </c>
    </row>
    <row r="527" spans="1:12" ht="30" hidden="1" x14ac:dyDescent="0.25">
      <c r="A527" s="1">
        <f>INDEX(rq_evidence_review!A:A, MATCH(B527, rq_evidence_review!B:B, 0))</f>
        <v>2</v>
      </c>
      <c r="B527" s="6" t="s">
        <v>29</v>
      </c>
      <c r="C527" s="1">
        <f t="shared" si="59"/>
        <v>524</v>
      </c>
      <c r="D527" s="1">
        <f>VLOOKUP(B527,rq_evidence_review!$B$1:$L$55,7,FALSE)</f>
        <v>41</v>
      </c>
      <c r="E527" s="8" t="s">
        <v>746</v>
      </c>
      <c r="F527" s="1" t="str">
        <f t="shared" si="64"/>
        <v/>
      </c>
      <c r="H527" s="1" t="str">
        <f t="shared" si="60"/>
        <v>Gibson-Helm ME</v>
      </c>
      <c r="I527" s="1" t="str">
        <f t="shared" si="63"/>
        <v>2014</v>
      </c>
      <c r="J527" s="1" t="str">
        <f t="shared" si="61"/>
        <v>Gibson-Helm ME et al., 2014</v>
      </c>
      <c r="K527" s="9" t="s">
        <v>1611</v>
      </c>
      <c r="L527" s="1" t="str">
        <f t="shared" si="62"/>
        <v/>
      </c>
    </row>
    <row r="528" spans="1:12" ht="30" hidden="1" x14ac:dyDescent="0.25">
      <c r="A528" s="1">
        <f>INDEX(rq_evidence_review!A:A, MATCH(B528, rq_evidence_review!B:B, 0))</f>
        <v>2</v>
      </c>
      <c r="B528" s="6" t="s">
        <v>29</v>
      </c>
      <c r="C528" s="1">
        <f t="shared" si="59"/>
        <v>525</v>
      </c>
      <c r="D528" s="1">
        <f>VLOOKUP(B528,rq_evidence_review!$B$1:$L$55,7,FALSE)</f>
        <v>41</v>
      </c>
      <c r="E528" s="8" t="s">
        <v>747</v>
      </c>
      <c r="F528" s="1" t="str">
        <f t="shared" si="64"/>
        <v/>
      </c>
      <c r="H528" s="1" t="str">
        <f t="shared" si="60"/>
        <v>Gibson-Helm M</v>
      </c>
      <c r="I528" s="1" t="str">
        <f t="shared" si="63"/>
        <v>2017</v>
      </c>
      <c r="J528" s="1" t="str">
        <f t="shared" si="61"/>
        <v>Gibson-Helm M et al., 2017</v>
      </c>
      <c r="K528" s="9" t="s">
        <v>1612</v>
      </c>
      <c r="L528" s="1" t="str">
        <f t="shared" si="62"/>
        <v/>
      </c>
    </row>
    <row r="529" spans="1:12" ht="30" hidden="1" x14ac:dyDescent="0.25">
      <c r="A529" s="1">
        <f>INDEX(rq_evidence_review!A:A, MATCH(B529, rq_evidence_review!B:B, 0))</f>
        <v>2</v>
      </c>
      <c r="B529" s="6" t="s">
        <v>29</v>
      </c>
      <c r="C529" s="1">
        <f t="shared" si="59"/>
        <v>526</v>
      </c>
      <c r="D529" s="1">
        <f>VLOOKUP(B529,rq_evidence_review!$B$1:$L$55,7,FALSE)</f>
        <v>41</v>
      </c>
      <c r="E529" s="8" t="s">
        <v>748</v>
      </c>
      <c r="F529" s="1" t="str">
        <f t="shared" si="64"/>
        <v/>
      </c>
      <c r="H529" s="1" t="str">
        <f t="shared" si="60"/>
        <v>Hadjiconstantinou M</v>
      </c>
      <c r="I529" s="1" t="str">
        <f t="shared" si="63"/>
        <v>2017</v>
      </c>
      <c r="J529" s="1" t="str">
        <f t="shared" si="61"/>
        <v>Hadjiconstantinou M et al., 2017</v>
      </c>
      <c r="K529" s="9" t="s">
        <v>1613</v>
      </c>
      <c r="L529" s="1" t="str">
        <f t="shared" si="62"/>
        <v/>
      </c>
    </row>
    <row r="530" spans="1:12" ht="30" hidden="1" x14ac:dyDescent="0.25">
      <c r="A530" s="1">
        <f>INDEX(rq_evidence_review!A:A, MATCH(B530, rq_evidence_review!B:B, 0))</f>
        <v>2</v>
      </c>
      <c r="B530" s="6" t="s">
        <v>29</v>
      </c>
      <c r="C530" s="1">
        <f t="shared" si="59"/>
        <v>527</v>
      </c>
      <c r="D530" s="1">
        <f>VLOOKUP(B530,rq_evidence_review!$B$1:$L$55,7,FALSE)</f>
        <v>41</v>
      </c>
      <c r="E530" s="8" t="s">
        <v>749</v>
      </c>
      <c r="F530" s="1" t="str">
        <f t="shared" si="64"/>
        <v/>
      </c>
      <c r="H530" s="1" t="str">
        <f t="shared" si="60"/>
        <v>Hillman SC</v>
      </c>
      <c r="I530" s="1" t="str">
        <f t="shared" si="63"/>
        <v>2020</v>
      </c>
      <c r="J530" s="1" t="str">
        <f t="shared" si="61"/>
        <v>Hillman SC et al., 2020</v>
      </c>
      <c r="K530" s="9" t="s">
        <v>1614</v>
      </c>
      <c r="L530" s="1" t="str">
        <f t="shared" si="62"/>
        <v/>
      </c>
    </row>
    <row r="531" spans="1:12" ht="30" hidden="1" x14ac:dyDescent="0.25">
      <c r="A531" s="1">
        <f>INDEX(rq_evidence_review!A:A, MATCH(B531, rq_evidence_review!B:B, 0))</f>
        <v>2</v>
      </c>
      <c r="B531" s="6" t="s">
        <v>29</v>
      </c>
      <c r="C531" s="1">
        <f t="shared" si="59"/>
        <v>528</v>
      </c>
      <c r="D531" s="1">
        <f>VLOOKUP(B531,rq_evidence_review!$B$1:$L$55,7,FALSE)</f>
        <v>41</v>
      </c>
      <c r="E531" s="8" t="s">
        <v>750</v>
      </c>
      <c r="F531" s="1" t="str">
        <f t="shared" si="64"/>
        <v/>
      </c>
      <c r="H531" s="1" t="str">
        <f t="shared" si="60"/>
        <v>Holbrey S</v>
      </c>
      <c r="I531" s="1" t="str">
        <f t="shared" si="63"/>
        <v>2013</v>
      </c>
      <c r="J531" s="1" t="str">
        <f t="shared" si="61"/>
        <v>Holbrey S et al., 2013</v>
      </c>
      <c r="K531" s="9" t="s">
        <v>1615</v>
      </c>
      <c r="L531" s="1" t="str">
        <f t="shared" si="62"/>
        <v/>
      </c>
    </row>
    <row r="532" spans="1:12" ht="30" hidden="1" x14ac:dyDescent="0.25">
      <c r="A532" s="1">
        <f>INDEX(rq_evidence_review!A:A, MATCH(B532, rq_evidence_review!B:B, 0))</f>
        <v>2</v>
      </c>
      <c r="B532" s="6" t="s">
        <v>29</v>
      </c>
      <c r="C532" s="1">
        <f t="shared" si="59"/>
        <v>529</v>
      </c>
      <c r="D532" s="1">
        <f>VLOOKUP(B532,rq_evidence_review!$B$1:$L$55,7,FALSE)</f>
        <v>41</v>
      </c>
      <c r="E532" s="8" t="s">
        <v>751</v>
      </c>
      <c r="F532" s="1" t="str">
        <f t="shared" si="64"/>
        <v/>
      </c>
      <c r="H532" s="1" t="str">
        <f t="shared" si="60"/>
        <v>Hoyos LR</v>
      </c>
      <c r="I532" s="1" t="str">
        <f t="shared" si="63"/>
        <v>2020</v>
      </c>
      <c r="J532" s="1" t="str">
        <f t="shared" si="61"/>
        <v>Hoyos LR et al., 2020</v>
      </c>
      <c r="K532" s="9" t="s">
        <v>1616</v>
      </c>
      <c r="L532" s="1" t="str">
        <f t="shared" si="62"/>
        <v/>
      </c>
    </row>
    <row r="533" spans="1:12" ht="30" hidden="1" x14ac:dyDescent="0.25">
      <c r="A533" s="1">
        <f>INDEX(rq_evidence_review!A:A, MATCH(B533, rq_evidence_review!B:B, 0))</f>
        <v>2</v>
      </c>
      <c r="B533" s="6" t="s">
        <v>29</v>
      </c>
      <c r="C533" s="1">
        <f t="shared" si="59"/>
        <v>530</v>
      </c>
      <c r="D533" s="1">
        <f>VLOOKUP(B533,rq_evidence_review!$B$1:$L$55,7,FALSE)</f>
        <v>41</v>
      </c>
      <c r="E533" s="8" t="s">
        <v>752</v>
      </c>
      <c r="F533" s="1" t="str">
        <f t="shared" si="64"/>
        <v/>
      </c>
      <c r="H533" s="1" t="str">
        <f t="shared" si="60"/>
        <v>Humphreys L</v>
      </c>
      <c r="I533" s="1" t="str">
        <f t="shared" si="63"/>
        <v>2008</v>
      </c>
      <c r="J533" s="1" t="str">
        <f t="shared" si="61"/>
        <v>Humphreys L et al., 2008</v>
      </c>
      <c r="K533" s="9" t="s">
        <v>1617</v>
      </c>
      <c r="L533" s="1" t="str">
        <f t="shared" si="62"/>
        <v/>
      </c>
    </row>
    <row r="534" spans="1:12" ht="30" hidden="1" x14ac:dyDescent="0.25">
      <c r="A534" s="1">
        <f>INDEX(rq_evidence_review!A:A, MATCH(B534, rq_evidence_review!B:B, 0))</f>
        <v>2</v>
      </c>
      <c r="B534" s="6" t="s">
        <v>29</v>
      </c>
      <c r="C534" s="1">
        <f t="shared" si="59"/>
        <v>531</v>
      </c>
      <c r="D534" s="1">
        <f>VLOOKUP(B534,rq_evidence_review!$B$1:$L$55,7,FALSE)</f>
        <v>41</v>
      </c>
      <c r="E534" s="8" t="s">
        <v>753</v>
      </c>
      <c r="F534" s="1" t="str">
        <f t="shared" si="64"/>
        <v/>
      </c>
      <c r="H534" s="1" t="str">
        <f t="shared" si="60"/>
        <v>Ismayilova M</v>
      </c>
      <c r="I534" s="1" t="str">
        <f t="shared" si="63"/>
        <v>2022</v>
      </c>
      <c r="J534" s="1" t="str">
        <f t="shared" si="61"/>
        <v>Ismayilova M et al., 2022</v>
      </c>
      <c r="K534" s="9" t="s">
        <v>1618</v>
      </c>
      <c r="L534" s="1" t="str">
        <f t="shared" si="62"/>
        <v/>
      </c>
    </row>
    <row r="535" spans="1:12" ht="30" hidden="1" x14ac:dyDescent="0.25">
      <c r="A535" s="1">
        <f>INDEX(rq_evidence_review!A:A, MATCH(B535, rq_evidence_review!B:B, 0))</f>
        <v>2</v>
      </c>
      <c r="B535" s="6" t="s">
        <v>29</v>
      </c>
      <c r="C535" s="1">
        <f t="shared" si="59"/>
        <v>532</v>
      </c>
      <c r="D535" s="1">
        <f>VLOOKUP(B535,rq_evidence_review!$B$1:$L$55,7,FALSE)</f>
        <v>41</v>
      </c>
      <c r="E535" s="8" t="s">
        <v>754</v>
      </c>
      <c r="F535" s="1" t="str">
        <f t="shared" si="64"/>
        <v/>
      </c>
      <c r="H535" s="1" t="str">
        <f t="shared" si="60"/>
        <v>Ismayilova M</v>
      </c>
      <c r="I535" s="1" t="str">
        <f t="shared" si="63"/>
        <v>2022</v>
      </c>
      <c r="J535" s="1" t="str">
        <f t="shared" si="61"/>
        <v>Ismayilova M et al., 2022</v>
      </c>
      <c r="K535" s="9" t="s">
        <v>1619</v>
      </c>
      <c r="L535" s="1" t="str">
        <f t="shared" si="62"/>
        <v/>
      </c>
    </row>
    <row r="536" spans="1:12" ht="30" hidden="1" x14ac:dyDescent="0.25">
      <c r="A536" s="1">
        <f>INDEX(rq_evidence_review!A:A, MATCH(B536, rq_evidence_review!B:B, 0))</f>
        <v>2</v>
      </c>
      <c r="B536" s="6" t="s">
        <v>29</v>
      </c>
      <c r="C536" s="1">
        <f t="shared" si="59"/>
        <v>533</v>
      </c>
      <c r="D536" s="1">
        <f>VLOOKUP(B536,rq_evidence_review!$B$1:$L$55,7,FALSE)</f>
        <v>41</v>
      </c>
      <c r="E536" s="8" t="s">
        <v>755</v>
      </c>
      <c r="F536" s="1" t="str">
        <f t="shared" si="64"/>
        <v/>
      </c>
      <c r="H536" s="1" t="str">
        <f t="shared" si="60"/>
        <v>Kaur I</v>
      </c>
      <c r="I536" s="1" t="str">
        <f t="shared" si="63"/>
        <v>2021</v>
      </c>
      <c r="J536" s="1" t="str">
        <f t="shared" si="61"/>
        <v>Kaur I et al., 2021</v>
      </c>
      <c r="K536" s="9" t="s">
        <v>1620</v>
      </c>
      <c r="L536" s="1" t="str">
        <f t="shared" si="62"/>
        <v/>
      </c>
    </row>
    <row r="537" spans="1:12" ht="30" hidden="1" x14ac:dyDescent="0.25">
      <c r="A537" s="1">
        <f>INDEX(rq_evidence_review!A:A, MATCH(B537, rq_evidence_review!B:B, 0))</f>
        <v>2</v>
      </c>
      <c r="B537" s="6" t="s">
        <v>29</v>
      </c>
      <c r="C537" s="1">
        <f t="shared" si="59"/>
        <v>534</v>
      </c>
      <c r="D537" s="1">
        <f>VLOOKUP(B537,rq_evidence_review!$B$1:$L$55,7,FALSE)</f>
        <v>41</v>
      </c>
      <c r="E537" s="8" t="s">
        <v>756</v>
      </c>
      <c r="F537" s="1" t="str">
        <f t="shared" si="64"/>
        <v/>
      </c>
      <c r="H537" s="1" t="str">
        <f t="shared" si="60"/>
        <v>Khan NN</v>
      </c>
      <c r="I537" s="1" t="str">
        <f t="shared" si="63"/>
        <v>2018</v>
      </c>
      <c r="J537" s="1" t="str">
        <f t="shared" si="61"/>
        <v>Khan NN et al., 2018</v>
      </c>
      <c r="K537" s="9" t="s">
        <v>1621</v>
      </c>
      <c r="L537" s="1" t="str">
        <f t="shared" si="62"/>
        <v/>
      </c>
    </row>
    <row r="538" spans="1:12" ht="30" hidden="1" x14ac:dyDescent="0.25">
      <c r="A538" s="1">
        <f>INDEX(rq_evidence_review!A:A, MATCH(B538, rq_evidence_review!B:B, 0))</f>
        <v>2</v>
      </c>
      <c r="B538" s="6" t="s">
        <v>29</v>
      </c>
      <c r="C538" s="1">
        <f t="shared" si="59"/>
        <v>535</v>
      </c>
      <c r="D538" s="1">
        <f>VLOOKUP(B538,rq_evidence_review!$B$1:$L$55,7,FALSE)</f>
        <v>41</v>
      </c>
      <c r="E538" s="8" t="s">
        <v>757</v>
      </c>
      <c r="F538" s="1" t="str">
        <f t="shared" si="64"/>
        <v/>
      </c>
      <c r="H538" s="1" t="str">
        <f t="shared" si="60"/>
        <v>PeÃ±a AS</v>
      </c>
      <c r="I538" s="1" t="str">
        <f t="shared" si="63"/>
        <v>2022</v>
      </c>
      <c r="J538" s="1" t="str">
        <f t="shared" si="61"/>
        <v>PeÃ±a AS et al., 2022</v>
      </c>
      <c r="K538" s="9" t="s">
        <v>1622</v>
      </c>
      <c r="L538" s="1" t="str">
        <f t="shared" si="62"/>
        <v/>
      </c>
    </row>
    <row r="539" spans="1:12" ht="30" hidden="1" x14ac:dyDescent="0.25">
      <c r="A539" s="1">
        <f>INDEX(rq_evidence_review!A:A, MATCH(B539, rq_evidence_review!B:B, 0))</f>
        <v>2</v>
      </c>
      <c r="B539" s="6" t="s">
        <v>29</v>
      </c>
      <c r="C539" s="1">
        <f t="shared" si="59"/>
        <v>536</v>
      </c>
      <c r="D539" s="1">
        <f>VLOOKUP(B539,rq_evidence_review!$B$1:$L$55,7,FALSE)</f>
        <v>41</v>
      </c>
      <c r="E539" s="8" t="s">
        <v>758</v>
      </c>
      <c r="F539" s="1" t="str">
        <f t="shared" si="64"/>
        <v/>
      </c>
      <c r="H539" s="1" t="str">
        <f t="shared" si="60"/>
        <v>Pirotta S</v>
      </c>
      <c r="I539" s="1" t="str">
        <f t="shared" si="63"/>
        <v>2021</v>
      </c>
      <c r="J539" s="1" t="str">
        <f t="shared" si="61"/>
        <v>Pirotta S et al., 2021</v>
      </c>
      <c r="K539" s="9" t="s">
        <v>1623</v>
      </c>
      <c r="L539" s="1" t="str">
        <f t="shared" si="62"/>
        <v/>
      </c>
    </row>
    <row r="540" spans="1:12" ht="30" hidden="1" x14ac:dyDescent="0.25">
      <c r="A540" s="1">
        <f>INDEX(rq_evidence_review!A:A, MATCH(B540, rq_evidence_review!B:B, 0))</f>
        <v>2</v>
      </c>
      <c r="B540" s="6" t="s">
        <v>29</v>
      </c>
      <c r="C540" s="1">
        <f t="shared" si="59"/>
        <v>537</v>
      </c>
      <c r="D540" s="1">
        <f>VLOOKUP(B540,rq_evidence_review!$B$1:$L$55,7,FALSE)</f>
        <v>41</v>
      </c>
      <c r="E540" s="8" t="s">
        <v>759</v>
      </c>
      <c r="F540" s="1" t="str">
        <f t="shared" si="64"/>
        <v/>
      </c>
      <c r="H540" s="1" t="str">
        <f t="shared" si="60"/>
        <v>Pirotta S</v>
      </c>
      <c r="I540" s="1" t="str">
        <f t="shared" si="63"/>
        <v>2021</v>
      </c>
      <c r="J540" s="1" t="str">
        <f t="shared" si="61"/>
        <v>Pirotta S et al., 2021</v>
      </c>
      <c r="K540" s="9" t="s">
        <v>1624</v>
      </c>
      <c r="L540" s="1" t="str">
        <f t="shared" si="62"/>
        <v/>
      </c>
    </row>
    <row r="541" spans="1:12" ht="30" hidden="1" x14ac:dyDescent="0.25">
      <c r="A541" s="1">
        <f>INDEX(rq_evidence_review!A:A, MATCH(B541, rq_evidence_review!B:B, 0))</f>
        <v>2</v>
      </c>
      <c r="B541" s="6" t="s">
        <v>29</v>
      </c>
      <c r="C541" s="1">
        <f t="shared" si="59"/>
        <v>538</v>
      </c>
      <c r="D541" s="1">
        <f>VLOOKUP(B541,rq_evidence_review!$B$1:$L$55,7,FALSE)</f>
        <v>41</v>
      </c>
      <c r="E541" s="8" t="s">
        <v>760</v>
      </c>
      <c r="F541" s="1" t="str">
        <f t="shared" si="64"/>
        <v/>
      </c>
      <c r="H541" s="1" t="str">
        <f t="shared" si="60"/>
        <v>Sills ES</v>
      </c>
      <c r="I541" s="1" t="str">
        <f t="shared" si="63"/>
        <v>2001</v>
      </c>
      <c r="J541" s="1" t="str">
        <f t="shared" si="61"/>
        <v>Sills ES et al., 2001</v>
      </c>
      <c r="K541" s="9" t="s">
        <v>1625</v>
      </c>
      <c r="L541" s="1" t="str">
        <f t="shared" si="62"/>
        <v/>
      </c>
    </row>
    <row r="542" spans="1:12" ht="30" hidden="1" x14ac:dyDescent="0.25">
      <c r="A542" s="1">
        <f>INDEX(rq_evidence_review!A:A, MATCH(B542, rq_evidence_review!B:B, 0))</f>
        <v>2</v>
      </c>
      <c r="B542" s="6" t="s">
        <v>29</v>
      </c>
      <c r="C542" s="1">
        <f t="shared" ref="C542:C550" si="65">C541+1</f>
        <v>539</v>
      </c>
      <c r="D542" s="1">
        <f>VLOOKUP(B542,rq_evidence_review!$B$1:$L$55,7,FALSE)</f>
        <v>41</v>
      </c>
      <c r="E542" s="8" t="s">
        <v>761</v>
      </c>
      <c r="F542" s="1" t="str">
        <f t="shared" si="64"/>
        <v/>
      </c>
      <c r="H542" s="1" t="str">
        <f t="shared" si="60"/>
        <v>Tomlinson J</v>
      </c>
      <c r="I542" s="1" t="str">
        <f t="shared" si="63"/>
        <v>2017</v>
      </c>
      <c r="J542" s="1" t="str">
        <f t="shared" si="61"/>
        <v>Tomlinson J et al., 2017</v>
      </c>
      <c r="K542" s="9" t="s">
        <v>1626</v>
      </c>
      <c r="L542" s="1" t="str">
        <f t="shared" si="62"/>
        <v/>
      </c>
    </row>
    <row r="543" spans="1:12" ht="30" hidden="1" x14ac:dyDescent="0.25">
      <c r="A543" s="1">
        <f>INDEX(rq_evidence_review!A:A, MATCH(B543, rq_evidence_review!B:B, 0))</f>
        <v>2</v>
      </c>
      <c r="B543" s="6" t="s">
        <v>29</v>
      </c>
      <c r="C543" s="1">
        <f t="shared" si="65"/>
        <v>540</v>
      </c>
      <c r="D543" s="1">
        <f>VLOOKUP(B543,rq_evidence_review!$B$1:$L$55,7,FALSE)</f>
        <v>41</v>
      </c>
      <c r="E543" s="8" t="s">
        <v>762</v>
      </c>
      <c r="F543" s="1" t="str">
        <f t="shared" si="64"/>
        <v/>
      </c>
      <c r="H543" s="1" t="str">
        <f t="shared" si="60"/>
        <v>Trent ME</v>
      </c>
      <c r="I543" s="1" t="str">
        <f t="shared" si="63"/>
        <v>2003</v>
      </c>
      <c r="J543" s="1" t="str">
        <f t="shared" si="61"/>
        <v>Trent ME et al., 2003</v>
      </c>
      <c r="K543" s="9" t="s">
        <v>1627</v>
      </c>
      <c r="L543" s="1" t="str">
        <f t="shared" si="62"/>
        <v/>
      </c>
    </row>
    <row r="544" spans="1:12" ht="30" hidden="1" x14ac:dyDescent="0.25">
      <c r="A544" s="1">
        <f>INDEX(rq_evidence_review!A:A, MATCH(B544, rq_evidence_review!B:B, 0))</f>
        <v>2</v>
      </c>
      <c r="B544" s="6" t="s">
        <v>29</v>
      </c>
      <c r="C544" s="1">
        <f t="shared" si="65"/>
        <v>541</v>
      </c>
      <c r="D544" s="1">
        <f>VLOOKUP(B544,rq_evidence_review!$B$1:$L$55,7,FALSE)</f>
        <v>41</v>
      </c>
      <c r="E544" s="8" t="s">
        <v>763</v>
      </c>
      <c r="F544" s="1" t="str">
        <f t="shared" si="64"/>
        <v/>
      </c>
      <c r="H544" s="1" t="str">
        <f t="shared" ref="H544:H608" si="66">LEFT(E544, FIND(",", E544) - 1)</f>
        <v>Weiss TR</v>
      </c>
      <c r="I544" s="1" t="str">
        <f t="shared" si="63"/>
        <v>2011</v>
      </c>
      <c r="J544" s="1" t="str">
        <f t="shared" ref="J544:J608" si="67">H544 &amp; " et al., " &amp; I544</f>
        <v>Weiss TR et al., 2011</v>
      </c>
      <c r="K544" s="9" t="s">
        <v>1628</v>
      </c>
      <c r="L544" s="1" t="str">
        <f t="shared" ref="L544:L608" si="68">ExtractPMID(E544)</f>
        <v/>
      </c>
    </row>
    <row r="545" spans="1:12" ht="30" hidden="1" x14ac:dyDescent="0.25">
      <c r="A545" s="1">
        <f>INDEX(rq_evidence_review!A:A, MATCH(B545, rq_evidence_review!B:B, 0))</f>
        <v>2</v>
      </c>
      <c r="B545" s="6" t="s">
        <v>29</v>
      </c>
      <c r="C545" s="1">
        <f t="shared" si="65"/>
        <v>542</v>
      </c>
      <c r="D545" s="1">
        <f>VLOOKUP(B545,rq_evidence_review!$B$1:$L$55,7,FALSE)</f>
        <v>41</v>
      </c>
      <c r="E545" s="8" t="s">
        <v>764</v>
      </c>
      <c r="F545" s="1" t="str">
        <f t="shared" si="64"/>
        <v/>
      </c>
      <c r="H545" s="1" t="str">
        <f t="shared" si="66"/>
        <v>Williams S</v>
      </c>
      <c r="I545" s="1" t="str">
        <f t="shared" ref="I545:I609" si="69">ExtractYear(E545)</f>
        <v>2015</v>
      </c>
      <c r="J545" s="1" t="str">
        <f t="shared" si="67"/>
        <v>Williams S et al., 2015</v>
      </c>
      <c r="K545" s="9" t="s">
        <v>1644</v>
      </c>
      <c r="L545" s="1" t="str">
        <f t="shared" si="68"/>
        <v/>
      </c>
    </row>
    <row r="546" spans="1:12" ht="30" hidden="1" x14ac:dyDescent="0.25">
      <c r="A546" s="1">
        <f>INDEX(rq_evidence_review!A:A, MATCH(B546, rq_evidence_review!B:B, 0))</f>
        <v>2</v>
      </c>
      <c r="B546" s="6" t="str">
        <f>rq_evidence_review!B21</f>
        <v>2.6.2</v>
      </c>
      <c r="C546" s="1">
        <f t="shared" si="65"/>
        <v>543</v>
      </c>
      <c r="D546" s="1">
        <f>VLOOKUP(B546,rq_evidence_review!$B$1:$L$55,7,FALSE)</f>
        <v>5</v>
      </c>
      <c r="E546" s="8" t="s">
        <v>765</v>
      </c>
      <c r="F546" s="1" t="str">
        <f t="shared" si="64"/>
        <v/>
      </c>
      <c r="H546" s="1" t="str">
        <f t="shared" si="66"/>
        <v>Bekx MT</v>
      </c>
      <c r="I546" s="1" t="str">
        <f t="shared" si="69"/>
        <v>2010</v>
      </c>
      <c r="J546" s="1" t="str">
        <f t="shared" si="67"/>
        <v>Bekx MT et al., 2010</v>
      </c>
      <c r="K546" s="1" t="str">
        <f t="shared" ref="K546:K551" si="70">ExtractDOI(E546)</f>
        <v>10.1016/j.jpag.2009.04.004</v>
      </c>
      <c r="L546" s="1" t="str">
        <f t="shared" si="68"/>
        <v>19648034</v>
      </c>
    </row>
    <row r="547" spans="1:12" ht="30" hidden="1" x14ac:dyDescent="0.25">
      <c r="A547" s="1">
        <f>INDEX(rq_evidence_review!A:A, MATCH(B547, rq_evidence_review!B:B, 0))</f>
        <v>2</v>
      </c>
      <c r="B547" s="6" t="s">
        <v>10</v>
      </c>
      <c r="C547" s="1">
        <f t="shared" si="65"/>
        <v>544</v>
      </c>
      <c r="D547" s="1">
        <f>VLOOKUP(B547,rq_evidence_review!$B$1:$L$55,7,FALSE)</f>
        <v>5</v>
      </c>
      <c r="E547" s="8" t="s">
        <v>766</v>
      </c>
      <c r="F547" s="1" t="str">
        <f t="shared" si="64"/>
        <v/>
      </c>
      <c r="H547" s="1" t="str">
        <f t="shared" si="66"/>
        <v>Geier LM</v>
      </c>
      <c r="I547" s="1" t="str">
        <f t="shared" si="69"/>
        <v>2012</v>
      </c>
      <c r="J547" s="1" t="str">
        <f t="shared" si="67"/>
        <v>Geier LM et al., 2012</v>
      </c>
      <c r="K547" s="1" t="str">
        <f t="shared" si="70"/>
        <v>10.1016/j.jpag.2012.06.008</v>
      </c>
      <c r="L547" s="1" t="str">
        <f t="shared" si="68"/>
        <v>23089571</v>
      </c>
    </row>
    <row r="548" spans="1:12" ht="45" hidden="1" x14ac:dyDescent="0.25">
      <c r="A548" s="1">
        <f>INDEX(rq_evidence_review!A:A, MATCH(B548, rq_evidence_review!B:B, 0))</f>
        <v>2</v>
      </c>
      <c r="B548" s="6" t="s">
        <v>10</v>
      </c>
      <c r="C548" s="1">
        <f t="shared" si="65"/>
        <v>545</v>
      </c>
      <c r="D548" s="1">
        <f>VLOOKUP(B548,rq_evidence_review!$B$1:$L$55,7,FALSE)</f>
        <v>5</v>
      </c>
      <c r="E548" s="8" t="s">
        <v>767</v>
      </c>
      <c r="F548" s="1" t="str">
        <f t="shared" si="64"/>
        <v/>
      </c>
      <c r="H548" s="1" t="str">
        <f t="shared" si="66"/>
        <v>Torres-Zegarra C</v>
      </c>
      <c r="I548" s="1" t="str">
        <f t="shared" si="69"/>
        <v>2021</v>
      </c>
      <c r="J548" s="1" t="str">
        <f t="shared" si="67"/>
        <v>Torres-Zegarra C et al., 2021</v>
      </c>
      <c r="K548" s="1" t="str">
        <f t="shared" si="70"/>
        <v>10.1016/j.jpag.2021.02.002</v>
      </c>
      <c r="L548" s="1" t="str">
        <f t="shared" si="68"/>
        <v>33794340</v>
      </c>
    </row>
    <row r="549" spans="1:12" ht="30" hidden="1" x14ac:dyDescent="0.25">
      <c r="A549" s="1">
        <f>INDEX(rq_evidence_review!A:A, MATCH(B549, rq_evidence_review!B:B, 0))</f>
        <v>2</v>
      </c>
      <c r="B549" s="6" t="s">
        <v>10</v>
      </c>
      <c r="C549" s="1">
        <f t="shared" si="65"/>
        <v>546</v>
      </c>
      <c r="D549" s="1">
        <f>VLOOKUP(B549,rq_evidence_review!$B$1:$L$55,7,FALSE)</f>
        <v>5</v>
      </c>
      <c r="E549" s="8" t="s">
        <v>768</v>
      </c>
      <c r="F549" s="1" t="str">
        <f t="shared" si="64"/>
        <v/>
      </c>
      <c r="H549" s="1" t="str">
        <f t="shared" si="66"/>
        <v>Boyle J</v>
      </c>
      <c r="I549" s="1" t="str">
        <f t="shared" si="69"/>
        <v>2017</v>
      </c>
      <c r="J549" s="1" t="str">
        <f t="shared" si="67"/>
        <v>Boyle J et al., 2017</v>
      </c>
      <c r="K549" s="1" t="str">
        <f t="shared" si="70"/>
        <v>10.1111/ajr.12288</v>
      </c>
      <c r="L549" s="1" t="str">
        <f t="shared" si="68"/>
        <v>27086940</v>
      </c>
    </row>
    <row r="550" spans="1:12" ht="45" hidden="1" x14ac:dyDescent="0.25">
      <c r="A550" s="1">
        <f>INDEX(rq_evidence_review!A:A, MATCH(B550, rq_evidence_review!B:B, 0))</f>
        <v>2</v>
      </c>
      <c r="B550" s="6" t="s">
        <v>10</v>
      </c>
      <c r="C550" s="1">
        <f t="shared" si="65"/>
        <v>547</v>
      </c>
      <c r="D550" s="1">
        <f>VLOOKUP(B550,rq_evidence_review!$B$1:$L$55,7,FALSE)</f>
        <v>5</v>
      </c>
      <c r="E550" s="8" t="s">
        <v>769</v>
      </c>
      <c r="F550" s="1" t="str">
        <f t="shared" si="64"/>
        <v/>
      </c>
      <c r="H550" s="1" t="str">
        <f t="shared" si="66"/>
        <v>Tay CT</v>
      </c>
      <c r="I550" s="1" t="str">
        <f t="shared" si="69"/>
        <v>2021</v>
      </c>
      <c r="J550" s="1" t="str">
        <f t="shared" si="67"/>
        <v>Tay CT et al., 2021</v>
      </c>
      <c r="K550" s="1" t="str">
        <f t="shared" si="70"/>
        <v>10.1055/s-0041-1727191</v>
      </c>
      <c r="L550" s="1" t="str">
        <f t="shared" si="68"/>
        <v>34187051</v>
      </c>
    </row>
    <row r="551" spans="1:12" hidden="1" x14ac:dyDescent="0.25">
      <c r="A551" s="1">
        <f>INDEX(rq_evidence_review!A:A, MATCH(B551, rq_evidence_review!B:B, 0))</f>
        <v>2</v>
      </c>
      <c r="B551" s="6" t="str">
        <f>rq_evidence_review!B22</f>
        <v>2.6.3</v>
      </c>
      <c r="D551" s="1">
        <f>VLOOKUP(B551,rq_evidence_review!$B$1:$L$55,7,FALSE)</f>
        <v>0</v>
      </c>
      <c r="F551" s="1" t="str">
        <f t="shared" si="64"/>
        <v/>
      </c>
      <c r="H551" s="1" t="e">
        <f t="shared" si="66"/>
        <v>#VALUE!</v>
      </c>
      <c r="I551" s="1" t="str">
        <f t="shared" si="69"/>
        <v/>
      </c>
      <c r="J551" s="1" t="e">
        <f t="shared" si="67"/>
        <v>#VALUE!</v>
      </c>
      <c r="K551" s="1" t="str">
        <f t="shared" si="70"/>
        <v/>
      </c>
      <c r="L551" s="1" t="str">
        <f t="shared" si="68"/>
        <v/>
      </c>
    </row>
    <row r="552" spans="1:12" ht="30" hidden="1" x14ac:dyDescent="0.25">
      <c r="A552" s="1">
        <f>INDEX(rq_evidence_review!A:A, MATCH(B552, rq_evidence_review!B:B, 0))</f>
        <v>2</v>
      </c>
      <c r="B552" s="6" t="str">
        <f>rq_evidence_review!B23</f>
        <v>2.6.4</v>
      </c>
      <c r="C552" s="1">
        <f>C550+1</f>
        <v>548</v>
      </c>
      <c r="D552" s="1">
        <f>VLOOKUP(B552,rq_evidence_review!$B$1:$L$55,7,FALSE)</f>
        <v>28</v>
      </c>
      <c r="E552" s="8" t="s">
        <v>770</v>
      </c>
      <c r="F552" s="1" t="str">
        <f t="shared" si="64"/>
        <v/>
      </c>
      <c r="H552" s="1" t="str">
        <f t="shared" si="66"/>
        <v>Atkinson L</v>
      </c>
      <c r="I552" s="1" t="str">
        <f t="shared" si="69"/>
        <v>2021</v>
      </c>
      <c r="J552" s="1" t="str">
        <f t="shared" si="67"/>
        <v>Atkinson L et al., 2021</v>
      </c>
      <c r="K552" s="9" t="s">
        <v>1629</v>
      </c>
      <c r="L552" s="1" t="str">
        <f t="shared" si="68"/>
        <v/>
      </c>
    </row>
    <row r="553" spans="1:12" ht="30" hidden="1" x14ac:dyDescent="0.25">
      <c r="A553" s="1">
        <f>INDEX(rq_evidence_review!A:A, MATCH(B553, rq_evidence_review!B:B, 0))</f>
        <v>2</v>
      </c>
      <c r="B553" s="6" t="s">
        <v>33</v>
      </c>
      <c r="C553" s="1">
        <f>C552+1</f>
        <v>549</v>
      </c>
      <c r="D553" s="1">
        <f>VLOOKUP(B553,rq_evidence_review!$B$1:$L$55,7,FALSE)</f>
        <v>28</v>
      </c>
      <c r="E553" s="8" t="s">
        <v>740</v>
      </c>
      <c r="F553" s="1" t="str">
        <f t="shared" si="64"/>
        <v/>
      </c>
      <c r="H553" s="1" t="str">
        <f t="shared" si="66"/>
        <v>Authier M</v>
      </c>
      <c r="I553" s="1" t="str">
        <f t="shared" si="69"/>
        <v>2020</v>
      </c>
      <c r="J553" s="1" t="str">
        <f t="shared" si="67"/>
        <v>Authier M et al., 2020</v>
      </c>
      <c r="K553" s="9" t="s">
        <v>1605</v>
      </c>
      <c r="L553" s="1">
        <v>21357181</v>
      </c>
    </row>
    <row r="554" spans="1:12" ht="30" hidden="1" x14ac:dyDescent="0.25">
      <c r="A554" s="1">
        <f>INDEX(rq_evidence_review!A:A, MATCH(B554, rq_evidence_review!B:B, 0))</f>
        <v>2</v>
      </c>
      <c r="B554" s="6" t="s">
        <v>33</v>
      </c>
      <c r="C554" s="1">
        <f t="shared" ref="C554:C604" si="71">C553+1</f>
        <v>550</v>
      </c>
      <c r="D554" s="1">
        <f>VLOOKUP(B554,rq_evidence_review!$B$1:$L$55,7,FALSE)</f>
        <v>28</v>
      </c>
      <c r="E554" s="8" t="s">
        <v>771</v>
      </c>
      <c r="F554" s="1" t="str">
        <f t="shared" si="64"/>
        <v/>
      </c>
      <c r="H554" s="1" t="str">
        <f t="shared" si="66"/>
        <v>Avery JC</v>
      </c>
      <c r="I554" s="1" t="str">
        <f t="shared" si="69"/>
        <v>2007</v>
      </c>
      <c r="J554" s="1" t="str">
        <f t="shared" si="67"/>
        <v>Avery JC et al., 2007</v>
      </c>
      <c r="K554" s="9" t="s">
        <v>1606</v>
      </c>
      <c r="L554" s="1" t="str">
        <f t="shared" si="68"/>
        <v/>
      </c>
    </row>
    <row r="555" spans="1:12" ht="30" hidden="1" x14ac:dyDescent="0.25">
      <c r="A555" s="1">
        <f>INDEX(rq_evidence_review!A:A, MATCH(B555, rq_evidence_review!B:B, 0))</f>
        <v>2</v>
      </c>
      <c r="B555" s="6" t="s">
        <v>33</v>
      </c>
      <c r="C555" s="1">
        <f t="shared" si="71"/>
        <v>551</v>
      </c>
      <c r="D555" s="1">
        <f>VLOOKUP(B555,rq_evidence_review!$B$1:$L$55,7,FALSE)</f>
        <v>28</v>
      </c>
      <c r="E555" s="8" t="s">
        <v>772</v>
      </c>
      <c r="F555" s="1" t="str">
        <f t="shared" si="64"/>
        <v/>
      </c>
      <c r="H555" s="1" t="str">
        <f t="shared" si="66"/>
        <v>Bazarganipour F</v>
      </c>
      <c r="I555" s="1" t="str">
        <f t="shared" si="69"/>
        <v>2017</v>
      </c>
      <c r="J555" s="1" t="str">
        <f t="shared" si="67"/>
        <v>Bazarganipour F et al., 2017</v>
      </c>
      <c r="K555" s="9" t="s">
        <v>1630</v>
      </c>
      <c r="L555" s="1" t="str">
        <f t="shared" si="68"/>
        <v/>
      </c>
    </row>
    <row r="556" spans="1:12" ht="30" hidden="1" x14ac:dyDescent="0.25">
      <c r="A556" s="1">
        <f>INDEX(rq_evidence_review!A:A, MATCH(B556, rq_evidence_review!B:B, 0))</f>
        <v>2</v>
      </c>
      <c r="B556" s="6" t="s">
        <v>33</v>
      </c>
      <c r="C556" s="1">
        <f t="shared" si="71"/>
        <v>552</v>
      </c>
      <c r="D556" s="1">
        <f>VLOOKUP(B556,rq_evidence_review!$B$1:$L$55,7,FALSE)</f>
        <v>28</v>
      </c>
      <c r="E556" s="8" t="s">
        <v>773</v>
      </c>
      <c r="F556" s="1" t="str">
        <f t="shared" si="64"/>
        <v/>
      </c>
      <c r="H556" s="1" t="str">
        <f t="shared" si="66"/>
        <v>Copp T</v>
      </c>
      <c r="I556" s="1" t="str">
        <f t="shared" si="69"/>
        <v>2022</v>
      </c>
      <c r="J556" s="1" t="str">
        <f t="shared" si="67"/>
        <v>Copp T et al., 2022</v>
      </c>
      <c r="K556" s="9" t="s">
        <v>1631</v>
      </c>
      <c r="L556" s="1" t="str">
        <f t="shared" si="68"/>
        <v/>
      </c>
    </row>
    <row r="557" spans="1:12" hidden="1" x14ac:dyDescent="0.25">
      <c r="A557" s="1">
        <f>INDEX(rq_evidence_review!A:A, MATCH(B557, rq_evidence_review!B:B, 0))</f>
        <v>2</v>
      </c>
      <c r="B557" s="6" t="s">
        <v>33</v>
      </c>
      <c r="C557" s="1">
        <f t="shared" si="71"/>
        <v>553</v>
      </c>
      <c r="D557" s="1">
        <f>VLOOKUP(B557,rq_evidence_review!$B$1:$L$55,7,FALSE)</f>
        <v>28</v>
      </c>
      <c r="E557" s="8" t="s">
        <v>744</v>
      </c>
      <c r="F557" s="1" t="str">
        <f t="shared" ref="F557:F589" si="72">IF(ISNUMBER(SEARCH("primary citation", E557)), "primary_citation", "")</f>
        <v/>
      </c>
      <c r="H557" s="1" t="str">
        <f t="shared" si="66"/>
        <v>Crete J</v>
      </c>
      <c r="I557" s="1" t="str">
        <f t="shared" si="69"/>
        <v>2011</v>
      </c>
      <c r="J557" s="1" t="str">
        <f t="shared" si="67"/>
        <v>Crete J et al., 2011</v>
      </c>
      <c r="K557" s="9" t="s">
        <v>1632</v>
      </c>
      <c r="L557" s="1" t="str">
        <f t="shared" si="68"/>
        <v/>
      </c>
    </row>
    <row r="558" spans="1:12" ht="45" hidden="1" x14ac:dyDescent="0.25">
      <c r="A558" s="1">
        <f>INDEX(rq_evidence_review!A:A, MATCH(B558, rq_evidence_review!B:B, 0))</f>
        <v>2</v>
      </c>
      <c r="B558" s="6" t="s">
        <v>33</v>
      </c>
      <c r="C558" s="1">
        <f t="shared" si="71"/>
        <v>554</v>
      </c>
      <c r="D558" s="1">
        <f>VLOOKUP(B558,rq_evidence_review!$B$1:$L$55,7,FALSE)</f>
        <v>28</v>
      </c>
      <c r="E558" s="8" t="s">
        <v>774</v>
      </c>
      <c r="F558" s="1" t="str">
        <f t="shared" si="72"/>
        <v/>
      </c>
      <c r="H558" s="1" t="str">
        <f t="shared" si="66"/>
        <v>Gibson-Helm M</v>
      </c>
      <c r="I558" s="1" t="str">
        <f t="shared" si="69"/>
        <v>2018</v>
      </c>
      <c r="J558" s="1" t="str">
        <f t="shared" si="67"/>
        <v>Gibson-Helm M et al., 2018</v>
      </c>
      <c r="K558" s="9" t="s">
        <v>1633</v>
      </c>
      <c r="L558" s="1" t="str">
        <f t="shared" si="68"/>
        <v/>
      </c>
    </row>
    <row r="559" spans="1:12" ht="30" hidden="1" x14ac:dyDescent="0.25">
      <c r="A559" s="1">
        <f>INDEX(rq_evidence_review!A:A, MATCH(B559, rq_evidence_review!B:B, 0))</f>
        <v>2</v>
      </c>
      <c r="B559" s="6" t="s">
        <v>33</v>
      </c>
      <c r="C559" s="1">
        <f t="shared" si="71"/>
        <v>555</v>
      </c>
      <c r="D559" s="1">
        <f>VLOOKUP(B559,rq_evidence_review!$B$1:$L$55,7,FALSE)</f>
        <v>28</v>
      </c>
      <c r="E559" s="8" t="s">
        <v>748</v>
      </c>
      <c r="F559" s="1" t="str">
        <f t="shared" si="72"/>
        <v/>
      </c>
      <c r="H559" s="1" t="str">
        <f t="shared" si="66"/>
        <v>Hadjiconstantinou M</v>
      </c>
      <c r="I559" s="1" t="str">
        <f t="shared" si="69"/>
        <v>2017</v>
      </c>
      <c r="J559" s="1" t="str">
        <f t="shared" si="67"/>
        <v>Hadjiconstantinou M et al., 2017</v>
      </c>
      <c r="K559" s="9" t="s">
        <v>1613</v>
      </c>
      <c r="L559" s="1" t="str">
        <f t="shared" si="68"/>
        <v/>
      </c>
    </row>
    <row r="560" spans="1:12" ht="30" hidden="1" x14ac:dyDescent="0.25">
      <c r="A560" s="1">
        <f>INDEX(rq_evidence_review!A:A, MATCH(B560, rq_evidence_review!B:B, 0))</f>
        <v>2</v>
      </c>
      <c r="B560" s="6" t="s">
        <v>33</v>
      </c>
      <c r="C560" s="1">
        <f t="shared" si="71"/>
        <v>556</v>
      </c>
      <c r="D560" s="1">
        <f>VLOOKUP(B560,rq_evidence_review!$B$1:$L$55,7,FALSE)</f>
        <v>28</v>
      </c>
      <c r="E560" s="8" t="s">
        <v>775</v>
      </c>
      <c r="F560" s="1" t="str">
        <f t="shared" si="72"/>
        <v/>
      </c>
      <c r="H560" s="1" t="str">
        <f t="shared" si="66"/>
        <v>Hajivandi L</v>
      </c>
      <c r="I560" s="1" t="str">
        <f t="shared" si="69"/>
        <v>2022</v>
      </c>
      <c r="J560" s="1" t="str">
        <f t="shared" si="67"/>
        <v>Hajivandi L et al., 2022</v>
      </c>
      <c r="K560" s="9" t="s">
        <v>1634</v>
      </c>
      <c r="L560" s="1" t="str">
        <f t="shared" si="68"/>
        <v/>
      </c>
    </row>
    <row r="561" spans="1:12" ht="30" hidden="1" x14ac:dyDescent="0.25">
      <c r="A561" s="1">
        <f>INDEX(rq_evidence_review!A:A, MATCH(B561, rq_evidence_review!B:B, 0))</f>
        <v>2</v>
      </c>
      <c r="B561" s="6" t="s">
        <v>33</v>
      </c>
      <c r="C561" s="1">
        <f t="shared" si="71"/>
        <v>557</v>
      </c>
      <c r="D561" s="1">
        <f>VLOOKUP(B561,rq_evidence_review!$B$1:$L$55,7,FALSE)</f>
        <v>28</v>
      </c>
      <c r="E561" s="8" t="s">
        <v>776</v>
      </c>
      <c r="F561" s="1" t="str">
        <f t="shared" si="72"/>
        <v/>
      </c>
      <c r="H561" s="1" t="str">
        <f t="shared" si="66"/>
        <v>Hillman SC</v>
      </c>
      <c r="I561" s="1" t="str">
        <f t="shared" si="69"/>
        <v>2020</v>
      </c>
      <c r="J561" s="1" t="str">
        <f t="shared" si="67"/>
        <v>Hillman SC et al., 2020</v>
      </c>
      <c r="K561" s="9" t="s">
        <v>1614</v>
      </c>
      <c r="L561" s="1" t="str">
        <f t="shared" si="68"/>
        <v/>
      </c>
    </row>
    <row r="562" spans="1:12" ht="30" hidden="1" x14ac:dyDescent="0.25">
      <c r="A562" s="1">
        <f>INDEX(rq_evidence_review!A:A, MATCH(B562, rq_evidence_review!B:B, 0))</f>
        <v>2</v>
      </c>
      <c r="B562" s="6" t="s">
        <v>33</v>
      </c>
      <c r="C562" s="1">
        <f t="shared" si="71"/>
        <v>558</v>
      </c>
      <c r="D562" s="1">
        <f>VLOOKUP(B562,rq_evidence_review!$B$1:$L$55,7,FALSE)</f>
        <v>28</v>
      </c>
      <c r="E562" s="8" t="s">
        <v>750</v>
      </c>
      <c r="F562" s="1" t="str">
        <f t="shared" si="72"/>
        <v/>
      </c>
      <c r="H562" s="1" t="str">
        <f t="shared" si="66"/>
        <v>Holbrey S</v>
      </c>
      <c r="I562" s="1" t="str">
        <f t="shared" si="69"/>
        <v>2013</v>
      </c>
      <c r="J562" s="1" t="str">
        <f t="shared" si="67"/>
        <v>Holbrey S et al., 2013</v>
      </c>
      <c r="K562" s="9" t="s">
        <v>1615</v>
      </c>
      <c r="L562" s="1" t="str">
        <f t="shared" si="68"/>
        <v/>
      </c>
    </row>
    <row r="563" spans="1:12" ht="30" hidden="1" x14ac:dyDescent="0.25">
      <c r="A563" s="1">
        <f>INDEX(rq_evidence_review!A:A, MATCH(B563, rq_evidence_review!B:B, 0))</f>
        <v>2</v>
      </c>
      <c r="B563" s="6" t="s">
        <v>33</v>
      </c>
      <c r="C563" s="1">
        <f t="shared" si="71"/>
        <v>559</v>
      </c>
      <c r="D563" s="1">
        <f>VLOOKUP(B563,rq_evidence_review!$B$1:$L$55,7,FALSE)</f>
        <v>28</v>
      </c>
      <c r="E563" s="8" t="s">
        <v>753</v>
      </c>
      <c r="F563" s="1" t="str">
        <f t="shared" si="72"/>
        <v/>
      </c>
      <c r="H563" s="1" t="str">
        <f t="shared" si="66"/>
        <v>Ismayilova M</v>
      </c>
      <c r="I563" s="1" t="str">
        <f t="shared" si="69"/>
        <v>2022</v>
      </c>
      <c r="J563" s="1" t="str">
        <f t="shared" si="67"/>
        <v>Ismayilova M et al., 2022</v>
      </c>
      <c r="K563" s="9" t="s">
        <v>1618</v>
      </c>
      <c r="L563" s="1" t="str">
        <f t="shared" si="68"/>
        <v/>
      </c>
    </row>
    <row r="564" spans="1:12" ht="30" hidden="1" x14ac:dyDescent="0.25">
      <c r="A564" s="1">
        <f>INDEX(rq_evidence_review!A:A, MATCH(B564, rq_evidence_review!B:B, 0))</f>
        <v>2</v>
      </c>
      <c r="B564" s="6" t="s">
        <v>33</v>
      </c>
      <c r="C564" s="1">
        <f t="shared" si="71"/>
        <v>560</v>
      </c>
      <c r="D564" s="1">
        <f>VLOOKUP(B564,rq_evidence_review!$B$1:$L$55,7,FALSE)</f>
        <v>28</v>
      </c>
      <c r="E564" s="8" t="s">
        <v>777</v>
      </c>
      <c r="F564" s="1" t="str">
        <f t="shared" si="72"/>
        <v/>
      </c>
      <c r="H564" s="1" t="str">
        <f t="shared" si="66"/>
        <v>Ismayilova M</v>
      </c>
      <c r="I564" s="1" t="str">
        <f t="shared" si="69"/>
        <v>2022</v>
      </c>
      <c r="J564" s="1" t="str">
        <f t="shared" si="67"/>
        <v>Ismayilova M et al., 2022</v>
      </c>
      <c r="K564" s="9" t="s">
        <v>1619</v>
      </c>
      <c r="L564" s="1" t="str">
        <f t="shared" si="68"/>
        <v/>
      </c>
    </row>
    <row r="565" spans="1:12" ht="30" hidden="1" x14ac:dyDescent="0.25">
      <c r="A565" s="1">
        <f>INDEX(rq_evidence_review!A:A, MATCH(B565, rq_evidence_review!B:B, 0))</f>
        <v>2</v>
      </c>
      <c r="B565" s="6" t="s">
        <v>33</v>
      </c>
      <c r="C565" s="1">
        <f t="shared" si="71"/>
        <v>561</v>
      </c>
      <c r="D565" s="1">
        <f>VLOOKUP(B565,rq_evidence_review!$B$1:$L$55,7,FALSE)</f>
        <v>28</v>
      </c>
      <c r="E565" s="8" t="s">
        <v>755</v>
      </c>
      <c r="F565" s="1" t="str">
        <f t="shared" si="72"/>
        <v/>
      </c>
      <c r="H565" s="1" t="str">
        <f t="shared" si="66"/>
        <v>Kaur I</v>
      </c>
      <c r="I565" s="1" t="str">
        <f t="shared" si="69"/>
        <v>2021</v>
      </c>
      <c r="J565" s="1" t="str">
        <f t="shared" si="67"/>
        <v>Kaur I et al., 2021</v>
      </c>
      <c r="K565" s="9" t="s">
        <v>1620</v>
      </c>
      <c r="L565" s="1" t="str">
        <f t="shared" si="68"/>
        <v/>
      </c>
    </row>
    <row r="566" spans="1:12" ht="30" hidden="1" x14ac:dyDescent="0.25">
      <c r="A566" s="1">
        <f>INDEX(rq_evidence_review!A:A, MATCH(B566, rq_evidence_review!B:B, 0))</f>
        <v>2</v>
      </c>
      <c r="B566" s="6" t="s">
        <v>33</v>
      </c>
      <c r="C566" s="1">
        <f t="shared" si="71"/>
        <v>562</v>
      </c>
      <c r="D566" s="1">
        <f>VLOOKUP(B566,rq_evidence_review!$B$1:$L$55,7,FALSE)</f>
        <v>28</v>
      </c>
      <c r="E566" s="8" t="s">
        <v>778</v>
      </c>
      <c r="F566" s="1" t="str">
        <f t="shared" si="72"/>
        <v/>
      </c>
      <c r="H566" s="1" t="str">
        <f t="shared" si="66"/>
        <v>Kitzinger C</v>
      </c>
      <c r="I566" s="1" t="str">
        <f t="shared" si="69"/>
        <v>2002</v>
      </c>
      <c r="J566" s="1" t="str">
        <f t="shared" si="67"/>
        <v>Kitzinger C et al., 2002</v>
      </c>
      <c r="K566" s="9" t="s">
        <v>1635</v>
      </c>
      <c r="L566" s="1" t="str">
        <f t="shared" si="68"/>
        <v/>
      </c>
    </row>
    <row r="567" spans="1:12" ht="30" hidden="1" x14ac:dyDescent="0.25">
      <c r="A567" s="1">
        <f>INDEX(rq_evidence_review!A:A, MATCH(B567, rq_evidence_review!B:B, 0))</f>
        <v>2</v>
      </c>
      <c r="B567" s="6" t="s">
        <v>33</v>
      </c>
      <c r="C567" s="1">
        <f t="shared" si="71"/>
        <v>563</v>
      </c>
      <c r="D567" s="1">
        <f>VLOOKUP(B567,rq_evidence_review!$B$1:$L$55,7,FALSE)</f>
        <v>28</v>
      </c>
      <c r="E567" s="8" t="s">
        <v>779</v>
      </c>
      <c r="F567" s="1" t="str">
        <f t="shared" si="72"/>
        <v/>
      </c>
      <c r="H567" s="1" t="str">
        <f t="shared" si="66"/>
        <v>Lim S</v>
      </c>
      <c r="I567" s="1" t="str">
        <f t="shared" si="69"/>
        <v>2021</v>
      </c>
      <c r="J567" s="1" t="str">
        <f t="shared" si="67"/>
        <v>Lim S et al., 2021</v>
      </c>
      <c r="K567" s="9" t="s">
        <v>1636</v>
      </c>
      <c r="L567" s="1" t="str">
        <f t="shared" si="68"/>
        <v/>
      </c>
    </row>
    <row r="568" spans="1:12" ht="45" hidden="1" x14ac:dyDescent="0.25">
      <c r="A568" s="1">
        <f>INDEX(rq_evidence_review!A:A, MATCH(B568, rq_evidence_review!B:B, 0))</f>
        <v>2</v>
      </c>
      <c r="B568" s="6" t="s">
        <v>33</v>
      </c>
      <c r="C568" s="1">
        <f t="shared" si="71"/>
        <v>564</v>
      </c>
      <c r="D568" s="1">
        <f>VLOOKUP(B568,rq_evidence_review!$B$1:$L$55,7,FALSE)</f>
        <v>28</v>
      </c>
      <c r="E568" s="8" t="s">
        <v>780</v>
      </c>
      <c r="F568" s="1" t="str">
        <f t="shared" si="72"/>
        <v/>
      </c>
      <c r="H568" s="1" t="str">
        <f t="shared" si="66"/>
        <v>Lim S</v>
      </c>
      <c r="I568" s="1" t="str">
        <f t="shared" si="69"/>
        <v>2021</v>
      </c>
      <c r="J568" s="1" t="str">
        <f t="shared" si="67"/>
        <v>Lim S et al., 2021</v>
      </c>
      <c r="K568" s="9" t="s">
        <v>1637</v>
      </c>
      <c r="L568" s="1" t="str">
        <f t="shared" si="68"/>
        <v/>
      </c>
    </row>
    <row r="569" spans="1:12" ht="30" hidden="1" x14ac:dyDescent="0.25">
      <c r="A569" s="1">
        <f>INDEX(rq_evidence_review!A:A, MATCH(B569, rq_evidence_review!B:B, 0))</f>
        <v>2</v>
      </c>
      <c r="B569" s="6" t="s">
        <v>33</v>
      </c>
      <c r="C569" s="1">
        <f t="shared" si="71"/>
        <v>565</v>
      </c>
      <c r="D569" s="1">
        <f>VLOOKUP(B569,rq_evidence_review!$B$1:$L$55,7,FALSE)</f>
        <v>28</v>
      </c>
      <c r="E569" s="8" t="s">
        <v>781</v>
      </c>
      <c r="F569" s="1" t="str">
        <f t="shared" si="72"/>
        <v/>
      </c>
      <c r="H569" s="1" t="str">
        <f t="shared" si="66"/>
        <v>Lin AW</v>
      </c>
      <c r="I569" s="1" t="str">
        <f t="shared" si="69"/>
        <v>2018</v>
      </c>
      <c r="J569" s="1" t="str">
        <f t="shared" si="67"/>
        <v>Lin AW et al., 2018</v>
      </c>
      <c r="K569" s="1" t="s">
        <v>1638</v>
      </c>
      <c r="L569" s="1" t="str">
        <f t="shared" si="68"/>
        <v/>
      </c>
    </row>
    <row r="570" spans="1:12" ht="30" hidden="1" x14ac:dyDescent="0.25">
      <c r="A570" s="1">
        <f>INDEX(rq_evidence_review!A:A, MATCH(B570, rq_evidence_review!B:B, 0))</f>
        <v>2</v>
      </c>
      <c r="B570" s="6" t="s">
        <v>33</v>
      </c>
      <c r="C570" s="1">
        <f t="shared" si="71"/>
        <v>566</v>
      </c>
      <c r="D570" s="1">
        <f>VLOOKUP(B570,rq_evidence_review!$B$1:$L$55,7,FALSE)</f>
        <v>28</v>
      </c>
      <c r="E570" s="8" t="s">
        <v>759</v>
      </c>
      <c r="F570" s="1" t="str">
        <f t="shared" si="72"/>
        <v/>
      </c>
      <c r="H570" s="1" t="str">
        <f t="shared" si="66"/>
        <v>Pirotta S</v>
      </c>
      <c r="I570" s="1" t="str">
        <f t="shared" si="69"/>
        <v>2021</v>
      </c>
      <c r="J570" s="1" t="str">
        <f t="shared" si="67"/>
        <v>Pirotta S et al., 2021</v>
      </c>
      <c r="K570" s="9" t="s">
        <v>1624</v>
      </c>
      <c r="L570" s="1" t="str">
        <f t="shared" si="68"/>
        <v/>
      </c>
    </row>
    <row r="571" spans="1:12" ht="30" hidden="1" x14ac:dyDescent="0.25">
      <c r="A571" s="1">
        <f>INDEX(rq_evidence_review!A:A, MATCH(B571, rq_evidence_review!B:B, 0))</f>
        <v>2</v>
      </c>
      <c r="B571" s="6" t="s">
        <v>33</v>
      </c>
      <c r="C571" s="1">
        <f t="shared" si="71"/>
        <v>567</v>
      </c>
      <c r="D571" s="1">
        <f>VLOOKUP(B571,rq_evidence_review!$B$1:$L$55,7,FALSE)</f>
        <v>28</v>
      </c>
      <c r="E571" s="8" t="s">
        <v>782</v>
      </c>
      <c r="F571" s="1" t="str">
        <f t="shared" si="72"/>
        <v/>
      </c>
      <c r="H571" s="1" t="str">
        <f t="shared" si="66"/>
        <v>Sharma S</v>
      </c>
      <c r="I571" s="1" t="str">
        <f t="shared" si="69"/>
        <v>2018</v>
      </c>
      <c r="J571" s="1" t="str">
        <f t="shared" si="67"/>
        <v>Sharma S et al., 2018</v>
      </c>
      <c r="K571" s="9" t="s">
        <v>1639</v>
      </c>
      <c r="L571" s="1" t="str">
        <f t="shared" si="68"/>
        <v/>
      </c>
    </row>
    <row r="572" spans="1:12" ht="30" hidden="1" x14ac:dyDescent="0.25">
      <c r="A572" s="1">
        <f>INDEX(rq_evidence_review!A:A, MATCH(B572, rq_evidence_review!B:B, 0))</f>
        <v>2</v>
      </c>
      <c r="B572" s="6" t="s">
        <v>33</v>
      </c>
      <c r="C572" s="1">
        <f t="shared" si="71"/>
        <v>568</v>
      </c>
      <c r="D572" s="1">
        <f>VLOOKUP(B572,rq_evidence_review!$B$1:$L$55,7,FALSE)</f>
        <v>28</v>
      </c>
      <c r="E572" s="8" t="s">
        <v>783</v>
      </c>
      <c r="F572" s="1" t="str">
        <f t="shared" si="72"/>
        <v/>
      </c>
      <c r="H572" s="1" t="str">
        <f t="shared" si="66"/>
        <v>Soucie K</v>
      </c>
      <c r="I572" s="1" t="str">
        <f t="shared" si="69"/>
        <v>2021</v>
      </c>
      <c r="J572" s="1" t="str">
        <f t="shared" si="67"/>
        <v>Soucie K et al., 2021</v>
      </c>
      <c r="K572" s="9" t="s">
        <v>1640</v>
      </c>
      <c r="L572" s="1" t="str">
        <f t="shared" si="68"/>
        <v/>
      </c>
    </row>
    <row r="573" spans="1:12" ht="30" hidden="1" x14ac:dyDescent="0.25">
      <c r="A573" s="1">
        <f>INDEX(rq_evidence_review!A:A, MATCH(B573, rq_evidence_review!B:B, 0))</f>
        <v>2</v>
      </c>
      <c r="B573" s="6" t="s">
        <v>33</v>
      </c>
      <c r="C573" s="1">
        <f t="shared" si="71"/>
        <v>569</v>
      </c>
      <c r="D573" s="1">
        <f>VLOOKUP(B573,rq_evidence_review!$B$1:$L$55,7,FALSE)</f>
        <v>28</v>
      </c>
      <c r="E573" s="8" t="s">
        <v>1642</v>
      </c>
      <c r="F573" s="1" t="str">
        <f t="shared" si="72"/>
        <v/>
      </c>
      <c r="H573" s="1" t="str">
        <f t="shared" si="66"/>
        <v>Snyder BS</v>
      </c>
      <c r="I573" s="1" t="str">
        <f t="shared" si="69"/>
        <v>2006</v>
      </c>
      <c r="J573" s="1" t="str">
        <f t="shared" si="67"/>
        <v>Snyder BS et al., 2006</v>
      </c>
      <c r="K573" s="9" t="s">
        <v>1641</v>
      </c>
      <c r="L573" s="1" t="str">
        <f t="shared" si="68"/>
        <v/>
      </c>
    </row>
    <row r="574" spans="1:12" ht="45" hidden="1" x14ac:dyDescent="0.25">
      <c r="A574" s="1">
        <f>INDEX(rq_evidence_review!A:A, MATCH(B574, rq_evidence_review!B:B, 0))</f>
        <v>2</v>
      </c>
      <c r="B574" s="6" t="s">
        <v>33</v>
      </c>
      <c r="C574" s="1">
        <f t="shared" si="71"/>
        <v>570</v>
      </c>
      <c r="D574" s="1">
        <f>VLOOKUP(B574,rq_evidence_review!$B$1:$L$55,7,FALSE)</f>
        <v>28</v>
      </c>
      <c r="E574" s="8" t="s">
        <v>784</v>
      </c>
      <c r="F574" s="1" t="str">
        <f t="shared" si="72"/>
        <v/>
      </c>
      <c r="H574" s="1" t="str">
        <f t="shared" si="66"/>
        <v>Tay CT</v>
      </c>
      <c r="I574" s="1" t="str">
        <f t="shared" si="69"/>
        <v>2021</v>
      </c>
      <c r="J574" s="1" t="str">
        <f t="shared" si="67"/>
        <v>Tay CT et al., 2021</v>
      </c>
      <c r="K574" s="9" t="s">
        <v>1643</v>
      </c>
      <c r="L574" s="1" t="str">
        <f t="shared" si="68"/>
        <v/>
      </c>
    </row>
    <row r="575" spans="1:12" ht="30" hidden="1" x14ac:dyDescent="0.25">
      <c r="A575" s="1">
        <f>INDEX(rq_evidence_review!A:A, MATCH(B575, rq_evidence_review!B:B, 0))</f>
        <v>2</v>
      </c>
      <c r="B575" s="6" t="s">
        <v>33</v>
      </c>
      <c r="C575" s="1">
        <f t="shared" si="71"/>
        <v>571</v>
      </c>
      <c r="D575" s="1">
        <f>VLOOKUP(B575,rq_evidence_review!$B$1:$L$55,7,FALSE)</f>
        <v>28</v>
      </c>
      <c r="E575" s="8" t="s">
        <v>761</v>
      </c>
      <c r="F575" s="1" t="str">
        <f t="shared" si="72"/>
        <v/>
      </c>
      <c r="H575" s="1" t="str">
        <f t="shared" si="66"/>
        <v>Tomlinson J</v>
      </c>
      <c r="I575" s="1" t="str">
        <f t="shared" si="69"/>
        <v>2017</v>
      </c>
      <c r="J575" s="1" t="str">
        <f t="shared" si="67"/>
        <v>Tomlinson J et al., 2017</v>
      </c>
      <c r="K575" s="9" t="s">
        <v>1626</v>
      </c>
      <c r="L575" s="1" t="str">
        <f t="shared" si="68"/>
        <v/>
      </c>
    </row>
    <row r="576" spans="1:12" ht="30" hidden="1" x14ac:dyDescent="0.25">
      <c r="A576" s="1">
        <f>INDEX(rq_evidence_review!A:A, MATCH(B576, rq_evidence_review!B:B, 0))</f>
        <v>2</v>
      </c>
      <c r="B576" s="6" t="s">
        <v>33</v>
      </c>
      <c r="C576" s="1">
        <f t="shared" si="71"/>
        <v>572</v>
      </c>
      <c r="D576" s="1">
        <f>VLOOKUP(B576,rq_evidence_review!$B$1:$L$55,7,FALSE)</f>
        <v>28</v>
      </c>
      <c r="E576" s="8" t="s">
        <v>763</v>
      </c>
      <c r="F576" s="1" t="str">
        <f t="shared" si="72"/>
        <v/>
      </c>
      <c r="H576" s="1" t="str">
        <f t="shared" si="66"/>
        <v>Weiss TR</v>
      </c>
      <c r="I576" s="1" t="str">
        <f t="shared" si="69"/>
        <v>2011</v>
      </c>
      <c r="J576" s="1" t="str">
        <f t="shared" si="67"/>
        <v>Weiss TR et al., 2011</v>
      </c>
      <c r="K576" s="9" t="s">
        <v>1628</v>
      </c>
      <c r="L576" s="1" t="str">
        <f t="shared" si="68"/>
        <v/>
      </c>
    </row>
    <row r="577" spans="1:12" ht="30" hidden="1" x14ac:dyDescent="0.25">
      <c r="A577" s="1">
        <f>INDEX(rq_evidence_review!A:A, MATCH(B577, rq_evidence_review!B:B, 0))</f>
        <v>2</v>
      </c>
      <c r="B577" s="6" t="s">
        <v>33</v>
      </c>
      <c r="C577" s="1">
        <f t="shared" si="71"/>
        <v>573</v>
      </c>
      <c r="D577" s="1">
        <f>VLOOKUP(B577,rq_evidence_review!$B$1:$L$55,7,FALSE)</f>
        <v>28</v>
      </c>
      <c r="E577" s="8" t="s">
        <v>785</v>
      </c>
      <c r="F577" s="1" t="str">
        <f t="shared" si="72"/>
        <v/>
      </c>
      <c r="H577" s="1" t="str">
        <f t="shared" si="66"/>
        <v>Williams S</v>
      </c>
      <c r="I577" s="1" t="str">
        <f t="shared" si="69"/>
        <v>2015</v>
      </c>
      <c r="J577" s="1" t="str">
        <f t="shared" si="67"/>
        <v>Williams S et al., 2015</v>
      </c>
      <c r="K577" s="9" t="s">
        <v>1644</v>
      </c>
      <c r="L577" s="1" t="str">
        <f t="shared" si="68"/>
        <v/>
      </c>
    </row>
    <row r="578" spans="1:12" ht="30" hidden="1" x14ac:dyDescent="0.25">
      <c r="A578" s="1">
        <f>INDEX(rq_evidence_review!A:A, MATCH(B578, rq_evidence_review!B:B, 0))</f>
        <v>2</v>
      </c>
      <c r="B578" s="6" t="s">
        <v>33</v>
      </c>
      <c r="C578" s="1">
        <f t="shared" si="71"/>
        <v>574</v>
      </c>
      <c r="D578" s="1">
        <f>VLOOKUP(B578,rq_evidence_review!$B$1:$L$55,7,FALSE)</f>
        <v>28</v>
      </c>
      <c r="E578" s="8" t="s">
        <v>786</v>
      </c>
      <c r="F578" s="1" t="str">
        <f t="shared" si="72"/>
        <v/>
      </c>
      <c r="H578" s="1" t="str">
        <f t="shared" si="66"/>
        <v>Williams S</v>
      </c>
      <c r="I578" s="1" t="str">
        <f t="shared" si="69"/>
        <v>2016</v>
      </c>
      <c r="J578" s="1" t="str">
        <f t="shared" si="67"/>
        <v>Williams S et al., 2016</v>
      </c>
      <c r="K578" s="9" t="s">
        <v>1645</v>
      </c>
      <c r="L578" s="1" t="str">
        <f t="shared" si="68"/>
        <v/>
      </c>
    </row>
    <row r="579" spans="1:12" ht="30" hidden="1" x14ac:dyDescent="0.25">
      <c r="A579" s="1">
        <f>INDEX(rq_evidence_review!A:A, MATCH(B579, rq_evidence_review!B:B, 0))</f>
        <v>2</v>
      </c>
      <c r="B579" s="6" t="s">
        <v>33</v>
      </c>
      <c r="C579" s="1">
        <f t="shared" si="71"/>
        <v>575</v>
      </c>
      <c r="D579" s="1">
        <f>VLOOKUP(B579,rq_evidence_review!$B$1:$L$55,7,FALSE)</f>
        <v>28</v>
      </c>
      <c r="E579" s="8" t="s">
        <v>787</v>
      </c>
      <c r="F579" s="1" t="str">
        <f t="shared" si="72"/>
        <v/>
      </c>
      <c r="H579" s="1" t="str">
        <f t="shared" si="66"/>
        <v>Wright PJ</v>
      </c>
      <c r="I579" s="1" t="str">
        <f t="shared" si="69"/>
        <v>2020</v>
      </c>
      <c r="J579" s="1" t="str">
        <f t="shared" si="67"/>
        <v>Wright PJ et al., 2020</v>
      </c>
      <c r="K579" s="9" t="s">
        <v>1646</v>
      </c>
      <c r="L579" s="1" t="str">
        <f t="shared" si="68"/>
        <v/>
      </c>
    </row>
    <row r="580" spans="1:12" hidden="1" x14ac:dyDescent="0.25">
      <c r="A580" s="1">
        <f>INDEX(rq_evidence_review!A:A, MATCH(B580, rq_evidence_review!B:B, 0))</f>
        <v>2</v>
      </c>
      <c r="B580" s="6">
        <f>rq_evidence_review!B24</f>
        <v>2.7</v>
      </c>
      <c r="D580" s="1">
        <f>VLOOKUP(B580,rq_evidence_review!$B$1:$L$55,7,FALSE)</f>
        <v>0</v>
      </c>
      <c r="F580" s="1" t="str">
        <f t="shared" si="72"/>
        <v/>
      </c>
      <c r="H580" s="1" t="e">
        <f t="shared" si="66"/>
        <v>#VALUE!</v>
      </c>
      <c r="I580" s="1" t="str">
        <f t="shared" si="69"/>
        <v/>
      </c>
      <c r="J580" s="1" t="e">
        <f t="shared" si="67"/>
        <v>#VALUE!</v>
      </c>
      <c r="K580" s="1" t="str">
        <f>ExtractDOI(E580)</f>
        <v/>
      </c>
      <c r="L580" s="1" t="str">
        <f t="shared" si="68"/>
        <v/>
      </c>
    </row>
    <row r="581" spans="1:12" ht="45" hidden="1" x14ac:dyDescent="0.25">
      <c r="A581" s="1">
        <f>INDEX(rq_evidence_review!A:A, MATCH(B581, rq_evidence_review!B:B, 0))</f>
        <v>2</v>
      </c>
      <c r="B581" s="6">
        <f>rq_evidence_review!B25</f>
        <v>2.8</v>
      </c>
      <c r="C581" s="1">
        <f>C579+1</f>
        <v>576</v>
      </c>
      <c r="D581" s="1">
        <f>VLOOKUP(B581,rq_evidence_review!$B$1:$L$55,7,FALSE)</f>
        <v>1</v>
      </c>
      <c r="E581" s="8" t="s">
        <v>788</v>
      </c>
      <c r="F581" s="1" t="str">
        <f t="shared" si="72"/>
        <v/>
      </c>
      <c r="H581" s="1" t="str">
        <f t="shared" si="66"/>
        <v>Masoudi M</v>
      </c>
      <c r="I581" s="1" t="str">
        <f t="shared" si="69"/>
        <v>2021</v>
      </c>
      <c r="J581" s="1" t="str">
        <f t="shared" si="67"/>
        <v>Masoudi M et al., 2021</v>
      </c>
      <c r="K581" s="1" t="str">
        <f>ExtractDOI(E581)</f>
        <v>10.1097/YIC.0000000000000367</v>
      </c>
      <c r="L581" s="1" t="str">
        <f t="shared" si="68"/>
        <v>34030169</v>
      </c>
    </row>
    <row r="582" spans="1:12" ht="30" hidden="1" x14ac:dyDescent="0.25">
      <c r="A582" s="1">
        <f>INDEX(rq_evidence_review!A:A, MATCH(B582, rq_evidence_review!B:B, 0))</f>
        <v>3</v>
      </c>
      <c r="B582" s="6">
        <f>rq_evidence_review!B26</f>
        <v>3.1</v>
      </c>
      <c r="C582" s="1">
        <f>C581+1</f>
        <v>577</v>
      </c>
      <c r="D582" s="1">
        <f>VLOOKUP(B582,rq_evidence_review!$B$1:$L$55,7,FALSE)</f>
        <v>18</v>
      </c>
      <c r="E582" s="8" t="s">
        <v>924</v>
      </c>
      <c r="F582" s="1" t="str">
        <f t="shared" si="72"/>
        <v/>
      </c>
      <c r="G582" s="1" t="s">
        <v>945</v>
      </c>
      <c r="H582" s="1" t="str">
        <f t="shared" si="66"/>
        <v>Almenning I</v>
      </c>
      <c r="I582" s="1" t="str">
        <f t="shared" si="69"/>
        <v>2015</v>
      </c>
      <c r="J582" s="1" t="str">
        <f t="shared" si="67"/>
        <v>Almenning I et al., 2015</v>
      </c>
      <c r="K582" s="9" t="s">
        <v>1647</v>
      </c>
      <c r="L582" s="1" t="str">
        <f t="shared" si="68"/>
        <v/>
      </c>
    </row>
    <row r="583" spans="1:12" ht="30" hidden="1" x14ac:dyDescent="0.25">
      <c r="A583" s="1">
        <f>INDEX(rq_evidence_review!A:A, MATCH(B583, rq_evidence_review!B:B, 0))</f>
        <v>3</v>
      </c>
      <c r="B583" s="6">
        <v>3.1</v>
      </c>
      <c r="C583" s="1">
        <f t="shared" si="71"/>
        <v>578</v>
      </c>
      <c r="D583" s="1">
        <f>VLOOKUP(B583,rq_evidence_review!$B$1:$L$55,7,FALSE)</f>
        <v>18</v>
      </c>
      <c r="E583" s="8" t="s">
        <v>925</v>
      </c>
      <c r="F583" s="1" t="str">
        <f t="shared" si="72"/>
        <v/>
      </c>
      <c r="G583" s="1" t="s">
        <v>945</v>
      </c>
      <c r="H583" s="1" t="str">
        <f t="shared" si="66"/>
        <v>Brown AJ</v>
      </c>
      <c r="I583" s="1" t="str">
        <f t="shared" si="69"/>
        <v>2009</v>
      </c>
      <c r="J583" s="1" t="str">
        <f t="shared" si="67"/>
        <v>Brown AJ et al., 2009</v>
      </c>
      <c r="K583" s="9" t="s">
        <v>1648</v>
      </c>
      <c r="L583" s="1" t="str">
        <f t="shared" si="68"/>
        <v/>
      </c>
    </row>
    <row r="584" spans="1:12" ht="45" hidden="1" x14ac:dyDescent="0.25">
      <c r="A584" s="1">
        <f>INDEX(rq_evidence_review!A:A, MATCH(B584, rq_evidence_review!B:B, 0))</f>
        <v>3</v>
      </c>
      <c r="B584" s="6">
        <v>3.1</v>
      </c>
      <c r="C584" s="1">
        <f t="shared" si="71"/>
        <v>579</v>
      </c>
      <c r="D584" s="1">
        <f>VLOOKUP(B584,rq_evidence_review!$B$1:$L$55,7,FALSE)</f>
        <v>18</v>
      </c>
      <c r="E584" s="8" t="s">
        <v>926</v>
      </c>
      <c r="F584" s="1" t="str">
        <f t="shared" si="72"/>
        <v/>
      </c>
      <c r="H584" s="1" t="str">
        <f t="shared" si="66"/>
        <v>Costa</v>
      </c>
      <c r="I584" s="1" t="str">
        <f t="shared" si="69"/>
        <v>2018</v>
      </c>
      <c r="J584" s="1" t="str">
        <f t="shared" si="67"/>
        <v>Costa et al., 2018</v>
      </c>
      <c r="K584" s="1" t="str">
        <f>ExtractDOI(E584)</f>
        <v>10.1249/MSS.0000000000001579</v>
      </c>
      <c r="L584" s="1" t="str">
        <f t="shared" si="68"/>
        <v/>
      </c>
    </row>
    <row r="585" spans="1:12" ht="30" hidden="1" x14ac:dyDescent="0.25">
      <c r="A585" s="1">
        <f>INDEX(rq_evidence_review!A:A, MATCH(B585, rq_evidence_review!B:B, 0))</f>
        <v>3</v>
      </c>
      <c r="B585" s="6">
        <v>3.1</v>
      </c>
      <c r="C585" s="1">
        <f t="shared" si="71"/>
        <v>580</v>
      </c>
      <c r="D585" s="1">
        <f>VLOOKUP(B585,rq_evidence_review!$B$1:$L$55,7,FALSE)</f>
        <v>18</v>
      </c>
      <c r="E585" s="8" t="s">
        <v>927</v>
      </c>
      <c r="F585" s="1" t="str">
        <f t="shared" si="72"/>
        <v/>
      </c>
      <c r="H585" s="1" t="str">
        <f t="shared" si="66"/>
        <v>Dietz de Loos</v>
      </c>
      <c r="I585" s="1" t="str">
        <f t="shared" si="69"/>
        <v>2021</v>
      </c>
      <c r="J585" s="1" t="str">
        <f t="shared" si="67"/>
        <v>Dietz de Loos et al., 2021</v>
      </c>
      <c r="K585" s="1" t="str">
        <f>ExtractDOI(E585)</f>
        <v>10.1530/EJE-21-0669</v>
      </c>
      <c r="L585" s="1" t="str">
        <f t="shared" si="68"/>
        <v/>
      </c>
    </row>
    <row r="586" spans="1:12" ht="30" hidden="1" x14ac:dyDescent="0.25">
      <c r="A586" s="1">
        <f>INDEX(rq_evidence_review!A:A, MATCH(B586, rq_evidence_review!B:B, 0))</f>
        <v>3</v>
      </c>
      <c r="B586" s="6">
        <v>3.1</v>
      </c>
      <c r="C586" s="1">
        <f t="shared" si="71"/>
        <v>581</v>
      </c>
      <c r="D586" s="1">
        <f>VLOOKUP(B586,rq_evidence_review!$B$1:$L$55,7,FALSE)</f>
        <v>18</v>
      </c>
      <c r="E586" s="8" t="s">
        <v>928</v>
      </c>
      <c r="F586" s="1" t="str">
        <f t="shared" si="72"/>
        <v/>
      </c>
      <c r="G586" s="1" t="s">
        <v>945</v>
      </c>
      <c r="H586" s="1" t="str">
        <f t="shared" si="66"/>
        <v>Guzick DS</v>
      </c>
      <c r="I586" s="1" t="str">
        <f t="shared" si="69"/>
        <v>1994</v>
      </c>
      <c r="J586" s="1" t="str">
        <f t="shared" si="67"/>
        <v>Guzick DS et al., 1994</v>
      </c>
      <c r="K586" s="9" t="s">
        <v>1649</v>
      </c>
      <c r="L586" s="1" t="str">
        <f t="shared" si="68"/>
        <v/>
      </c>
    </row>
    <row r="587" spans="1:12" ht="30" hidden="1" x14ac:dyDescent="0.25">
      <c r="A587" s="1">
        <f>INDEX(rq_evidence_review!A:A, MATCH(B587, rq_evidence_review!B:B, 0))</f>
        <v>3</v>
      </c>
      <c r="B587" s="6">
        <v>3.1</v>
      </c>
      <c r="C587" s="1">
        <f t="shared" si="71"/>
        <v>582</v>
      </c>
      <c r="D587" s="1">
        <f>VLOOKUP(B587,rq_evidence_review!$B$1:$L$55,7,FALSE)</f>
        <v>18</v>
      </c>
      <c r="E587" s="8" t="s">
        <v>929</v>
      </c>
      <c r="F587" s="1" t="str">
        <f t="shared" si="72"/>
        <v/>
      </c>
      <c r="G587" s="1" t="s">
        <v>945</v>
      </c>
      <c r="H587" s="1" t="str">
        <f t="shared" si="66"/>
        <v>Hoeger KM</v>
      </c>
      <c r="I587" s="1" t="str">
        <f t="shared" si="69"/>
        <v>2004</v>
      </c>
      <c r="J587" s="1" t="str">
        <f t="shared" si="67"/>
        <v>Hoeger KM et al., 2004</v>
      </c>
      <c r="K587" s="9" t="s">
        <v>1650</v>
      </c>
      <c r="L587" s="1" t="str">
        <f t="shared" si="68"/>
        <v/>
      </c>
    </row>
    <row r="588" spans="1:12" ht="45" hidden="1" x14ac:dyDescent="0.25">
      <c r="A588" s="1">
        <f>INDEX(rq_evidence_review!A:A, MATCH(B588, rq_evidence_review!B:B, 0))</f>
        <v>3</v>
      </c>
      <c r="B588" s="6">
        <v>3.1</v>
      </c>
      <c r="C588" s="1">
        <f t="shared" si="71"/>
        <v>583</v>
      </c>
      <c r="D588" s="1">
        <f>VLOOKUP(B588,rq_evidence_review!$B$1:$L$55,7,FALSE)</f>
        <v>18</v>
      </c>
      <c r="E588" s="8" t="s">
        <v>930</v>
      </c>
      <c r="F588" s="1" t="str">
        <f t="shared" si="72"/>
        <v/>
      </c>
      <c r="G588" s="1" t="s">
        <v>945</v>
      </c>
      <c r="H588" s="1" t="str">
        <f t="shared" si="66"/>
        <v>Hoeger K</v>
      </c>
      <c r="I588" s="1" t="str">
        <f t="shared" si="69"/>
        <v>2008</v>
      </c>
      <c r="J588" s="1" t="str">
        <f t="shared" si="67"/>
        <v>Hoeger K et al., 2008</v>
      </c>
      <c r="K588" s="9" t="s">
        <v>1651</v>
      </c>
      <c r="L588" s="1" t="str">
        <f t="shared" si="68"/>
        <v/>
      </c>
    </row>
    <row r="589" spans="1:12" ht="45" hidden="1" x14ac:dyDescent="0.25">
      <c r="A589" s="1">
        <f>INDEX(rq_evidence_review!A:A, MATCH(B589, rq_evidence_review!B:B, 0))</f>
        <v>3</v>
      </c>
      <c r="B589" s="6">
        <v>3.1</v>
      </c>
      <c r="C589" s="1">
        <f t="shared" si="71"/>
        <v>584</v>
      </c>
      <c r="D589" s="1">
        <f>VLOOKUP(B589,rq_evidence_review!$B$1:$L$55,7,FALSE)</f>
        <v>18</v>
      </c>
      <c r="E589" s="8" t="s">
        <v>1967</v>
      </c>
      <c r="F589" s="1" t="str">
        <f t="shared" si="72"/>
        <v>primary_citation</v>
      </c>
      <c r="G589" s="1" t="s">
        <v>945</v>
      </c>
      <c r="H589" s="1" t="str">
        <f t="shared" si="66"/>
        <v>Jedel E</v>
      </c>
      <c r="I589" s="1" t="str">
        <f t="shared" si="69"/>
        <v>2011</v>
      </c>
      <c r="J589" s="1" t="str">
        <f t="shared" si="67"/>
        <v>Jedel E et al., 2011</v>
      </c>
      <c r="K589" s="9" t="s">
        <v>1652</v>
      </c>
      <c r="L589" s="1" t="str">
        <f t="shared" si="68"/>
        <v/>
      </c>
    </row>
    <row r="590" spans="1:12" ht="45" hidden="1" x14ac:dyDescent="0.25">
      <c r="A590" s="1">
        <f>INDEX(rq_evidence_review!A:A, MATCH(B590, rq_evidence_review!B:B, 0))</f>
        <v>3</v>
      </c>
      <c r="B590" s="6">
        <v>3.1</v>
      </c>
      <c r="C590" s="1">
        <f t="shared" si="71"/>
        <v>585</v>
      </c>
      <c r="D590" s="1">
        <f>VLOOKUP(B590,rq_evidence_review!$B$1:$L$55,7,FALSE)</f>
        <v>18</v>
      </c>
      <c r="E590" s="8" t="s">
        <v>940</v>
      </c>
      <c r="F590" s="1" t="str">
        <f>_xlfn.CONCAT("samestudy_",C$589)</f>
        <v>samestudy_584</v>
      </c>
      <c r="G590" s="1" t="s">
        <v>945</v>
      </c>
      <c r="H590" s="1" t="str">
        <f t="shared" si="66"/>
        <v>Leonhardt H</v>
      </c>
      <c r="I590" s="1" t="str">
        <f t="shared" si="69"/>
        <v>2015</v>
      </c>
      <c r="J590" s="1" t="str">
        <f t="shared" si="67"/>
        <v>Leonhardt H et al., 2015</v>
      </c>
      <c r="K590" s="9" t="s">
        <v>1653</v>
      </c>
      <c r="L590" s="1" t="str">
        <f t="shared" si="68"/>
        <v/>
      </c>
    </row>
    <row r="591" spans="1:12" ht="45" hidden="1" x14ac:dyDescent="0.25">
      <c r="A591" s="1">
        <f>INDEX(rq_evidence_review!A:A, MATCH(B591, rq_evidence_review!B:B, 0))</f>
        <v>3</v>
      </c>
      <c r="B591" s="6">
        <v>3.1</v>
      </c>
      <c r="C591" s="1">
        <f t="shared" si="71"/>
        <v>586</v>
      </c>
      <c r="D591" s="1">
        <f>VLOOKUP(B591,rq_evidence_review!$B$1:$L$55,7,FALSE)</f>
        <v>18</v>
      </c>
      <c r="E591" s="8" t="s">
        <v>941</v>
      </c>
      <c r="F591" s="1" t="str">
        <f>_xlfn.CONCAT("samestudy_",C$589)</f>
        <v>samestudy_584</v>
      </c>
      <c r="G591" s="1" t="s">
        <v>945</v>
      </c>
      <c r="H591" s="1" t="str">
        <f t="shared" si="66"/>
        <v>Stener‐Victorin E</v>
      </c>
      <c r="I591" s="1" t="str">
        <f t="shared" si="69"/>
        <v>2012</v>
      </c>
      <c r="J591" s="1" t="str">
        <f t="shared" si="67"/>
        <v>Stener‐Victorin E et al., 2012</v>
      </c>
      <c r="K591" s="9" t="s">
        <v>1654</v>
      </c>
      <c r="L591" s="1" t="str">
        <f t="shared" si="68"/>
        <v/>
      </c>
    </row>
    <row r="592" spans="1:12" ht="30" hidden="1" x14ac:dyDescent="0.25">
      <c r="A592" s="1">
        <f>INDEX(rq_evidence_review!A:A, MATCH(B592, rq_evidence_review!B:B, 0))</f>
        <v>3</v>
      </c>
      <c r="B592" s="6">
        <v>3.1</v>
      </c>
      <c r="C592" s="1">
        <f t="shared" si="71"/>
        <v>587</v>
      </c>
      <c r="D592" s="1">
        <f>VLOOKUP(B592,rq_evidence_review!$B$1:$L$55,7,FALSE)</f>
        <v>18</v>
      </c>
      <c r="E592" s="8" t="s">
        <v>942</v>
      </c>
      <c r="F592" s="1" t="str">
        <f>_xlfn.CONCAT("samestudy_",C$589)</f>
        <v>samestudy_584</v>
      </c>
      <c r="G592" s="1" t="s">
        <v>945</v>
      </c>
      <c r="H592" s="1" t="str">
        <f t="shared" si="66"/>
        <v>Stener‐Victorin E</v>
      </c>
      <c r="I592" s="1" t="str">
        <f t="shared" si="69"/>
        <v>2013</v>
      </c>
      <c r="J592" s="1" t="str">
        <f t="shared" si="67"/>
        <v>Stener‐Victorin E et al., 2013</v>
      </c>
      <c r="K592" s="9" t="s">
        <v>1655</v>
      </c>
      <c r="L592" s="1" t="str">
        <f t="shared" si="68"/>
        <v/>
      </c>
    </row>
    <row r="593" spans="1:15" ht="30" hidden="1" x14ac:dyDescent="0.25">
      <c r="A593" s="1">
        <f>INDEX(rq_evidence_review!A:A, MATCH(B593, rq_evidence_review!B:B, 0))</f>
        <v>3</v>
      </c>
      <c r="B593" s="6">
        <v>3.1</v>
      </c>
      <c r="C593" s="1">
        <f t="shared" si="71"/>
        <v>588</v>
      </c>
      <c r="D593" s="1">
        <f>VLOOKUP(B593,rq_evidence_review!$B$1:$L$55,7,FALSE)</f>
        <v>18</v>
      </c>
      <c r="E593" s="8" t="s">
        <v>943</v>
      </c>
      <c r="F593" s="1" t="str">
        <f>_xlfn.CONCAT("samestudy_",C$589)</f>
        <v>samestudy_584</v>
      </c>
      <c r="G593" s="1" t="s">
        <v>945</v>
      </c>
      <c r="H593" s="1" t="str">
        <f t="shared" si="66"/>
        <v>Stener‐Victorin E</v>
      </c>
      <c r="I593" s="1" t="str">
        <f t="shared" si="69"/>
        <v>2009</v>
      </c>
      <c r="J593" s="1" t="str">
        <f t="shared" si="67"/>
        <v>Stener‐Victorin E et al., 2009</v>
      </c>
      <c r="K593" s="9" t="s">
        <v>1656</v>
      </c>
      <c r="L593" s="1" t="str">
        <f t="shared" si="68"/>
        <v/>
      </c>
    </row>
    <row r="594" spans="1:15" ht="45" hidden="1" x14ac:dyDescent="0.25">
      <c r="A594" s="1">
        <f>INDEX(rq_evidence_review!A:A, MATCH(B594, rq_evidence_review!B:B, 0))</f>
        <v>3</v>
      </c>
      <c r="B594" s="6">
        <v>3.1</v>
      </c>
      <c r="C594" s="1">
        <f t="shared" si="71"/>
        <v>589</v>
      </c>
      <c r="D594" s="1">
        <f>VLOOKUP(B594,rq_evidence_review!$B$1:$L$55,7,FALSE)</f>
        <v>18</v>
      </c>
      <c r="E594" s="8" t="s">
        <v>931</v>
      </c>
      <c r="H594" s="1" t="str">
        <f t="shared" si="66"/>
        <v>Kiel</v>
      </c>
      <c r="I594" s="1" t="str">
        <f t="shared" si="69"/>
        <v>2022</v>
      </c>
      <c r="J594" s="1" t="str">
        <f t="shared" si="67"/>
        <v>Kiel et al., 2022</v>
      </c>
      <c r="K594" s="1" t="str">
        <f>ExtractDOI(E594)</f>
        <v>10.1249/MSS.0000000000002849</v>
      </c>
      <c r="L594" s="1" t="str">
        <f t="shared" si="68"/>
        <v/>
      </c>
    </row>
    <row r="595" spans="1:15" ht="30" hidden="1" x14ac:dyDescent="0.25">
      <c r="A595" s="1">
        <f>INDEX(rq_evidence_review!A:A, MATCH(B595, rq_evidence_review!B:B, 0))</f>
        <v>3</v>
      </c>
      <c r="B595" s="6">
        <v>3.1</v>
      </c>
      <c r="C595" s="1">
        <f t="shared" si="71"/>
        <v>590</v>
      </c>
      <c r="D595" s="1">
        <f>VLOOKUP(B595,rq_evidence_review!$B$1:$L$55,7,FALSE)</f>
        <v>18</v>
      </c>
      <c r="E595" s="8" t="s">
        <v>932</v>
      </c>
      <c r="H595" s="1" t="str">
        <f t="shared" si="66"/>
        <v>Kogure</v>
      </c>
      <c r="I595" s="1" t="str">
        <f t="shared" si="69"/>
        <v>2020</v>
      </c>
      <c r="J595" s="1" t="str">
        <f t="shared" si="67"/>
        <v>Kogure et al., 2020</v>
      </c>
      <c r="K595" s="9" t="s">
        <v>1657</v>
      </c>
      <c r="L595" s="1" t="str">
        <f t="shared" si="68"/>
        <v/>
      </c>
    </row>
    <row r="596" spans="1:15" ht="45" hidden="1" x14ac:dyDescent="0.25">
      <c r="A596" s="1">
        <f>INDEX(rq_evidence_review!A:A, MATCH(B596, rq_evidence_review!B:B, 0))</f>
        <v>3</v>
      </c>
      <c r="B596" s="6">
        <v>3.1</v>
      </c>
      <c r="C596" s="1">
        <f t="shared" si="71"/>
        <v>591</v>
      </c>
      <c r="D596" s="1">
        <f>VLOOKUP(B596,rq_evidence_review!$B$1:$L$55,7,FALSE)</f>
        <v>18</v>
      </c>
      <c r="E596" s="8" t="s">
        <v>933</v>
      </c>
      <c r="H596" s="1" t="str">
        <f t="shared" si="66"/>
        <v>Moeller</v>
      </c>
      <c r="I596" s="1" t="str">
        <f t="shared" si="69"/>
        <v>2019</v>
      </c>
      <c r="J596" s="1" t="str">
        <f t="shared" si="67"/>
        <v>Moeller et al., 2019</v>
      </c>
      <c r="K596" s="1" t="str">
        <f>ExtractDOI(E596)</f>
        <v>10.1080/09513590.2018.1498832</v>
      </c>
      <c r="L596" s="1" t="str">
        <f t="shared" si="68"/>
        <v/>
      </c>
    </row>
    <row r="597" spans="1:15" ht="30" hidden="1" x14ac:dyDescent="0.25">
      <c r="A597" s="1">
        <f>INDEX(rq_evidence_review!A:A, MATCH(B597, rq_evidence_review!B:B, 0))</f>
        <v>3</v>
      </c>
      <c r="B597" s="6">
        <v>3.1</v>
      </c>
      <c r="C597" s="1">
        <f t="shared" si="71"/>
        <v>592</v>
      </c>
      <c r="D597" s="1">
        <f>VLOOKUP(B597,rq_evidence_review!$B$1:$L$55,7,FALSE)</f>
        <v>18</v>
      </c>
      <c r="E597" s="8" t="s">
        <v>934</v>
      </c>
      <c r="G597" s="1" t="s">
        <v>945</v>
      </c>
      <c r="H597" s="1" t="str">
        <f t="shared" si="66"/>
        <v>Nasrekani ZA</v>
      </c>
      <c r="I597" s="1" t="str">
        <f t="shared" si="69"/>
        <v>2016</v>
      </c>
      <c r="J597" s="1" t="str">
        <f t="shared" si="67"/>
        <v>Nasrekani ZA et al., 2016</v>
      </c>
      <c r="K597" s="1" t="str">
        <f>ExtractDOI(E597)</f>
        <v/>
      </c>
      <c r="L597" s="1" t="str">
        <f t="shared" si="68"/>
        <v/>
      </c>
      <c r="N597" s="1">
        <v>80790917</v>
      </c>
      <c r="O597" s="1" t="s">
        <v>1996</v>
      </c>
    </row>
    <row r="598" spans="1:15" ht="45" hidden="1" x14ac:dyDescent="0.25">
      <c r="A598" s="1">
        <f>INDEX(rq_evidence_review!A:A, MATCH(B598, rq_evidence_review!B:B, 0))</f>
        <v>3</v>
      </c>
      <c r="B598" s="6">
        <v>3.1</v>
      </c>
      <c r="C598" s="1">
        <f t="shared" si="71"/>
        <v>593</v>
      </c>
      <c r="D598" s="1">
        <f>VLOOKUP(B598,rq_evidence_review!$B$1:$L$55,7,FALSE)</f>
        <v>18</v>
      </c>
      <c r="E598" s="8" t="s">
        <v>935</v>
      </c>
      <c r="H598" s="1" t="str">
        <f t="shared" si="66"/>
        <v>Oberg</v>
      </c>
      <c r="I598" s="1" t="str">
        <f t="shared" si="69"/>
        <v>2019</v>
      </c>
      <c r="J598" s="1" t="str">
        <f t="shared" si="67"/>
        <v>Oberg et al., 2019</v>
      </c>
      <c r="K598" s="1" t="str">
        <f>ExtractDOI(E598)</f>
        <v>10.1111/cen.13919</v>
      </c>
      <c r="L598" s="1" t="str">
        <f t="shared" si="68"/>
        <v/>
      </c>
    </row>
    <row r="599" spans="1:15" ht="45" hidden="1" x14ac:dyDescent="0.25">
      <c r="A599" s="1">
        <f>INDEX(rq_evidence_review!A:A, MATCH(B599, rq_evidence_review!B:B, 0))</f>
        <v>3</v>
      </c>
      <c r="B599" s="6">
        <v>3.1</v>
      </c>
      <c r="C599" s="1">
        <f t="shared" si="71"/>
        <v>594</v>
      </c>
      <c r="D599" s="1">
        <f>VLOOKUP(B599,rq_evidence_review!$B$1:$L$55,7,FALSE)</f>
        <v>18</v>
      </c>
      <c r="E599" s="8" t="s">
        <v>1968</v>
      </c>
      <c r="F599" s="1" t="str">
        <f>IF(ISNUMBER(SEARCH("primary citation", E599)), "primary_citation", "")</f>
        <v>primary_citation</v>
      </c>
      <c r="H599" s="1" t="str">
        <f t="shared" si="66"/>
        <v>Ribeiro</v>
      </c>
      <c r="I599" s="1" t="str">
        <f t="shared" si="69"/>
        <v>2021</v>
      </c>
      <c r="J599" s="1" t="str">
        <f t="shared" si="67"/>
        <v>Ribeiro et al., 2021</v>
      </c>
      <c r="K599" s="1" t="str">
        <f>ExtractDOI(E599)</f>
        <v>10.1177/1359105319869806</v>
      </c>
      <c r="L599" s="1" t="str">
        <f t="shared" si="68"/>
        <v/>
      </c>
    </row>
    <row r="600" spans="1:15" ht="60" hidden="1" x14ac:dyDescent="0.25">
      <c r="A600" s="1">
        <f>INDEX(rq_evidence_review!A:A, MATCH(B600, rq_evidence_review!B:B, 0))</f>
        <v>3</v>
      </c>
      <c r="B600" s="6">
        <v>3.1</v>
      </c>
      <c r="C600" s="1">
        <f t="shared" si="71"/>
        <v>595</v>
      </c>
      <c r="D600" s="1">
        <f>VLOOKUP(B600,rq_evidence_review!$B$1:$L$55,7,FALSE)</f>
        <v>18</v>
      </c>
      <c r="E600" s="8" t="s">
        <v>946</v>
      </c>
      <c r="F600" s="1" t="str">
        <f>_xlfn.CONCAT("samestudy_",C$599)</f>
        <v>samestudy_594</v>
      </c>
      <c r="H600" s="1" t="str">
        <f t="shared" si="66"/>
        <v>Ribeiro</v>
      </c>
      <c r="I600" s="1" t="str">
        <f t="shared" si="69"/>
        <v>2021</v>
      </c>
      <c r="J600" s="1" t="str">
        <f t="shared" si="67"/>
        <v>Ribeiro et al., 2021</v>
      </c>
      <c r="K600" s="1" t="str">
        <f>ExtractDOI(E600)</f>
        <v>10.3390/ijerph182111274</v>
      </c>
      <c r="L600" s="1" t="str">
        <f t="shared" si="68"/>
        <v/>
      </c>
    </row>
    <row r="601" spans="1:15" ht="30" hidden="1" x14ac:dyDescent="0.25">
      <c r="A601" s="1">
        <f>INDEX(rq_evidence_review!A:A, MATCH(B601, rq_evidence_review!B:B, 0))</f>
        <v>3</v>
      </c>
      <c r="B601" s="6">
        <v>3.1</v>
      </c>
      <c r="C601" s="1">
        <f t="shared" si="71"/>
        <v>596</v>
      </c>
      <c r="D601" s="1">
        <f>VLOOKUP(B601,rq_evidence_review!$B$1:$L$55,7,FALSE)</f>
        <v>18</v>
      </c>
      <c r="E601" s="8" t="s">
        <v>936</v>
      </c>
      <c r="G601" s="1" t="s">
        <v>945</v>
      </c>
      <c r="H601" s="1" t="str">
        <f t="shared" si="66"/>
        <v>Saremi A</v>
      </c>
      <c r="I601" s="1" t="str">
        <f t="shared" si="69"/>
        <v>2013</v>
      </c>
      <c r="J601" s="1" t="str">
        <f t="shared" si="67"/>
        <v>Saremi A et al., 2013</v>
      </c>
      <c r="L601" s="1" t="str">
        <f t="shared" si="68"/>
        <v/>
      </c>
      <c r="M601" s="1" t="s">
        <v>1658</v>
      </c>
      <c r="O601" s="1" t="s">
        <v>1997</v>
      </c>
    </row>
    <row r="602" spans="1:15" ht="45" hidden="1" x14ac:dyDescent="0.25">
      <c r="A602" s="1">
        <f>INDEX(rq_evidence_review!A:A, MATCH(B602, rq_evidence_review!B:B, 0))</f>
        <v>3</v>
      </c>
      <c r="B602" s="6">
        <v>3.1</v>
      </c>
      <c r="C602" s="1">
        <f t="shared" si="71"/>
        <v>597</v>
      </c>
      <c r="D602" s="1">
        <f>VLOOKUP(B602,rq_evidence_review!$B$1:$L$55,7,FALSE)</f>
        <v>18</v>
      </c>
      <c r="E602" s="8" t="s">
        <v>937</v>
      </c>
      <c r="G602" s="1" t="s">
        <v>945</v>
      </c>
      <c r="H602" s="1" t="str">
        <f t="shared" si="66"/>
        <v>Stefanaki C</v>
      </c>
      <c r="I602" s="1" t="str">
        <f t="shared" si="69"/>
        <v>2015</v>
      </c>
      <c r="J602" s="1" t="str">
        <f t="shared" si="67"/>
        <v>Stefanaki C et al., 2015</v>
      </c>
      <c r="K602" s="9" t="s">
        <v>1659</v>
      </c>
      <c r="L602" s="1" t="str">
        <f t="shared" si="68"/>
        <v/>
      </c>
    </row>
    <row r="603" spans="1:15" ht="30" hidden="1" x14ac:dyDescent="0.25">
      <c r="A603" s="1">
        <f>INDEX(rq_evidence_review!A:A, MATCH(B603, rq_evidence_review!B:B, 0))</f>
        <v>3</v>
      </c>
      <c r="B603" s="6">
        <v>3.1</v>
      </c>
      <c r="C603" s="1">
        <f t="shared" si="71"/>
        <v>598</v>
      </c>
      <c r="D603" s="1">
        <f>VLOOKUP(B603,rq_evidence_review!$B$1:$L$55,7,FALSE)</f>
        <v>18</v>
      </c>
      <c r="E603" s="8" t="s">
        <v>938</v>
      </c>
      <c r="G603" s="1" t="s">
        <v>945</v>
      </c>
      <c r="H603" s="1" t="str">
        <f t="shared" si="66"/>
        <v>Turan V</v>
      </c>
      <c r="I603" s="1" t="str">
        <f t="shared" si="69"/>
        <v>2015</v>
      </c>
      <c r="J603" s="1" t="str">
        <f t="shared" si="67"/>
        <v>Turan V et al., 2015</v>
      </c>
      <c r="K603" s="9" t="s">
        <v>1660</v>
      </c>
      <c r="L603" s="1" t="str">
        <f t="shared" si="68"/>
        <v/>
      </c>
    </row>
    <row r="604" spans="1:15" ht="45" hidden="1" x14ac:dyDescent="0.25">
      <c r="A604" s="1">
        <f>INDEX(rq_evidence_review!A:A, MATCH(B604, rq_evidence_review!B:B, 0))</f>
        <v>3</v>
      </c>
      <c r="B604" s="6">
        <v>3.1</v>
      </c>
      <c r="C604" s="1">
        <f t="shared" si="71"/>
        <v>599</v>
      </c>
      <c r="D604" s="1">
        <f>VLOOKUP(B604,rq_evidence_review!$B$1:$L$55,7,FALSE)</f>
        <v>18</v>
      </c>
      <c r="E604" s="8" t="s">
        <v>939</v>
      </c>
      <c r="G604" s="1" t="s">
        <v>945</v>
      </c>
      <c r="H604" s="1" t="str">
        <f t="shared" si="66"/>
        <v>Vigorito C</v>
      </c>
      <c r="I604" s="1" t="str">
        <f t="shared" si="69"/>
        <v>2007</v>
      </c>
      <c r="J604" s="1" t="str">
        <f t="shared" si="67"/>
        <v>Vigorito C et al., 2007</v>
      </c>
      <c r="K604" s="9" t="s">
        <v>1661</v>
      </c>
      <c r="L604" s="1" t="str">
        <f t="shared" si="68"/>
        <v/>
      </c>
    </row>
    <row r="605" spans="1:15" hidden="1" x14ac:dyDescent="0.25">
      <c r="A605" s="1">
        <f>INDEX(rq_evidence_review!A:A, MATCH(B605, rq_evidence_review!B:B, 0))</f>
        <v>3</v>
      </c>
      <c r="B605" s="6">
        <f>rq_evidence_review!B27</f>
        <v>3.2</v>
      </c>
      <c r="D605" s="1">
        <f>VLOOKUP(B605,rq_evidence_review!$B$1:$L$55,7,FALSE)</f>
        <v>0</v>
      </c>
      <c r="H605" s="1" t="e">
        <f t="shared" si="66"/>
        <v>#VALUE!</v>
      </c>
      <c r="I605" s="1" t="str">
        <f t="shared" si="69"/>
        <v/>
      </c>
      <c r="J605" s="1" t="e">
        <f t="shared" si="67"/>
        <v>#VALUE!</v>
      </c>
      <c r="K605" s="1" t="str">
        <f>ExtractDOI(E605)</f>
        <v/>
      </c>
      <c r="L605" s="1" t="str">
        <f t="shared" si="68"/>
        <v/>
      </c>
    </row>
    <row r="606" spans="1:15" ht="30" hidden="1" x14ac:dyDescent="0.25">
      <c r="A606" s="1">
        <f>INDEX(rq_evidence_review!A:A, MATCH(B606, rq_evidence_review!B:B, 0))</f>
        <v>3</v>
      </c>
      <c r="B606" s="6">
        <f>rq_evidence_review!B28</f>
        <v>3.3</v>
      </c>
      <c r="C606" s="1">
        <f>C604+1</f>
        <v>600</v>
      </c>
      <c r="D606" s="1">
        <f>VLOOKUP(B606,rq_evidence_review!$B$1:$L$55,7,FALSE)</f>
        <v>12</v>
      </c>
      <c r="E606" s="8" t="s">
        <v>1969</v>
      </c>
      <c r="F606" s="1" t="str">
        <f>IF(ISNUMBER(SEARCH("primary citation", E606)), "primary_citation", "")</f>
        <v>primary_citation</v>
      </c>
      <c r="G606" s="1" t="s">
        <v>945</v>
      </c>
      <c r="H606" s="1" t="str">
        <f t="shared" si="66"/>
        <v>Asemi</v>
      </c>
      <c r="I606" s="1" t="str">
        <f t="shared" si="69"/>
        <v>2015</v>
      </c>
      <c r="J606" s="1" t="str">
        <f t="shared" si="67"/>
        <v>Asemi et al., 2015</v>
      </c>
      <c r="K606" s="9" t="s">
        <v>1663</v>
      </c>
      <c r="L606" s="1" t="str">
        <f t="shared" si="68"/>
        <v/>
      </c>
    </row>
    <row r="607" spans="1:15" ht="30" hidden="1" x14ac:dyDescent="0.25">
      <c r="A607" s="1">
        <f>INDEX(rq_evidence_review!A:A, MATCH(B607, rq_evidence_review!B:B, 0))</f>
        <v>3</v>
      </c>
      <c r="B607" s="6">
        <v>3.3</v>
      </c>
      <c r="C607" s="1">
        <f>C606+1</f>
        <v>601</v>
      </c>
      <c r="D607" s="1">
        <f>VLOOKUP(B607,rq_evidence_review!$B$1:$L$55,7,FALSE)</f>
        <v>12</v>
      </c>
      <c r="E607" s="8" t="s">
        <v>1662</v>
      </c>
      <c r="F607" s="1" t="str">
        <f>_xlfn.CONCAT("samestudy_",C$606)</f>
        <v>samestudy_600</v>
      </c>
      <c r="G607" s="1" t="s">
        <v>945</v>
      </c>
      <c r="H607" s="1" t="str">
        <f t="shared" si="66"/>
        <v>Asemi</v>
      </c>
      <c r="I607" s="1" t="str">
        <f>ExtractYear(E607)</f>
        <v>2014</v>
      </c>
      <c r="J607" s="1" t="str">
        <f>H607 &amp; " et al., " &amp; I607</f>
        <v>Asemi et al., 2014</v>
      </c>
      <c r="K607" s="9" t="s">
        <v>1664</v>
      </c>
    </row>
    <row r="608" spans="1:15" ht="60" hidden="1" x14ac:dyDescent="0.25">
      <c r="A608" s="1">
        <f>INDEX(rq_evidence_review!A:A, MATCH(B608, rq_evidence_review!B:B, 0))</f>
        <v>3</v>
      </c>
      <c r="B608" s="6">
        <v>3.3</v>
      </c>
      <c r="C608" s="1">
        <f t="shared" ref="C608:C671" si="73">C607+1</f>
        <v>602</v>
      </c>
      <c r="D608" s="1">
        <f>VLOOKUP(B608,rq_evidence_review!$B$1:$L$55,7,FALSE)</f>
        <v>12</v>
      </c>
      <c r="E608" s="8" t="s">
        <v>947</v>
      </c>
      <c r="H608" s="1" t="str">
        <f t="shared" si="66"/>
        <v>Azadi-Yazdi</v>
      </c>
      <c r="I608" s="1" t="str">
        <f t="shared" si="69"/>
        <v>2017</v>
      </c>
      <c r="J608" s="1" t="str">
        <f t="shared" si="67"/>
        <v>Azadi-Yazdi et al., 2017</v>
      </c>
      <c r="K608" s="1" t="str">
        <f>ExtractDOI(E608)</f>
        <v>10.1111/jhn.12433</v>
      </c>
      <c r="L608" s="1" t="str">
        <f t="shared" si="68"/>
        <v/>
      </c>
    </row>
    <row r="609" spans="1:12" ht="45" hidden="1" x14ac:dyDescent="0.25">
      <c r="A609" s="1">
        <f>INDEX(rq_evidence_review!A:A, MATCH(B609, rq_evidence_review!B:B, 0))</f>
        <v>3</v>
      </c>
      <c r="B609" s="6">
        <v>3.3</v>
      </c>
      <c r="C609" s="1">
        <f t="shared" si="73"/>
        <v>603</v>
      </c>
      <c r="D609" s="1">
        <f>VLOOKUP(B609,rq_evidence_review!$B$1:$L$55,7,FALSE)</f>
        <v>12</v>
      </c>
      <c r="E609" s="8" t="s">
        <v>948</v>
      </c>
      <c r="H609" s="1" t="str">
        <f t="shared" ref="H609:H674" si="74">LEFT(E609, FIND(",", E609) - 1)</f>
        <v>Foroozanfard</v>
      </c>
      <c r="I609" s="1" t="str">
        <f t="shared" si="69"/>
        <v>2017</v>
      </c>
      <c r="J609" s="1" t="str">
        <f t="shared" ref="J609:J674" si="75">H609 &amp; " et al., " &amp; I609</f>
        <v>Foroozanfard et al., 2017</v>
      </c>
      <c r="K609" s="1" t="str">
        <f t="shared" ref="K609:K674" si="76">ExtractDOI(E609)</f>
        <v>10.1111/cen.13333</v>
      </c>
      <c r="L609" s="1" t="str">
        <f t="shared" ref="L609:L674" si="77">ExtractPMID(E609)</f>
        <v/>
      </c>
    </row>
    <row r="610" spans="1:12" ht="45" hidden="1" x14ac:dyDescent="0.25">
      <c r="A610" s="1">
        <f>INDEX(rq_evidence_review!A:A, MATCH(B610, rq_evidence_review!B:B, 0))</f>
        <v>3</v>
      </c>
      <c r="B610" s="6">
        <v>3.3</v>
      </c>
      <c r="C610" s="1">
        <f t="shared" si="73"/>
        <v>604</v>
      </c>
      <c r="D610" s="1">
        <f>VLOOKUP(B610,rq_evidence_review!$B$1:$L$55,7,FALSE)</f>
        <v>12</v>
      </c>
      <c r="E610" s="8" t="s">
        <v>1975</v>
      </c>
      <c r="F610" s="1" t="str">
        <f>IF(ISNUMBER(SEARCH("primary citation", E610)), "primary_citation", "")</f>
        <v>primary_citation</v>
      </c>
      <c r="G610" s="1" t="s">
        <v>945</v>
      </c>
      <c r="H610" s="1" t="str">
        <f t="shared" si="74"/>
        <v>Gower</v>
      </c>
      <c r="I610" s="1" t="str">
        <f t="shared" ref="I610:I675" si="78">ExtractYear(E610)</f>
        <v>2013</v>
      </c>
      <c r="J610" s="1" t="str">
        <f t="shared" si="75"/>
        <v>Gower et al., 2013</v>
      </c>
      <c r="K610" s="1" t="str">
        <f t="shared" si="76"/>
        <v>10.1111/cen.12175</v>
      </c>
      <c r="L610" s="1" t="str">
        <f t="shared" si="77"/>
        <v/>
      </c>
    </row>
    <row r="611" spans="1:12" ht="45" hidden="1" x14ac:dyDescent="0.25">
      <c r="A611" s="1">
        <f>INDEX(rq_evidence_review!A:A, MATCH(B611, rq_evidence_review!B:B, 0))</f>
        <v>3</v>
      </c>
      <c r="B611" s="6">
        <v>3.3</v>
      </c>
      <c r="C611" s="1">
        <f t="shared" si="73"/>
        <v>605</v>
      </c>
      <c r="E611" s="8" t="s">
        <v>1974</v>
      </c>
      <c r="F611" s="1" t="str">
        <f>_xlfn.CONCAT("samestudy_",C$610)</f>
        <v>samestudy_604</v>
      </c>
      <c r="G611" s="1" t="s">
        <v>945</v>
      </c>
      <c r="H611" s="1" t="str">
        <f>LEFT(E611, FIND(",", E611) - 1)</f>
        <v>Hoover</v>
      </c>
      <c r="I611" s="1" t="str">
        <f>ExtractYear(E611)</f>
        <v>2021</v>
      </c>
      <c r="J611" s="1" t="str">
        <f>H611 &amp; " et al., " &amp; I611</f>
        <v>Hoover et al., 2021</v>
      </c>
      <c r="K611" s="1" t="str">
        <f>ExtractDOI(E611)</f>
        <v>10.1210/clinem/dgab028</v>
      </c>
    </row>
    <row r="612" spans="1:12" ht="45" hidden="1" x14ac:dyDescent="0.25">
      <c r="A612" s="1">
        <f>INDEX(rq_evidence_review!A:A, MATCH(B612, rq_evidence_review!B:B, 0))</f>
        <v>3</v>
      </c>
      <c r="B612" s="6">
        <v>3.3</v>
      </c>
      <c r="C612" s="1">
        <f t="shared" si="73"/>
        <v>606</v>
      </c>
      <c r="D612" s="1">
        <f>VLOOKUP(B612,rq_evidence_review!$B$1:$L$55,7,FALSE)</f>
        <v>12</v>
      </c>
      <c r="E612" s="8" t="s">
        <v>949</v>
      </c>
      <c r="H612" s="1" t="str">
        <f t="shared" si="74"/>
        <v>Hosseini Marnani E.</v>
      </c>
      <c r="I612" s="1" t="str">
        <f t="shared" si="78"/>
        <v>2020</v>
      </c>
      <c r="J612" s="1" t="str">
        <f t="shared" si="75"/>
        <v>Hosseini Marnani E. et al., 2020</v>
      </c>
      <c r="K612" s="1" t="str">
        <f t="shared" si="76"/>
        <v>10.1016/j.jff.2020.103848</v>
      </c>
      <c r="L612" s="1" t="str">
        <f t="shared" si="77"/>
        <v/>
      </c>
    </row>
    <row r="613" spans="1:12" ht="45" hidden="1" x14ac:dyDescent="0.25">
      <c r="A613" s="1">
        <f>INDEX(rq_evidence_review!A:A, MATCH(B613, rq_evidence_review!B:B, 0))</f>
        <v>3</v>
      </c>
      <c r="B613" s="6">
        <v>3.3</v>
      </c>
      <c r="C613" s="1">
        <f t="shared" si="73"/>
        <v>607</v>
      </c>
      <c r="D613" s="1">
        <f>VLOOKUP(B613,rq_evidence_review!$B$1:$L$55,7,FALSE)</f>
        <v>12</v>
      </c>
      <c r="E613" s="8" t="s">
        <v>1970</v>
      </c>
      <c r="F613" s="1" t="str">
        <f>IF(ISNUMBER(SEARCH("primary citation", E613)), "primary_citation", "")</f>
        <v>primary_citation</v>
      </c>
      <c r="H613" s="1" t="str">
        <f t="shared" si="74"/>
        <v>Kazemi</v>
      </c>
      <c r="I613" s="1" t="str">
        <f t="shared" si="78"/>
        <v>2018</v>
      </c>
      <c r="J613" s="1" t="str">
        <f t="shared" si="75"/>
        <v>Kazemi et al., 2018</v>
      </c>
      <c r="K613" s="1" t="str">
        <f t="shared" si="76"/>
        <v>10.3390/nu10101387</v>
      </c>
      <c r="L613" s="1" t="str">
        <f t="shared" si="77"/>
        <v/>
      </c>
    </row>
    <row r="614" spans="1:12" ht="60" hidden="1" x14ac:dyDescent="0.25">
      <c r="A614" s="1">
        <f>INDEX(rq_evidence_review!A:A, MATCH(B614, rq_evidence_review!B:B, 0))</f>
        <v>3</v>
      </c>
      <c r="B614" s="6">
        <v>3.3</v>
      </c>
      <c r="C614" s="1">
        <f t="shared" si="73"/>
        <v>608</v>
      </c>
      <c r="D614" s="1">
        <f>VLOOKUP(B614,rq_evidence_review!$B$1:$L$55,7,FALSE)</f>
        <v>12</v>
      </c>
      <c r="E614" s="8" t="s">
        <v>955</v>
      </c>
      <c r="F614" s="1" t="str">
        <f>_xlfn.CONCAT("samestudy_",C$614)</f>
        <v>samestudy_608</v>
      </c>
      <c r="H614" s="1" t="str">
        <f t="shared" si="74"/>
        <v>Kazemi</v>
      </c>
      <c r="I614" s="1" t="str">
        <f t="shared" si="78"/>
        <v>2020</v>
      </c>
      <c r="J614" s="1" t="str">
        <f t="shared" si="75"/>
        <v>Kazemi et al., 2020</v>
      </c>
      <c r="K614" s="1" t="str">
        <f t="shared" si="76"/>
        <v>10.1080/0167482X.2019.1666820</v>
      </c>
      <c r="L614" s="1" t="str">
        <f t="shared" si="77"/>
        <v/>
      </c>
    </row>
    <row r="615" spans="1:12" ht="45" hidden="1" x14ac:dyDescent="0.25">
      <c r="A615" s="1">
        <f>INDEX(rq_evidence_review!A:A, MATCH(B615, rq_evidence_review!B:B, 0))</f>
        <v>3</v>
      </c>
      <c r="B615" s="6">
        <v>3.3</v>
      </c>
      <c r="C615" s="1">
        <f t="shared" si="73"/>
        <v>609</v>
      </c>
      <c r="D615" s="1">
        <f>VLOOKUP(B615,rq_evidence_review!$B$1:$L$55,7,FALSE)</f>
        <v>12</v>
      </c>
      <c r="E615" s="8" t="s">
        <v>956</v>
      </c>
      <c r="F615" s="1" t="str">
        <f>_xlfn.CONCAT("samestudy_",C$614)</f>
        <v>samestudy_608</v>
      </c>
      <c r="H615" s="1" t="str">
        <f t="shared" si="74"/>
        <v>Kazemi</v>
      </c>
      <c r="I615" s="1" t="str">
        <f t="shared" si="78"/>
        <v>2020</v>
      </c>
      <c r="J615" s="1" t="str">
        <f t="shared" si="75"/>
        <v>Kazemi et al., 2020</v>
      </c>
      <c r="K615" s="1" t="str">
        <f t="shared" si="76"/>
        <v>10.1111/cen.14179</v>
      </c>
      <c r="L615" s="1" t="str">
        <f t="shared" si="77"/>
        <v/>
      </c>
    </row>
    <row r="616" spans="1:12" ht="45" hidden="1" x14ac:dyDescent="0.25">
      <c r="A616" s="1">
        <f>INDEX(rq_evidence_review!A:A, MATCH(B616, rq_evidence_review!B:B, 0))</f>
        <v>3</v>
      </c>
      <c r="B616" s="6">
        <v>3.3</v>
      </c>
      <c r="C616" s="1">
        <f t="shared" si="73"/>
        <v>610</v>
      </c>
      <c r="D616" s="1">
        <f>VLOOKUP(B616,rq_evidence_review!$B$1:$L$55,7,FALSE)</f>
        <v>12</v>
      </c>
      <c r="E616" s="8" t="s">
        <v>957</v>
      </c>
      <c r="F616" s="1" t="str">
        <f>_xlfn.CONCAT("samestudy_",C$614)</f>
        <v>samestudy_608</v>
      </c>
      <c r="H616" s="1" t="str">
        <f t="shared" si="74"/>
        <v>McBreairty</v>
      </c>
      <c r="I616" s="1" t="str">
        <f t="shared" si="78"/>
        <v>2020</v>
      </c>
      <c r="J616" s="1" t="str">
        <f t="shared" si="75"/>
        <v>McBreairty et al., 2020</v>
      </c>
      <c r="K616" s="1" t="str">
        <f t="shared" si="76"/>
        <v>10.1016/j.bonr.2020.100248</v>
      </c>
      <c r="L616" s="1" t="str">
        <f t="shared" si="77"/>
        <v/>
      </c>
    </row>
    <row r="617" spans="1:12" ht="45" hidden="1" x14ac:dyDescent="0.25">
      <c r="A617" s="1">
        <f>INDEX(rq_evidence_review!A:A, MATCH(B617, rq_evidence_review!B:B, 0))</f>
        <v>3</v>
      </c>
      <c r="B617" s="6">
        <v>3.3</v>
      </c>
      <c r="C617" s="1">
        <f t="shared" si="73"/>
        <v>611</v>
      </c>
      <c r="D617" s="1">
        <f>VLOOKUP(B617,rq_evidence_review!$B$1:$L$55,7,FALSE)</f>
        <v>12</v>
      </c>
      <c r="E617" s="8" t="s">
        <v>950</v>
      </c>
      <c r="G617" s="1" t="s">
        <v>945</v>
      </c>
      <c r="H617" s="1" t="str">
        <f t="shared" si="74"/>
        <v>Mehrabani</v>
      </c>
      <c r="I617" s="1" t="str">
        <f t="shared" si="78"/>
        <v>2012</v>
      </c>
      <c r="J617" s="1" t="str">
        <f t="shared" si="75"/>
        <v>Mehrabani et al., 2012</v>
      </c>
      <c r="K617" s="1" t="str">
        <f t="shared" si="76"/>
        <v>10.1080/07315724.2012.10720017</v>
      </c>
      <c r="L617" s="1" t="str">
        <f t="shared" si="77"/>
        <v/>
      </c>
    </row>
    <row r="618" spans="1:12" ht="30" hidden="1" x14ac:dyDescent="0.25">
      <c r="A618" s="1">
        <f>INDEX(rq_evidence_review!A:A, MATCH(B618, rq_evidence_review!B:B, 0))</f>
        <v>3</v>
      </c>
      <c r="B618" s="6">
        <v>3.3</v>
      </c>
      <c r="C618" s="1">
        <f t="shared" si="73"/>
        <v>612</v>
      </c>
      <c r="D618" s="1">
        <f>VLOOKUP(B618,rq_evidence_review!$B$1:$L$55,7,FALSE)</f>
        <v>12</v>
      </c>
      <c r="E618" s="8" t="s">
        <v>1972</v>
      </c>
      <c r="G618" s="1" t="s">
        <v>945</v>
      </c>
      <c r="H618" s="1" t="str">
        <f t="shared" si="74"/>
        <v>Moran</v>
      </c>
      <c r="I618" s="1" t="str">
        <f>ExtractYear(E618)</f>
        <v>2003</v>
      </c>
      <c r="J618" s="1" t="str">
        <f>H618 &amp; " et al., " &amp; I618</f>
        <v>Moran et al., 2003</v>
      </c>
      <c r="K618" s="1" t="s">
        <v>1973</v>
      </c>
      <c r="L618" s="10">
        <v>12574218</v>
      </c>
    </row>
    <row r="619" spans="1:12" ht="30" hidden="1" x14ac:dyDescent="0.25">
      <c r="A619" s="1">
        <v>3</v>
      </c>
      <c r="B619" s="6" t="s">
        <v>2006</v>
      </c>
      <c r="C619" s="1">
        <f t="shared" si="73"/>
        <v>613</v>
      </c>
      <c r="D619" s="1">
        <v>12</v>
      </c>
      <c r="E619" s="8" t="s">
        <v>1971</v>
      </c>
      <c r="G619" s="1" t="s">
        <v>945</v>
      </c>
      <c r="H619" s="1" t="str">
        <f t="shared" si="74"/>
        <v>Galletly C</v>
      </c>
      <c r="I619" s="1" t="str">
        <f>ExtractYear(E619)</f>
        <v>2007</v>
      </c>
      <c r="J619" s="1" t="str">
        <f>H619 &amp; " et al., " &amp; I619</f>
        <v>Galletly C et al., 2007</v>
      </c>
      <c r="K619" s="1" t="str">
        <f>ExtractDOI(E619)</f>
        <v>10.1016/j.appet.2007.03.222</v>
      </c>
      <c r="L619" s="1" t="str">
        <f>ExtractPMID(E619)</f>
        <v/>
      </c>
    </row>
    <row r="620" spans="1:12" ht="30" hidden="1" x14ac:dyDescent="0.25">
      <c r="A620" s="1">
        <f>INDEX(rq_evidence_review!A:A, MATCH(B620, rq_evidence_review!B:B, 0))</f>
        <v>3</v>
      </c>
      <c r="B620" s="6">
        <v>3.3</v>
      </c>
      <c r="C620" s="1">
        <f t="shared" si="73"/>
        <v>614</v>
      </c>
      <c r="D620" s="1">
        <f>VLOOKUP(B620,rq_evidence_review!$B$1:$L$55,7,FALSE)</f>
        <v>12</v>
      </c>
      <c r="E620" s="8" t="s">
        <v>951</v>
      </c>
      <c r="G620" s="1" t="s">
        <v>945</v>
      </c>
      <c r="H620" s="1" t="str">
        <f t="shared" si="74"/>
        <v>Panico A</v>
      </c>
      <c r="I620" s="1" t="str">
        <f t="shared" si="78"/>
        <v>2014</v>
      </c>
      <c r="J620" s="1" t="str">
        <f t="shared" si="75"/>
        <v>Panico A et al., 2014</v>
      </c>
      <c r="K620" s="9" t="s">
        <v>1665</v>
      </c>
      <c r="L620" s="1" t="str">
        <f t="shared" si="77"/>
        <v/>
      </c>
    </row>
    <row r="621" spans="1:12" ht="30" hidden="1" x14ac:dyDescent="0.25">
      <c r="A621" s="1">
        <f>INDEX(rq_evidence_review!A:A, MATCH(B621, rq_evidence_review!B:B, 0))</f>
        <v>3</v>
      </c>
      <c r="B621" s="6">
        <v>3.3</v>
      </c>
      <c r="C621" s="1">
        <f t="shared" si="73"/>
        <v>615</v>
      </c>
      <c r="D621" s="1">
        <f>VLOOKUP(B621,rq_evidence_review!$B$1:$L$55,7,FALSE)</f>
        <v>12</v>
      </c>
      <c r="E621" s="8" t="s">
        <v>952</v>
      </c>
      <c r="G621" s="1" t="s">
        <v>945</v>
      </c>
      <c r="H621" s="1" t="str">
        <f t="shared" si="74"/>
        <v>Stamets K</v>
      </c>
      <c r="I621" s="1" t="str">
        <f t="shared" si="78"/>
        <v>2004</v>
      </c>
      <c r="J621" s="1" t="str">
        <f t="shared" si="75"/>
        <v>Stamets K et al., 2004</v>
      </c>
      <c r="K621" s="9" t="s">
        <v>1666</v>
      </c>
      <c r="L621" s="1" t="str">
        <f t="shared" si="77"/>
        <v/>
      </c>
    </row>
    <row r="622" spans="1:12" ht="60" hidden="1" x14ac:dyDescent="0.25">
      <c r="A622" s="1">
        <f>INDEX(rq_evidence_review!A:A, MATCH(B622, rq_evidence_review!B:B, 0))</f>
        <v>3</v>
      </c>
      <c r="B622" s="6">
        <v>3.3</v>
      </c>
      <c r="C622" s="1">
        <f t="shared" si="73"/>
        <v>616</v>
      </c>
      <c r="D622" s="1">
        <f>VLOOKUP(B622,rq_evidence_review!$B$1:$L$55,7,FALSE)</f>
        <v>12</v>
      </c>
      <c r="E622" s="8" t="s">
        <v>953</v>
      </c>
      <c r="G622" s="1" t="s">
        <v>945</v>
      </c>
      <c r="H622" s="1" t="str">
        <f t="shared" si="74"/>
        <v>Toscani</v>
      </c>
      <c r="I622" s="1" t="str">
        <f t="shared" si="78"/>
        <v>2011</v>
      </c>
      <c r="J622" s="1" t="str">
        <f t="shared" si="75"/>
        <v>Toscani et al., 2011</v>
      </c>
      <c r="K622" s="1" t="str">
        <f t="shared" si="76"/>
        <v>10.3109/09513590.2011.564686</v>
      </c>
      <c r="L622" s="1" t="str">
        <f t="shared" si="77"/>
        <v/>
      </c>
    </row>
    <row r="623" spans="1:12" ht="30" hidden="1" x14ac:dyDescent="0.25">
      <c r="A623" s="1">
        <f>INDEX(rq_evidence_review!A:A, MATCH(B623, rq_evidence_review!B:B, 0))</f>
        <v>3</v>
      </c>
      <c r="B623" s="6">
        <v>3.3</v>
      </c>
      <c r="C623" s="1">
        <f t="shared" si="73"/>
        <v>617</v>
      </c>
      <c r="D623" s="1">
        <f>VLOOKUP(B623,rq_evidence_review!$B$1:$L$55,7,FALSE)</f>
        <v>12</v>
      </c>
      <c r="E623" s="8" t="s">
        <v>954</v>
      </c>
      <c r="G623" s="1" t="s">
        <v>945</v>
      </c>
      <c r="H623" s="1" t="str">
        <f t="shared" si="74"/>
        <v>Wong</v>
      </c>
      <c r="I623" s="1" t="str">
        <f t="shared" si="78"/>
        <v>2016</v>
      </c>
      <c r="J623" s="1" t="str">
        <f t="shared" si="75"/>
        <v>Wong et al., 2016</v>
      </c>
      <c r="K623" s="1" t="str">
        <f t="shared" si="76"/>
        <v>10.1111/ijpo.12047</v>
      </c>
      <c r="L623" s="1" t="str">
        <f t="shared" si="77"/>
        <v/>
      </c>
    </row>
    <row r="624" spans="1:12" ht="45" hidden="1" x14ac:dyDescent="0.25">
      <c r="A624" s="1">
        <f>INDEX(rq_evidence_review!A:A, MATCH(B624, rq_evidence_review!B:B, 0))</f>
        <v>3</v>
      </c>
      <c r="B624" s="6">
        <f>rq_evidence_review!B29</f>
        <v>3.4</v>
      </c>
      <c r="C624" s="1">
        <f t="shared" si="73"/>
        <v>618</v>
      </c>
      <c r="D624" s="1">
        <f>VLOOKUP(B624,rq_evidence_review!$B$1:$L$55,7,FALSE)</f>
        <v>5</v>
      </c>
      <c r="E624" s="8" t="s">
        <v>958</v>
      </c>
      <c r="H624" s="1" t="str">
        <f t="shared" si="74"/>
        <v>Almenning I</v>
      </c>
      <c r="I624" s="1" t="str">
        <f t="shared" si="78"/>
        <v>2015</v>
      </c>
      <c r="J624" s="1" t="str">
        <f t="shared" si="75"/>
        <v>Almenning I et al., 2015</v>
      </c>
      <c r="K624" s="1" t="str">
        <f t="shared" si="76"/>
        <v>10.1371/journal.pone.0138793</v>
      </c>
      <c r="L624" s="1" t="str">
        <f t="shared" si="77"/>
        <v/>
      </c>
    </row>
    <row r="625" spans="1:15" ht="30" hidden="1" x14ac:dyDescent="0.25">
      <c r="A625" s="1">
        <f>INDEX(rq_evidence_review!A:A, MATCH(B625, rq_evidence_review!B:B, 0))</f>
        <v>3</v>
      </c>
      <c r="B625" s="6">
        <v>3.4</v>
      </c>
      <c r="C625" s="1">
        <f t="shared" si="73"/>
        <v>619</v>
      </c>
      <c r="D625" s="1">
        <f>VLOOKUP(B625,rq_evidence_review!$B$1:$L$55,7,FALSE)</f>
        <v>5</v>
      </c>
      <c r="E625" s="8" t="s">
        <v>959</v>
      </c>
      <c r="H625" s="1" t="str">
        <f t="shared" si="74"/>
        <v>Benham JL</v>
      </c>
      <c r="I625" s="1" t="str">
        <f t="shared" si="78"/>
        <v>2021</v>
      </c>
      <c r="J625" s="1" t="str">
        <f t="shared" si="75"/>
        <v>Benham JL et al., 2021</v>
      </c>
      <c r="K625" s="1" t="str">
        <f t="shared" si="76"/>
        <v>10.1111/cen.14452</v>
      </c>
      <c r="L625" s="1" t="str">
        <f t="shared" si="77"/>
        <v/>
      </c>
    </row>
    <row r="626" spans="1:15" ht="45" hidden="1" x14ac:dyDescent="0.25">
      <c r="A626" s="1">
        <f>INDEX(rq_evidence_review!A:A, MATCH(B626, rq_evidence_review!B:B, 0))</f>
        <v>3</v>
      </c>
      <c r="B626" s="6">
        <v>3.4</v>
      </c>
      <c r="C626" s="1">
        <f t="shared" si="73"/>
        <v>620</v>
      </c>
      <c r="D626" s="1">
        <f>VLOOKUP(B626,rq_evidence_review!$B$1:$L$55,7,FALSE)</f>
        <v>5</v>
      </c>
      <c r="E626" s="8" t="s">
        <v>1977</v>
      </c>
      <c r="F626" s="1" t="str">
        <f>IF(ISNUMBER(SEARCH("primary citation", E626)), "primary_citation", "")</f>
        <v>primary_citation</v>
      </c>
      <c r="H626" s="1" t="str">
        <f t="shared" si="74"/>
        <v>Lopes IP</v>
      </c>
      <c r="I626" s="1" t="str">
        <f t="shared" si="78"/>
        <v>2018</v>
      </c>
      <c r="J626" s="1" t="str">
        <f t="shared" si="75"/>
        <v>Lopes IP et al., 2018</v>
      </c>
      <c r="K626" s="1" t="str">
        <f t="shared" si="76"/>
        <v>10.1016/j.jsxm.2018.09.002</v>
      </c>
      <c r="L626" s="1" t="str">
        <f t="shared" si="77"/>
        <v/>
      </c>
    </row>
    <row r="627" spans="1:15" ht="45" hidden="1" x14ac:dyDescent="0.25">
      <c r="A627" s="1">
        <f>INDEX(rq_evidence_review!A:A, MATCH(B627, rq_evidence_review!B:B, 0))</f>
        <v>3</v>
      </c>
      <c r="B627" s="6">
        <v>3.4</v>
      </c>
      <c r="C627" s="1">
        <f t="shared" si="73"/>
        <v>621</v>
      </c>
      <c r="D627" s="1">
        <f>VLOOKUP(B627,rq_evidence_review!$B$1:$L$55,7,FALSE)</f>
        <v>5</v>
      </c>
      <c r="E627" s="8" t="s">
        <v>962</v>
      </c>
      <c r="F627" s="1" t="str">
        <f>_xlfn.CONCAT("samestudy_",C$626)</f>
        <v>samestudy_620</v>
      </c>
      <c r="H627" s="1" t="str">
        <f t="shared" si="74"/>
        <v>Ribeiro VB</v>
      </c>
      <c r="I627" s="1" t="str">
        <f t="shared" si="78"/>
        <v>2020</v>
      </c>
      <c r="J627" s="1" t="str">
        <f t="shared" si="75"/>
        <v>Ribeiro VB et al., 2020</v>
      </c>
      <c r="K627" s="1" t="str">
        <f t="shared" si="76"/>
        <v>10.1111/cen.14194</v>
      </c>
      <c r="L627" s="1" t="str">
        <f t="shared" si="77"/>
        <v/>
      </c>
    </row>
    <row r="628" spans="1:15" ht="45" hidden="1" x14ac:dyDescent="0.25">
      <c r="A628" s="1">
        <f>INDEX(rq_evidence_review!A:A, MATCH(B628, rq_evidence_review!B:B, 0))</f>
        <v>3</v>
      </c>
      <c r="B628" s="6">
        <v>3.4</v>
      </c>
      <c r="C628" s="1">
        <f t="shared" si="73"/>
        <v>622</v>
      </c>
      <c r="D628" s="1">
        <f>VLOOKUP(B628,rq_evidence_review!$B$1:$L$55,7,FALSE)</f>
        <v>5</v>
      </c>
      <c r="E628" s="8" t="s">
        <v>963</v>
      </c>
      <c r="F628" s="1" t="str">
        <f>_xlfn.CONCAT("samestudy_",C$626)</f>
        <v>samestudy_620</v>
      </c>
      <c r="H628" s="1" t="str">
        <f t="shared" si="74"/>
        <v>Ribeiro VB</v>
      </c>
      <c r="I628" s="1" t="str">
        <f t="shared" si="78"/>
        <v>2021</v>
      </c>
      <c r="J628" s="1" t="str">
        <f t="shared" si="75"/>
        <v>Ribeiro VB et al., 2021</v>
      </c>
      <c r="K628" s="1" t="str">
        <f t="shared" si="76"/>
        <v>10.1177/1359105319869806</v>
      </c>
      <c r="L628" s="1" t="str">
        <f t="shared" si="77"/>
        <v/>
      </c>
    </row>
    <row r="629" spans="1:15" ht="45" hidden="1" x14ac:dyDescent="0.25">
      <c r="A629" s="1">
        <f>INDEX(rq_evidence_review!A:A, MATCH(B629, rq_evidence_review!B:B, 0))</f>
        <v>3</v>
      </c>
      <c r="B629" s="6">
        <v>3.4</v>
      </c>
      <c r="C629" s="1">
        <f t="shared" si="73"/>
        <v>623</v>
      </c>
      <c r="D629" s="1">
        <f>VLOOKUP(B629,rq_evidence_review!$B$1:$L$55,7,FALSE)</f>
        <v>5</v>
      </c>
      <c r="E629" s="8" t="s">
        <v>960</v>
      </c>
      <c r="H629" s="1" t="str">
        <f t="shared" si="74"/>
        <v>Patten RK</v>
      </c>
      <c r="I629" s="1" t="str">
        <f t="shared" si="78"/>
        <v>2022</v>
      </c>
      <c r="J629" s="1" t="str">
        <f t="shared" si="75"/>
        <v>Patten RK et al., 2022</v>
      </c>
      <c r="K629" s="1" t="str">
        <f t="shared" si="76"/>
        <v>10.1093/humrep/deac047</v>
      </c>
      <c r="L629" s="1" t="str">
        <f t="shared" si="77"/>
        <v/>
      </c>
    </row>
    <row r="630" spans="1:15" ht="45" hidden="1" x14ac:dyDescent="0.25">
      <c r="A630" s="1">
        <f>INDEX(rq_evidence_review!A:A, MATCH(B630, rq_evidence_review!B:B, 0))</f>
        <v>3</v>
      </c>
      <c r="B630" s="6">
        <v>3.4</v>
      </c>
      <c r="C630" s="1">
        <f t="shared" si="73"/>
        <v>624</v>
      </c>
      <c r="D630" s="1">
        <f>VLOOKUP(B630,rq_evidence_review!$B$1:$L$55,7,FALSE)</f>
        <v>5</v>
      </c>
      <c r="E630" s="8" t="s">
        <v>961</v>
      </c>
      <c r="H630" s="1" t="str">
        <f t="shared" si="74"/>
        <v>Thomson RL</v>
      </c>
      <c r="I630" s="1" t="str">
        <f t="shared" si="78"/>
        <v>2008</v>
      </c>
      <c r="J630" s="1" t="str">
        <f t="shared" si="75"/>
        <v>Thomson RL et al., 2008</v>
      </c>
      <c r="K630" s="1" t="str">
        <f t="shared" si="76"/>
        <v>10.1210/jc.2008-0751</v>
      </c>
      <c r="L630" s="1" t="str">
        <f t="shared" si="77"/>
        <v/>
      </c>
    </row>
    <row r="631" spans="1:15" ht="30" hidden="1" x14ac:dyDescent="0.25">
      <c r="A631" s="1">
        <f>INDEX(rq_evidence_review!A:A, MATCH(B631, rq_evidence_review!B:B, 0))</f>
        <v>3</v>
      </c>
      <c r="B631" s="6">
        <f>rq_evidence_review!B30</f>
        <v>3.5</v>
      </c>
      <c r="C631" s="1">
        <f t="shared" si="73"/>
        <v>625</v>
      </c>
      <c r="D631" s="1">
        <f>VLOOKUP(B631,rq_evidence_review!$B$1:$L$55,7,FALSE)</f>
        <v>70</v>
      </c>
      <c r="E631" s="8" t="s">
        <v>964</v>
      </c>
      <c r="H631" s="1" t="str">
        <f t="shared" si="74"/>
        <v>Ahmadi A</v>
      </c>
      <c r="I631" s="1" t="str">
        <f t="shared" si="78"/>
        <v>2013</v>
      </c>
      <c r="J631" s="1" t="str">
        <f t="shared" si="75"/>
        <v>Ahmadi A et al., 2013</v>
      </c>
      <c r="K631" s="1" t="str">
        <f t="shared" si="76"/>
        <v>10.4103/2230-8210.113759</v>
      </c>
      <c r="L631" s="1" t="str">
        <f t="shared" si="77"/>
        <v>23961484</v>
      </c>
    </row>
    <row r="632" spans="1:15" ht="30" hidden="1" x14ac:dyDescent="0.25">
      <c r="A632" s="1">
        <f>INDEX(rq_evidence_review!A:A, MATCH(B632, rq_evidence_review!B:B, 0))</f>
        <v>3</v>
      </c>
      <c r="B632" s="6">
        <v>3.5</v>
      </c>
      <c r="C632" s="1">
        <f t="shared" si="73"/>
        <v>626</v>
      </c>
      <c r="D632" s="1">
        <f>VLOOKUP(B632,rq_evidence_review!$B$1:$L$55,7,FALSE)</f>
        <v>70</v>
      </c>
      <c r="E632" s="8" t="s">
        <v>965</v>
      </c>
      <c r="H632" s="1" t="str">
        <f t="shared" si="74"/>
        <v>Alipouri</v>
      </c>
      <c r="I632" s="1" t="str">
        <f t="shared" si="78"/>
        <v>2019</v>
      </c>
      <c r="J632" s="1" t="str">
        <f t="shared" si="75"/>
        <v>Alipouri et al., 2019</v>
      </c>
      <c r="K632" s="9" t="s">
        <v>1986</v>
      </c>
      <c r="L632" s="1" t="str">
        <f t="shared" si="77"/>
        <v/>
      </c>
      <c r="O632" s="1" t="s">
        <v>2009</v>
      </c>
    </row>
    <row r="633" spans="1:15" ht="45" hidden="1" x14ac:dyDescent="0.25">
      <c r="A633" s="1">
        <f>INDEX(rq_evidence_review!A:A, MATCH(B633, rq_evidence_review!B:B, 0))</f>
        <v>3</v>
      </c>
      <c r="B633" s="6">
        <v>3.5</v>
      </c>
      <c r="C633" s="1">
        <f t="shared" si="73"/>
        <v>627</v>
      </c>
      <c r="D633" s="1">
        <f>VLOOKUP(B633,rq_evidence_review!$B$1:$L$55,7,FALSE)</f>
        <v>70</v>
      </c>
      <c r="E633" s="8" t="s">
        <v>966</v>
      </c>
      <c r="H633" s="1" t="str">
        <f t="shared" si="74"/>
        <v>Altieri P</v>
      </c>
      <c r="I633" s="1" t="str">
        <f t="shared" si="78"/>
        <v>2013</v>
      </c>
      <c r="J633" s="1" t="str">
        <f t="shared" si="75"/>
        <v>Altieri P et al., 2013</v>
      </c>
      <c r="K633" s="1" t="str">
        <f t="shared" si="76"/>
        <v>10.1111/j.1365-2265.2012.04355.x</v>
      </c>
      <c r="L633" s="1" t="str">
        <f t="shared" si="77"/>
        <v>22288821</v>
      </c>
    </row>
    <row r="634" spans="1:15" ht="30" hidden="1" x14ac:dyDescent="0.25">
      <c r="A634" s="1">
        <f>INDEX(rq_evidence_review!A:A, MATCH(B634, rq_evidence_review!B:B, 0))</f>
        <v>3</v>
      </c>
      <c r="B634" s="6">
        <v>3.5</v>
      </c>
      <c r="C634" s="1">
        <f t="shared" si="73"/>
        <v>628</v>
      </c>
      <c r="D634" s="1">
        <f>VLOOKUP(B634,rq_evidence_review!$B$1:$L$55,7,FALSE)</f>
        <v>70</v>
      </c>
      <c r="E634" s="8" t="s">
        <v>967</v>
      </c>
      <c r="H634" s="1" t="str">
        <f t="shared" si="74"/>
        <v>Alvarez-Blasco</v>
      </c>
      <c r="I634" s="1" t="str">
        <f t="shared" si="78"/>
        <v>2011</v>
      </c>
      <c r="J634" s="1" t="str">
        <f t="shared" si="75"/>
        <v>Alvarez-Blasco et al., 2011</v>
      </c>
      <c r="K634" s="1" t="s">
        <v>1667</v>
      </c>
      <c r="L634" s="1" t="str">
        <f t="shared" si="77"/>
        <v/>
      </c>
    </row>
    <row r="635" spans="1:15" ht="45" hidden="1" x14ac:dyDescent="0.25">
      <c r="A635" s="1">
        <f>INDEX(rq_evidence_review!A:A, MATCH(B635, rq_evidence_review!B:B, 0))</f>
        <v>3</v>
      </c>
      <c r="B635" s="6">
        <v>3.5</v>
      </c>
      <c r="C635" s="1">
        <f t="shared" si="73"/>
        <v>629</v>
      </c>
      <c r="D635" s="1">
        <f>VLOOKUP(B635,rq_evidence_review!$B$1:$L$55,7,FALSE)</f>
        <v>70</v>
      </c>
      <c r="E635" s="8" t="s">
        <v>968</v>
      </c>
      <c r="H635" s="1" t="str">
        <f t="shared" si="74"/>
        <v>Amirjani S</v>
      </c>
      <c r="I635" s="1" t="str">
        <f t="shared" si="78"/>
        <v>2019</v>
      </c>
      <c r="J635" s="1" t="str">
        <f t="shared" si="75"/>
        <v>Amirjani S et al., 2019</v>
      </c>
      <c r="K635" s="1" t="str">
        <f t="shared" si="76"/>
        <v>10.1111/jhn.12646</v>
      </c>
      <c r="L635" s="1" t="str">
        <f t="shared" si="77"/>
        <v>30859625</v>
      </c>
    </row>
    <row r="636" spans="1:15" ht="45" hidden="1" x14ac:dyDescent="0.25">
      <c r="A636" s="1">
        <f>INDEX(rq_evidence_review!A:A, MATCH(B636, rq_evidence_review!B:B, 0))</f>
        <v>3</v>
      </c>
      <c r="B636" s="6">
        <v>3.5</v>
      </c>
      <c r="C636" s="1">
        <f t="shared" si="73"/>
        <v>630</v>
      </c>
      <c r="D636" s="1">
        <f>VLOOKUP(B636,rq_evidence_review!$B$1:$L$55,7,FALSE)</f>
        <v>70</v>
      </c>
      <c r="E636" s="8" t="s">
        <v>1978</v>
      </c>
      <c r="H636" s="1" t="str">
        <f t="shared" si="74"/>
        <v>Arusoglu G</v>
      </c>
      <c r="I636" s="1" t="str">
        <f t="shared" si="78"/>
        <v>2020</v>
      </c>
      <c r="J636" s="1" t="str">
        <f t="shared" si="75"/>
        <v>Arusoglu G et al., 2020</v>
      </c>
      <c r="K636" s="1" t="str">
        <f t="shared" si="76"/>
        <v>10.1155/2020/9191505</v>
      </c>
      <c r="L636" s="1" t="str">
        <f t="shared" si="77"/>
        <v>32455003</v>
      </c>
    </row>
    <row r="637" spans="1:15" ht="45" hidden="1" x14ac:dyDescent="0.25">
      <c r="A637" s="1">
        <f>INDEX(rq_evidence_review!A:A, MATCH(B637, rq_evidence_review!B:B, 0))</f>
        <v>3</v>
      </c>
      <c r="B637" s="6">
        <v>3.5</v>
      </c>
      <c r="C637" s="1">
        <f t="shared" si="73"/>
        <v>631</v>
      </c>
      <c r="D637" s="1">
        <f>VLOOKUP(B637,rq_evidence_review!$B$1:$L$55,7,FALSE)</f>
        <v>70</v>
      </c>
      <c r="E637" s="8" t="s">
        <v>969</v>
      </c>
      <c r="H637" s="1" t="str">
        <f t="shared" si="74"/>
        <v>Badri-Fariman M</v>
      </c>
      <c r="I637" s="1" t="str">
        <f t="shared" si="78"/>
        <v>2021</v>
      </c>
      <c r="J637" s="1" t="str">
        <f t="shared" si="75"/>
        <v>Badri-Fariman M et al., 2021</v>
      </c>
      <c r="K637" s="1" t="str">
        <f t="shared" si="76"/>
        <v>10.1186/s13048-021-00890-1</v>
      </c>
      <c r="L637" s="1" t="str">
        <f t="shared" si="77"/>
        <v>34645502</v>
      </c>
    </row>
    <row r="638" spans="1:15" ht="30" hidden="1" x14ac:dyDescent="0.25">
      <c r="A638" s="1">
        <f>INDEX(rq_evidence_review!A:A, MATCH(B638, rq_evidence_review!B:B, 0))</f>
        <v>3</v>
      </c>
      <c r="B638" s="6">
        <v>3.5</v>
      </c>
      <c r="C638" s="1">
        <f t="shared" si="73"/>
        <v>632</v>
      </c>
      <c r="D638" s="1">
        <f>VLOOKUP(B638,rq_evidence_review!$B$1:$L$55,7,FALSE)</f>
        <v>70</v>
      </c>
      <c r="E638" s="8" t="s">
        <v>970</v>
      </c>
      <c r="H638" s="1" t="str">
        <f t="shared" si="74"/>
        <v>Banting LK</v>
      </c>
      <c r="I638" s="1" t="str">
        <f t="shared" si="78"/>
        <v>2014</v>
      </c>
      <c r="J638" s="1" t="str">
        <f t="shared" si="75"/>
        <v>Banting LK et al., 2014</v>
      </c>
      <c r="K638" s="1" t="str">
        <f t="shared" si="76"/>
        <v>10.1186/1472-6874-14-51</v>
      </c>
      <c r="L638" s="1" t="str">
        <f t="shared" si="77"/>
        <v>24674140</v>
      </c>
    </row>
    <row r="639" spans="1:15" ht="45" hidden="1" x14ac:dyDescent="0.25">
      <c r="A639" s="1">
        <f>INDEX(rq_evidence_review!A:A, MATCH(B639, rq_evidence_review!B:B, 0))</f>
        <v>3</v>
      </c>
      <c r="B639" s="6">
        <v>3.5</v>
      </c>
      <c r="C639" s="1">
        <f t="shared" si="73"/>
        <v>633</v>
      </c>
      <c r="D639" s="1">
        <f>VLOOKUP(B639,rq_evidence_review!$B$1:$L$55,7,FALSE)</f>
        <v>70</v>
      </c>
      <c r="E639" s="8" t="s">
        <v>971</v>
      </c>
      <c r="H639" s="1" t="str">
        <f t="shared" si="74"/>
        <v>Barrea L</v>
      </c>
      <c r="I639" s="1" t="str">
        <f t="shared" si="78"/>
        <v>2019</v>
      </c>
      <c r="J639" s="1" t="str">
        <f t="shared" si="75"/>
        <v>Barrea L et al., 2019</v>
      </c>
      <c r="K639" s="1" t="str">
        <f t="shared" si="76"/>
        <v>10.3390/nu11102278</v>
      </c>
      <c r="L639" s="1" t="str">
        <f t="shared" si="77"/>
        <v>31547562</v>
      </c>
    </row>
    <row r="640" spans="1:15" ht="45" hidden="1" x14ac:dyDescent="0.25">
      <c r="A640" s="1">
        <f>INDEX(rq_evidence_review!A:A, MATCH(B640, rq_evidence_review!B:B, 0))</f>
        <v>3</v>
      </c>
      <c r="B640" s="6">
        <v>3.5</v>
      </c>
      <c r="C640" s="1">
        <f t="shared" si="73"/>
        <v>634</v>
      </c>
      <c r="D640" s="1">
        <f>VLOOKUP(B640,rq_evidence_review!$B$1:$L$55,7,FALSE)</f>
        <v>70</v>
      </c>
      <c r="E640" s="8" t="s">
        <v>972</v>
      </c>
      <c r="H640" s="1" t="str">
        <f t="shared" si="74"/>
        <v>Bykowska-Derda A</v>
      </c>
      <c r="I640" s="1" t="str">
        <f t="shared" si="78"/>
        <v>2021</v>
      </c>
      <c r="J640" s="1" t="str">
        <f t="shared" si="75"/>
        <v>Bykowska-Derda A et al., 2021</v>
      </c>
      <c r="K640" s="1" t="str">
        <f t="shared" si="76"/>
        <v>10.1017/S1368980020001755</v>
      </c>
      <c r="L640" s="1" t="str">
        <f t="shared" si="77"/>
        <v>32693854</v>
      </c>
    </row>
    <row r="641" spans="1:12" ht="45" hidden="1" x14ac:dyDescent="0.25">
      <c r="A641" s="1">
        <f>INDEX(rq_evidence_review!A:A, MATCH(B641, rq_evidence_review!B:B, 0))</f>
        <v>3</v>
      </c>
      <c r="B641" s="6">
        <v>3.5</v>
      </c>
      <c r="C641" s="1">
        <f t="shared" si="73"/>
        <v>635</v>
      </c>
      <c r="D641" s="1">
        <f>VLOOKUP(B641,rq_evidence_review!$B$1:$L$55,7,FALSE)</f>
        <v>70</v>
      </c>
      <c r="E641" s="8" t="s">
        <v>973</v>
      </c>
      <c r="H641" s="1" t="str">
        <f t="shared" si="74"/>
        <v>Cutillas-Tolín A</v>
      </c>
      <c r="I641" s="1" t="str">
        <f t="shared" si="78"/>
        <v>2021</v>
      </c>
      <c r="J641" s="1" t="str">
        <f t="shared" si="75"/>
        <v>Cutillas-Tolín A et al., 2021</v>
      </c>
      <c r="K641" s="1" t="str">
        <f t="shared" si="76"/>
        <v>10.3390/nu13020313</v>
      </c>
      <c r="L641" s="1" t="str">
        <f t="shared" si="77"/>
        <v>33499268</v>
      </c>
    </row>
    <row r="642" spans="1:12" ht="30" hidden="1" x14ac:dyDescent="0.25">
      <c r="A642" s="1">
        <f>INDEX(rq_evidence_review!A:A, MATCH(B642, rq_evidence_review!B:B, 0))</f>
        <v>3</v>
      </c>
      <c r="B642" s="6">
        <v>3.5</v>
      </c>
      <c r="C642" s="1">
        <f t="shared" si="73"/>
        <v>636</v>
      </c>
      <c r="D642" s="1">
        <f>VLOOKUP(B642,rq_evidence_review!$B$1:$L$55,7,FALSE)</f>
        <v>70</v>
      </c>
      <c r="E642" s="8" t="s">
        <v>974</v>
      </c>
      <c r="H642" s="1" t="str">
        <f t="shared" si="74"/>
        <v>Cutler DA</v>
      </c>
      <c r="I642" s="1" t="str">
        <f t="shared" si="78"/>
        <v>2019</v>
      </c>
      <c r="J642" s="1" t="str">
        <f t="shared" si="75"/>
        <v>Cutler DA et al., 2019</v>
      </c>
      <c r="K642" s="1" t="str">
        <f t="shared" si="76"/>
        <v>10.1002/fsn3.977</v>
      </c>
      <c r="L642" s="1" t="str">
        <f t="shared" si="77"/>
        <v>31024716</v>
      </c>
    </row>
    <row r="643" spans="1:12" ht="30" hidden="1" x14ac:dyDescent="0.25">
      <c r="A643" s="1">
        <f>INDEX(rq_evidence_review!A:A, MATCH(B643, rq_evidence_review!B:B, 0))</f>
        <v>3</v>
      </c>
      <c r="B643" s="6">
        <v>3.5</v>
      </c>
      <c r="C643" s="1">
        <f t="shared" si="73"/>
        <v>637</v>
      </c>
      <c r="D643" s="1">
        <f>VLOOKUP(B643,rq_evidence_review!$B$1:$L$55,7,FALSE)</f>
        <v>70</v>
      </c>
      <c r="E643" s="8" t="s">
        <v>975</v>
      </c>
      <c r="H643" s="1" t="str">
        <f t="shared" si="74"/>
        <v>Cunha NBD</v>
      </c>
      <c r="I643" s="1" t="str">
        <f t="shared" si="78"/>
        <v>2019</v>
      </c>
      <c r="J643" s="1" t="str">
        <f t="shared" si="75"/>
        <v>Cunha NBD et al., 2019</v>
      </c>
      <c r="K643" s="1" t="str">
        <f t="shared" si="76"/>
        <v>10.1016/j.clnu.2018.10.012</v>
      </c>
      <c r="L643" s="1" t="str">
        <f t="shared" si="77"/>
        <v>30449604</v>
      </c>
    </row>
    <row r="644" spans="1:12" ht="60" hidden="1" x14ac:dyDescent="0.25">
      <c r="A644" s="1">
        <f>INDEX(rq_evidence_review!A:A, MATCH(B644, rq_evidence_review!B:B, 0))</f>
        <v>3</v>
      </c>
      <c r="B644" s="6">
        <v>3.5</v>
      </c>
      <c r="C644" s="1">
        <f t="shared" si="73"/>
        <v>638</v>
      </c>
      <c r="D644" s="1">
        <f>VLOOKUP(B644,rq_evidence_review!$B$1:$L$55,7,FALSE)</f>
        <v>70</v>
      </c>
      <c r="E644" s="8" t="s">
        <v>976</v>
      </c>
      <c r="H644" s="1" t="str">
        <f t="shared" si="74"/>
        <v>Dantas WS</v>
      </c>
      <c r="I644" s="1" t="str">
        <f t="shared" si="78"/>
        <v>2015</v>
      </c>
      <c r="J644" s="1" t="str">
        <f t="shared" si="75"/>
        <v>Dantas WS et al., 2015</v>
      </c>
      <c r="K644" s="1" t="str">
        <f t="shared" si="76"/>
        <v>10.1002/oby.21217</v>
      </c>
    </row>
    <row r="645" spans="1:12" ht="30" hidden="1" x14ac:dyDescent="0.25">
      <c r="A645" s="1">
        <f>INDEX(rq_evidence_review!A:A, MATCH(B645, rq_evidence_review!B:B, 0))</f>
        <v>3</v>
      </c>
      <c r="B645" s="6">
        <v>3.5</v>
      </c>
      <c r="C645" s="1">
        <f t="shared" si="73"/>
        <v>639</v>
      </c>
      <c r="D645" s="1">
        <f>VLOOKUP(B645,rq_evidence_review!$B$1:$L$55,7,FALSE)</f>
        <v>70</v>
      </c>
      <c r="E645" s="8" t="s">
        <v>977</v>
      </c>
      <c r="H645" s="1" t="str">
        <f t="shared" si="74"/>
        <v>De Giuseppe R</v>
      </c>
      <c r="I645" s="1" t="str">
        <f t="shared" si="78"/>
        <v>2019</v>
      </c>
      <c r="J645" s="1" t="str">
        <f t="shared" si="75"/>
        <v>De Giuseppe R et al., 2019</v>
      </c>
      <c r="K645" s="1" t="str">
        <f t="shared" si="76"/>
        <v>10.1111/1747-0080.12460</v>
      </c>
      <c r="L645" s="1" t="str">
        <f t="shared" si="77"/>
        <v>30079594</v>
      </c>
    </row>
    <row r="646" spans="1:12" ht="30" hidden="1" x14ac:dyDescent="0.25">
      <c r="A646" s="1">
        <f>INDEX(rq_evidence_review!A:A, MATCH(B646, rq_evidence_review!B:B, 0))</f>
        <v>3</v>
      </c>
      <c r="B646" s="6">
        <v>3.5</v>
      </c>
      <c r="C646" s="1">
        <f t="shared" si="73"/>
        <v>640</v>
      </c>
      <c r="D646" s="1">
        <f>VLOOKUP(B646,rq_evidence_review!$B$1:$L$55,7,FALSE)</f>
        <v>70</v>
      </c>
      <c r="E646" s="8" t="s">
        <v>978</v>
      </c>
      <c r="H646" s="1" t="str">
        <f t="shared" si="74"/>
        <v>Douglas CC</v>
      </c>
      <c r="I646" s="1" t="str">
        <f t="shared" si="78"/>
        <v>2006</v>
      </c>
      <c r="J646" s="1" t="str">
        <f t="shared" si="75"/>
        <v>Douglas CC et al., 2006</v>
      </c>
      <c r="K646" s="1" t="str">
        <f t="shared" si="76"/>
        <v>10.1016/j.fertnstert.2005.12.054</v>
      </c>
      <c r="L646" s="1" t="str">
        <f t="shared" si="77"/>
        <v>16762348</v>
      </c>
    </row>
    <row r="647" spans="1:12" ht="30" hidden="1" x14ac:dyDescent="0.25">
      <c r="A647" s="1">
        <f>INDEX(rq_evidence_review!A:A, MATCH(B647, rq_evidence_review!B:B, 0))</f>
        <v>3</v>
      </c>
      <c r="B647" s="6">
        <v>3.5</v>
      </c>
      <c r="C647" s="1">
        <f t="shared" si="73"/>
        <v>641</v>
      </c>
      <c r="D647" s="1">
        <f>VLOOKUP(B647,rq_evidence_review!$B$1:$L$55,7,FALSE)</f>
        <v>70</v>
      </c>
      <c r="E647" s="8" t="s">
        <v>979</v>
      </c>
      <c r="H647" s="1" t="str">
        <f t="shared" si="74"/>
        <v>Eslamian G</v>
      </c>
      <c r="I647" s="1" t="str">
        <f t="shared" si="78"/>
        <v>2017</v>
      </c>
      <c r="J647" s="1" t="str">
        <f t="shared" si="75"/>
        <v>Eslamian G et al., 2017</v>
      </c>
      <c r="K647" s="1" t="str">
        <f t="shared" si="76"/>
        <v>10.1111/jhn.12388</v>
      </c>
      <c r="L647" s="1" t="str">
        <f t="shared" si="77"/>
        <v>27296009</v>
      </c>
    </row>
    <row r="648" spans="1:12" ht="45" hidden="1" x14ac:dyDescent="0.25">
      <c r="A648" s="1">
        <f>INDEX(rq_evidence_review!A:A, MATCH(B648, rq_evidence_review!B:B, 0))</f>
        <v>3</v>
      </c>
      <c r="B648" s="6">
        <v>3.5</v>
      </c>
      <c r="C648" s="1">
        <f t="shared" si="73"/>
        <v>642</v>
      </c>
      <c r="D648" s="1">
        <f>VLOOKUP(B648,rq_evidence_review!$B$1:$L$55,7,FALSE)</f>
        <v>70</v>
      </c>
      <c r="E648" s="8" t="s">
        <v>980</v>
      </c>
      <c r="H648" s="1" t="str">
        <f t="shared" si="74"/>
        <v>Forslund M</v>
      </c>
      <c r="I648" s="1" t="str">
        <f t="shared" si="78"/>
        <v>2020</v>
      </c>
      <c r="J648" s="1" t="str">
        <f t="shared" si="75"/>
        <v>Forslund M et al., 2020</v>
      </c>
      <c r="K648" s="1" t="str">
        <f t="shared" si="76"/>
        <v>10.1093/hropen/hoz042</v>
      </c>
      <c r="L648" s="1" t="str">
        <f t="shared" si="77"/>
        <v>31976382</v>
      </c>
    </row>
    <row r="649" spans="1:12" ht="45" hidden="1" x14ac:dyDescent="0.25">
      <c r="A649" s="1">
        <f>INDEX(rq_evidence_review!A:A, MATCH(B649, rq_evidence_review!B:B, 0))</f>
        <v>3</v>
      </c>
      <c r="B649" s="6">
        <v>3.5</v>
      </c>
      <c r="C649" s="1">
        <f t="shared" si="73"/>
        <v>643</v>
      </c>
      <c r="D649" s="1">
        <f>VLOOKUP(B649,rq_evidence_review!$B$1:$L$55,7,FALSE)</f>
        <v>70</v>
      </c>
      <c r="E649" s="8" t="s">
        <v>981</v>
      </c>
      <c r="H649" s="1" t="str">
        <f t="shared" si="74"/>
        <v>Ganie MA</v>
      </c>
      <c r="I649" s="1" t="str">
        <f t="shared" si="78"/>
        <v>2019</v>
      </c>
      <c r="J649" s="1" t="str">
        <f t="shared" si="75"/>
        <v>Ganie MA et al., 2019</v>
      </c>
      <c r="K649" s="1" t="str">
        <f t="shared" si="76"/>
        <v>10.3389/fendo.2019.00699</v>
      </c>
      <c r="L649" s="1" t="str">
        <f t="shared" si="77"/>
        <v>31781027</v>
      </c>
    </row>
    <row r="650" spans="1:12" ht="45" hidden="1" x14ac:dyDescent="0.25">
      <c r="A650" s="1">
        <f>INDEX(rq_evidence_review!A:A, MATCH(B650, rq_evidence_review!B:B, 0))</f>
        <v>3</v>
      </c>
      <c r="B650" s="6">
        <v>3.5</v>
      </c>
      <c r="C650" s="1">
        <f t="shared" si="73"/>
        <v>644</v>
      </c>
      <c r="D650" s="1">
        <f>VLOOKUP(B650,rq_evidence_review!$B$1:$L$55,7,FALSE)</f>
        <v>70</v>
      </c>
      <c r="E650" s="8" t="s">
        <v>982</v>
      </c>
      <c r="H650" s="1" t="str">
        <f t="shared" si="74"/>
        <v>Pourghassem Gargari B</v>
      </c>
      <c r="I650" s="1" t="str">
        <f t="shared" si="78"/>
        <v>2015</v>
      </c>
      <c r="J650" s="1" t="str">
        <f t="shared" si="75"/>
        <v>Pourghassem Gargari B et al., 2015</v>
      </c>
      <c r="K650" s="1" t="str">
        <f t="shared" si="76"/>
        <v>10.22074/ijfs.2015.4546</v>
      </c>
      <c r="L650" s="1" t="str">
        <f t="shared" si="77"/>
        <v>26644854</v>
      </c>
    </row>
    <row r="651" spans="1:12" ht="30" hidden="1" x14ac:dyDescent="0.25">
      <c r="A651" s="1">
        <f>INDEX(rq_evidence_review!A:A, MATCH(B651, rq_evidence_review!B:B, 0))</f>
        <v>3</v>
      </c>
      <c r="B651" s="6">
        <v>3.5</v>
      </c>
      <c r="C651" s="1">
        <f t="shared" si="73"/>
        <v>645</v>
      </c>
      <c r="D651" s="1">
        <f>VLOOKUP(B651,rq_evidence_review!$B$1:$L$55,7,FALSE)</f>
        <v>70</v>
      </c>
      <c r="E651" s="8" t="s">
        <v>983</v>
      </c>
      <c r="H651" s="1" t="str">
        <f t="shared" si="74"/>
        <v xml:space="preserve">Gopalan U </v>
      </c>
      <c r="I651" s="1" t="str">
        <f t="shared" si="78"/>
        <v>2021</v>
      </c>
      <c r="J651" s="1" t="str">
        <f t="shared" si="75"/>
        <v>Gopalan U  et al., 2021</v>
      </c>
      <c r="K651" s="9" t="s">
        <v>1668</v>
      </c>
      <c r="L651" s="1" t="str">
        <f t="shared" si="77"/>
        <v/>
      </c>
    </row>
    <row r="652" spans="1:12" ht="45" hidden="1" x14ac:dyDescent="0.25">
      <c r="A652" s="1">
        <f>INDEX(rq_evidence_review!A:A, MATCH(B652, rq_evidence_review!B:B, 0))</f>
        <v>3</v>
      </c>
      <c r="B652" s="6">
        <v>3.5</v>
      </c>
      <c r="C652" s="1">
        <f t="shared" si="73"/>
        <v>646</v>
      </c>
      <c r="D652" s="1">
        <f>VLOOKUP(B652,rq_evidence_review!$B$1:$L$55,7,FALSE)</f>
        <v>70</v>
      </c>
      <c r="E652" s="8" t="s">
        <v>984</v>
      </c>
      <c r="H652" s="1" t="str">
        <f t="shared" si="74"/>
        <v>Graff SK</v>
      </c>
      <c r="I652" s="1" t="str">
        <f t="shared" si="78"/>
        <v>2013</v>
      </c>
      <c r="J652" s="1" t="str">
        <f t="shared" si="75"/>
        <v>Graff SK et al., 2013</v>
      </c>
      <c r="K652" s="1" t="str">
        <f t="shared" si="76"/>
        <v>10.1016/j.fertnstert.2013.06.005</v>
      </c>
      <c r="L652" s="1" t="str">
        <f t="shared" si="77"/>
        <v>23830153</v>
      </c>
    </row>
    <row r="653" spans="1:12" ht="30" hidden="1" x14ac:dyDescent="0.25">
      <c r="A653" s="1">
        <f>INDEX(rq_evidence_review!A:A, MATCH(B653, rq_evidence_review!B:B, 0))</f>
        <v>3</v>
      </c>
      <c r="B653" s="6">
        <v>3.5</v>
      </c>
      <c r="C653" s="1">
        <f t="shared" si="73"/>
        <v>647</v>
      </c>
      <c r="D653" s="1">
        <f>VLOOKUP(B653,rq_evidence_review!$B$1:$L$55,7,FALSE)</f>
        <v>70</v>
      </c>
      <c r="E653" s="8" t="s">
        <v>985</v>
      </c>
      <c r="H653" s="1" t="str">
        <f t="shared" si="74"/>
        <v>Graff SK</v>
      </c>
      <c r="I653" s="1" t="str">
        <f t="shared" si="78"/>
        <v>2017</v>
      </c>
      <c r="J653" s="1" t="str">
        <f t="shared" si="75"/>
        <v>Graff SK et al., 2017</v>
      </c>
      <c r="K653" s="1" t="str">
        <f t="shared" si="76"/>
        <v>10.1159/000484325</v>
      </c>
      <c r="L653" s="1" t="str">
        <f t="shared" si="77"/>
        <v>29136632</v>
      </c>
    </row>
    <row r="654" spans="1:12" ht="30" hidden="1" x14ac:dyDescent="0.25">
      <c r="A654" s="1">
        <f>INDEX(rq_evidence_review!A:A, MATCH(B654, rq_evidence_review!B:B, 0))</f>
        <v>3</v>
      </c>
      <c r="B654" s="6">
        <v>3.5</v>
      </c>
      <c r="C654" s="1">
        <f t="shared" si="73"/>
        <v>648</v>
      </c>
      <c r="D654" s="1">
        <f>VLOOKUP(B654,rq_evidence_review!$B$1:$L$55,7,FALSE)</f>
        <v>70</v>
      </c>
      <c r="E654" s="8" t="s">
        <v>986</v>
      </c>
      <c r="H654" s="1" t="str">
        <f t="shared" si="74"/>
        <v>Hosseini MS</v>
      </c>
      <c r="I654" s="1" t="str">
        <f t="shared" si="78"/>
        <v>2017</v>
      </c>
      <c r="J654" s="1" t="str">
        <f t="shared" si="75"/>
        <v>Hosseini MS et al., 2017</v>
      </c>
      <c r="K654" s="1" t="str">
        <f t="shared" si="76"/>
        <v/>
      </c>
      <c r="L654" s="1" t="str">
        <f t="shared" si="77"/>
        <v>29662966</v>
      </c>
    </row>
    <row r="655" spans="1:12" ht="45" hidden="1" x14ac:dyDescent="0.25">
      <c r="A655" s="1">
        <f>INDEX(rq_evidence_review!A:A, MATCH(B655, rq_evidence_review!B:B, 0))</f>
        <v>3</v>
      </c>
      <c r="B655" s="6">
        <v>3.5</v>
      </c>
      <c r="C655" s="1">
        <f t="shared" si="73"/>
        <v>649</v>
      </c>
      <c r="D655" s="1">
        <f>VLOOKUP(B655,rq_evidence_review!$B$1:$L$55,7,FALSE)</f>
        <v>70</v>
      </c>
      <c r="E655" s="8" t="s">
        <v>987</v>
      </c>
      <c r="H655" s="1" t="str">
        <f t="shared" si="74"/>
        <v>Huijgen NA</v>
      </c>
      <c r="I655" s="1" t="str">
        <f t="shared" si="78"/>
        <v>2015</v>
      </c>
      <c r="J655" s="1" t="str">
        <f t="shared" si="75"/>
        <v>Huijgen NA et al., 2015</v>
      </c>
      <c r="K655" s="1" t="str">
        <f t="shared" si="76"/>
        <v>10.1371/journal.pone.0142772</v>
      </c>
      <c r="L655" s="1" t="str">
        <f t="shared" si="77"/>
        <v>26569630</v>
      </c>
    </row>
    <row r="656" spans="1:12" ht="45" hidden="1" x14ac:dyDescent="0.25">
      <c r="A656" s="1">
        <f>INDEX(rq_evidence_review!A:A, MATCH(B656, rq_evidence_review!B:B, 0))</f>
        <v>3</v>
      </c>
      <c r="B656" s="6">
        <v>3.5</v>
      </c>
      <c r="C656" s="1">
        <f t="shared" si="73"/>
        <v>650</v>
      </c>
      <c r="D656" s="1">
        <f>VLOOKUP(B656,rq_evidence_review!$B$1:$L$55,7,FALSE)</f>
        <v>70</v>
      </c>
      <c r="E656" s="8" t="s">
        <v>988</v>
      </c>
      <c r="H656" s="1" t="str">
        <f t="shared" si="74"/>
        <v>Kazemi Jaliseh H</v>
      </c>
      <c r="I656" s="1" t="str">
        <f t="shared" si="78"/>
        <v>2017</v>
      </c>
      <c r="J656" s="1" t="str">
        <f t="shared" si="75"/>
        <v>Kazemi Jaliseh H et al., 2017</v>
      </c>
      <c r="K656" s="1" t="str">
        <f t="shared" si="76"/>
        <v>10.1016/j.fertnstert.2017.09.004</v>
      </c>
      <c r="L656" s="1" t="str">
        <f t="shared" si="77"/>
        <v>29202960</v>
      </c>
    </row>
    <row r="657" spans="1:12" ht="45" hidden="1" x14ac:dyDescent="0.25">
      <c r="A657" s="1">
        <f>INDEX(rq_evidence_review!A:A, MATCH(B657, rq_evidence_review!B:B, 0))</f>
        <v>3</v>
      </c>
      <c r="B657" s="6">
        <v>3.5</v>
      </c>
      <c r="C657" s="1">
        <f t="shared" si="73"/>
        <v>651</v>
      </c>
      <c r="D657" s="1">
        <f>VLOOKUP(B657,rq_evidence_review!$B$1:$L$55,7,FALSE)</f>
        <v>70</v>
      </c>
      <c r="E657" s="8" t="s">
        <v>989</v>
      </c>
      <c r="H657" s="1" t="str">
        <f t="shared" si="74"/>
        <v>Jurewicz J</v>
      </c>
      <c r="I657" s="1" t="str">
        <f t="shared" si="78"/>
        <v>2021</v>
      </c>
      <c r="J657" s="1" t="str">
        <f t="shared" si="75"/>
        <v>Jurewicz J et al., 2021</v>
      </c>
      <c r="K657" s="1" t="str">
        <f t="shared" si="76"/>
        <v>10.1016/j.envpol.2020.115962</v>
      </c>
      <c r="L657" s="1" t="str">
        <f t="shared" si="77"/>
        <v>33223334</v>
      </c>
    </row>
    <row r="658" spans="1:12" ht="30" hidden="1" x14ac:dyDescent="0.25">
      <c r="A658" s="1">
        <f>INDEX(rq_evidence_review!A:A, MATCH(B658, rq_evidence_review!B:B, 0))</f>
        <v>3</v>
      </c>
      <c r="B658" s="6">
        <v>3.5</v>
      </c>
      <c r="C658" s="1">
        <f t="shared" si="73"/>
        <v>652</v>
      </c>
      <c r="D658" s="1">
        <f>VLOOKUP(B658,rq_evidence_review!$B$1:$L$55,7,FALSE)</f>
        <v>70</v>
      </c>
      <c r="E658" s="8" t="s">
        <v>990</v>
      </c>
      <c r="H658" s="1" t="str">
        <f t="shared" si="74"/>
        <v>Khademi A</v>
      </c>
      <c r="I658" s="1" t="str">
        <f t="shared" si="78"/>
        <v>2010</v>
      </c>
      <c r="J658" s="1" t="str">
        <f t="shared" si="75"/>
        <v>Khademi A et al., 2010</v>
      </c>
      <c r="K658" s="1" t="str">
        <f t="shared" si="76"/>
        <v>10.5812/asjsm.34874</v>
      </c>
      <c r="L658" s="1" t="str">
        <f t="shared" si="77"/>
        <v>22375190</v>
      </c>
    </row>
    <row r="659" spans="1:12" ht="30" hidden="1" x14ac:dyDescent="0.25">
      <c r="A659" s="1">
        <f>INDEX(rq_evidence_review!A:A, MATCH(B659, rq_evidence_review!B:B, 0))</f>
        <v>3</v>
      </c>
      <c r="B659" s="6">
        <v>3.5</v>
      </c>
      <c r="C659" s="1">
        <f t="shared" si="73"/>
        <v>653</v>
      </c>
      <c r="D659" s="1">
        <f>VLOOKUP(B659,rq_evidence_review!$B$1:$L$55,7,FALSE)</f>
        <v>70</v>
      </c>
      <c r="E659" s="8" t="s">
        <v>991</v>
      </c>
      <c r="H659" s="1" t="str">
        <f t="shared" si="74"/>
        <v>Larsson I</v>
      </c>
      <c r="I659" s="1" t="str">
        <f t="shared" si="78"/>
        <v>2016</v>
      </c>
      <c r="J659" s="1" t="str">
        <f t="shared" si="75"/>
        <v>Larsson I et al., 2016</v>
      </c>
      <c r="K659" s="1" t="str">
        <f t="shared" si="76"/>
        <v>10.1016/j.clnu.2015.02.006</v>
      </c>
      <c r="L659" s="1" t="str">
        <f t="shared" si="77"/>
        <v>25743212</v>
      </c>
    </row>
    <row r="660" spans="1:12" ht="45" hidden="1" x14ac:dyDescent="0.25">
      <c r="A660" s="1">
        <f>INDEX(rq_evidence_review!A:A, MATCH(B660, rq_evidence_review!B:B, 0))</f>
        <v>3</v>
      </c>
      <c r="B660" s="6">
        <v>3.5</v>
      </c>
      <c r="C660" s="1">
        <f t="shared" si="73"/>
        <v>654</v>
      </c>
      <c r="D660" s="1">
        <f>VLOOKUP(B660,rq_evidence_review!$B$1:$L$55,7,FALSE)</f>
        <v>70</v>
      </c>
      <c r="E660" s="8" t="s">
        <v>992</v>
      </c>
      <c r="H660" s="1" t="str">
        <f t="shared" si="74"/>
        <v>Lerchbaum E</v>
      </c>
      <c r="I660" s="1" t="str">
        <f t="shared" si="78"/>
        <v>2021</v>
      </c>
      <c r="J660" s="1" t="str">
        <f t="shared" si="75"/>
        <v>Lerchbaum E et al., 2021</v>
      </c>
      <c r="K660" s="1" t="str">
        <f t="shared" si="76"/>
        <v>10.3390/nu13020547</v>
      </c>
      <c r="L660" s="1" t="str">
        <f t="shared" si="77"/>
        <v>33562394</v>
      </c>
    </row>
    <row r="661" spans="1:12" ht="30" hidden="1" x14ac:dyDescent="0.25">
      <c r="A661" s="1">
        <f>INDEX(rq_evidence_review!A:A, MATCH(B661, rq_evidence_review!B:B, 0))</f>
        <v>3</v>
      </c>
      <c r="B661" s="6">
        <v>3.5</v>
      </c>
      <c r="C661" s="1">
        <f t="shared" si="73"/>
        <v>655</v>
      </c>
      <c r="D661" s="1">
        <f>VLOOKUP(B661,rq_evidence_review!$B$1:$L$55,7,FALSE)</f>
        <v>70</v>
      </c>
      <c r="E661" s="8" t="s">
        <v>993</v>
      </c>
      <c r="H661" s="1" t="str">
        <f t="shared" si="74"/>
        <v>Liang Z</v>
      </c>
      <c r="I661" s="1" t="str">
        <f t="shared" si="78"/>
        <v>2021</v>
      </c>
      <c r="J661" s="1" t="str">
        <f t="shared" si="75"/>
        <v>Liang Z et al., 2021</v>
      </c>
      <c r="K661" s="1" t="str">
        <f t="shared" si="76"/>
        <v>10.1007/s40618-020-01481-5</v>
      </c>
      <c r="L661" s="1" t="str">
        <f t="shared" si="77"/>
        <v>33387350</v>
      </c>
    </row>
    <row r="662" spans="1:12" ht="45" hidden="1" x14ac:dyDescent="0.25">
      <c r="A662" s="1">
        <f>INDEX(rq_evidence_review!A:A, MATCH(B662, rq_evidence_review!B:B, 0))</f>
        <v>3</v>
      </c>
      <c r="B662" s="6">
        <v>3.5</v>
      </c>
      <c r="C662" s="1">
        <f t="shared" si="73"/>
        <v>656</v>
      </c>
      <c r="D662" s="1">
        <f>VLOOKUP(B662,rq_evidence_review!$B$1:$L$55,7,FALSE)</f>
        <v>70</v>
      </c>
      <c r="E662" s="8" t="s">
        <v>994</v>
      </c>
      <c r="H662" s="1" t="str">
        <f t="shared" si="74"/>
        <v>Lin AW</v>
      </c>
      <c r="I662" s="1" t="str">
        <f t="shared" si="78"/>
        <v>2019</v>
      </c>
      <c r="J662" s="1" t="str">
        <f t="shared" si="75"/>
        <v>Lin AW et al., 2019</v>
      </c>
      <c r="K662" s="1" t="str">
        <f t="shared" si="76"/>
        <v>10.3390/nu11112711</v>
      </c>
      <c r="L662" s="1" t="str">
        <f t="shared" si="77"/>
        <v>31717369</v>
      </c>
    </row>
    <row r="663" spans="1:12" ht="45" hidden="1" x14ac:dyDescent="0.25">
      <c r="A663" s="1">
        <f>INDEX(rq_evidence_review!A:A, MATCH(B663, rq_evidence_review!B:B, 0))</f>
        <v>3</v>
      </c>
      <c r="B663" s="6">
        <v>3.5</v>
      </c>
      <c r="C663" s="1">
        <f t="shared" si="73"/>
        <v>657</v>
      </c>
      <c r="D663" s="1">
        <f>VLOOKUP(B663,rq_evidence_review!$B$1:$L$55,7,FALSE)</f>
        <v>70</v>
      </c>
      <c r="E663" s="8" t="s">
        <v>995</v>
      </c>
      <c r="H663" s="1" t="str">
        <f t="shared" si="74"/>
        <v>Lin AW</v>
      </c>
      <c r="I663" s="1" t="str">
        <f t="shared" si="78"/>
        <v>2021</v>
      </c>
      <c r="J663" s="1" t="str">
        <f t="shared" si="75"/>
        <v>Lin AW et al., 2021</v>
      </c>
      <c r="K663" s="1" t="str">
        <f t="shared" si="76"/>
        <v>10.1186/s12889-020-10028-5</v>
      </c>
      <c r="L663" s="1" t="str">
        <f t="shared" si="77"/>
        <v>33407255</v>
      </c>
    </row>
    <row r="664" spans="1:12" ht="30" hidden="1" x14ac:dyDescent="0.25">
      <c r="A664" s="1">
        <f>INDEX(rq_evidence_review!A:A, MATCH(B664, rq_evidence_review!B:B, 0))</f>
        <v>3</v>
      </c>
      <c r="B664" s="6">
        <v>3.5</v>
      </c>
      <c r="C664" s="1">
        <f t="shared" si="73"/>
        <v>658</v>
      </c>
      <c r="D664" s="1">
        <f>VLOOKUP(B664,rq_evidence_review!$B$1:$L$55,7,FALSE)</f>
        <v>70</v>
      </c>
      <c r="E664" s="8" t="s">
        <v>996</v>
      </c>
      <c r="H664" s="1" t="str">
        <f t="shared" si="74"/>
        <v>Lu L</v>
      </c>
      <c r="I664" s="1" t="str">
        <f t="shared" si="78"/>
        <v>2021</v>
      </c>
      <c r="J664" s="1" t="str">
        <f t="shared" si="75"/>
        <v>Lu L et al., 2021</v>
      </c>
      <c r="K664" s="1" t="str">
        <f t="shared" si="76"/>
        <v>10.1017/S0007114521003007</v>
      </c>
      <c r="L664" s="1" t="str">
        <f t="shared" si="77"/>
        <v>34372961</v>
      </c>
    </row>
    <row r="665" spans="1:12" ht="30" hidden="1" x14ac:dyDescent="0.25">
      <c r="A665" s="1">
        <f>INDEX(rq_evidence_review!A:A, MATCH(B665, rq_evidence_review!B:B, 0))</f>
        <v>3</v>
      </c>
      <c r="B665" s="6">
        <v>3.5</v>
      </c>
      <c r="C665" s="1">
        <f t="shared" si="73"/>
        <v>659</v>
      </c>
      <c r="D665" s="1">
        <f>VLOOKUP(B665,rq_evidence_review!$B$1:$L$55,7,FALSE)</f>
        <v>70</v>
      </c>
      <c r="E665" s="8" t="s">
        <v>997</v>
      </c>
      <c r="H665" s="1" t="str">
        <f t="shared" si="74"/>
        <v>Mario FM</v>
      </c>
      <c r="I665" s="1" t="str">
        <f t="shared" si="78"/>
        <v>2012</v>
      </c>
      <c r="J665" s="1" t="str">
        <f t="shared" si="75"/>
        <v>Mario FM et al., 2012</v>
      </c>
      <c r="K665" s="1" t="str">
        <f t="shared" si="76"/>
        <v>10.1055/s-0032-1309006</v>
      </c>
      <c r="L665" s="1" t="str">
        <f t="shared" si="77"/>
        <v>22576259</v>
      </c>
    </row>
    <row r="666" spans="1:12" ht="30" hidden="1" x14ac:dyDescent="0.25">
      <c r="A666" s="1">
        <f>INDEX(rq_evidence_review!A:A, MATCH(B666, rq_evidence_review!B:B, 0))</f>
        <v>3</v>
      </c>
      <c r="B666" s="6">
        <v>3.5</v>
      </c>
      <c r="C666" s="1">
        <f t="shared" si="73"/>
        <v>660</v>
      </c>
      <c r="D666" s="1">
        <f>VLOOKUP(B666,rq_evidence_review!$B$1:$L$55,7,FALSE)</f>
        <v>70</v>
      </c>
      <c r="E666" s="8" t="s">
        <v>998</v>
      </c>
      <c r="H666" s="1" t="str">
        <f t="shared" si="74"/>
        <v>Mario FM</v>
      </c>
      <c r="I666" s="1" t="str">
        <f t="shared" si="78"/>
        <v>2017</v>
      </c>
      <c r="J666" s="1" t="str">
        <f t="shared" si="75"/>
        <v>Mario FM et al., 2017</v>
      </c>
      <c r="K666" s="1" t="str">
        <f t="shared" si="76"/>
        <v>10.1007/s40618-016-0570-1</v>
      </c>
      <c r="L666" s="1" t="str">
        <f t="shared" si="77"/>
        <v>27771865</v>
      </c>
    </row>
    <row r="667" spans="1:12" ht="30" hidden="1" x14ac:dyDescent="0.25">
      <c r="A667" s="1">
        <f>INDEX(rq_evidence_review!A:A, MATCH(B667, rq_evidence_review!B:B, 0))</f>
        <v>3</v>
      </c>
      <c r="B667" s="6">
        <v>3.5</v>
      </c>
      <c r="C667" s="1">
        <f t="shared" si="73"/>
        <v>661</v>
      </c>
      <c r="D667" s="1">
        <f>VLOOKUP(B667,rq_evidence_review!$B$1:$L$55,7,FALSE)</f>
        <v>70</v>
      </c>
      <c r="E667" s="8" t="s">
        <v>999</v>
      </c>
      <c r="H667" s="1" t="str">
        <f t="shared" si="74"/>
        <v>Melekoglu E</v>
      </c>
      <c r="I667" s="1" t="str">
        <f t="shared" si="78"/>
        <v>2020</v>
      </c>
      <c r="J667" s="1" t="str">
        <f t="shared" si="75"/>
        <v>Melekoglu E et al., 2020</v>
      </c>
      <c r="K667" s="1" t="str">
        <f t="shared" si="76"/>
        <v>10.1080/07315724.2019.1705200</v>
      </c>
      <c r="L667" s="1" t="str">
        <f t="shared" si="77"/>
        <v>31887072</v>
      </c>
    </row>
    <row r="668" spans="1:12" ht="30" hidden="1" x14ac:dyDescent="0.25">
      <c r="A668" s="1">
        <f>INDEX(rq_evidence_review!A:A, MATCH(B668, rq_evidence_review!B:B, 0))</f>
        <v>3</v>
      </c>
      <c r="B668" s="6">
        <v>3.5</v>
      </c>
      <c r="C668" s="1">
        <f t="shared" si="73"/>
        <v>662</v>
      </c>
      <c r="D668" s="1">
        <f>VLOOKUP(B668,rq_evidence_review!$B$1:$L$55,7,FALSE)</f>
        <v>70</v>
      </c>
      <c r="E668" s="8" t="s">
        <v>1000</v>
      </c>
      <c r="H668" s="1" t="str">
        <f t="shared" si="74"/>
        <v>Misir A</v>
      </c>
      <c r="I668" s="1" t="str">
        <f t="shared" si="78"/>
        <v>2016</v>
      </c>
      <c r="J668" s="1" t="str">
        <f t="shared" si="75"/>
        <v>Misir A et al., 2016</v>
      </c>
      <c r="K668" s="1" t="str">
        <f t="shared" si="76"/>
        <v>10.2298/mpns1610274m</v>
      </c>
      <c r="L668" s="1" t="str">
        <f t="shared" si="77"/>
        <v>29693849</v>
      </c>
    </row>
    <row r="669" spans="1:12" ht="45" hidden="1" x14ac:dyDescent="0.25">
      <c r="A669" s="1">
        <f>INDEX(rq_evidence_review!A:A, MATCH(B669, rq_evidence_review!B:B, 0))</f>
        <v>3</v>
      </c>
      <c r="B669" s="6">
        <v>3.5</v>
      </c>
      <c r="C669" s="1">
        <f t="shared" si="73"/>
        <v>663</v>
      </c>
      <c r="D669" s="1">
        <f>VLOOKUP(B669,rq_evidence_review!$B$1:$L$55,7,FALSE)</f>
        <v>70</v>
      </c>
      <c r="E669" s="8" t="s">
        <v>1001</v>
      </c>
      <c r="H669" s="1" t="str">
        <f t="shared" si="74"/>
        <v>Navarro-Lafuente F</v>
      </c>
      <c r="I669" s="1" t="str">
        <f t="shared" si="78"/>
        <v>2022</v>
      </c>
      <c r="J669" s="1" t="str">
        <f t="shared" si="75"/>
        <v>Navarro-Lafuente F et al., 2022</v>
      </c>
      <c r="K669" s="1" t="str">
        <f t="shared" si="76"/>
        <v>10.1016/j.rbmo.2021.08.015</v>
      </c>
      <c r="L669" s="1" t="str">
        <f t="shared" si="77"/>
        <v>34654614</v>
      </c>
    </row>
    <row r="670" spans="1:12" ht="45" hidden="1" x14ac:dyDescent="0.25">
      <c r="A670" s="1">
        <f>INDEX(rq_evidence_review!A:A, MATCH(B670, rq_evidence_review!B:B, 0))</f>
        <v>3</v>
      </c>
      <c r="B670" s="6">
        <v>3.5</v>
      </c>
      <c r="C670" s="1">
        <f t="shared" si="73"/>
        <v>664</v>
      </c>
      <c r="D670" s="1">
        <f>VLOOKUP(B670,rq_evidence_review!$B$1:$L$55,7,FALSE)</f>
        <v>70</v>
      </c>
      <c r="E670" s="8" t="s">
        <v>1002</v>
      </c>
      <c r="H670" s="1" t="str">
        <f t="shared" si="74"/>
        <v>Neubronner SA</v>
      </c>
      <c r="I670" s="1" t="str">
        <f t="shared" si="78"/>
        <v>2021</v>
      </c>
      <c r="J670" s="1" t="str">
        <f t="shared" si="75"/>
        <v>Neubronner SA et al., 2021</v>
      </c>
      <c r="K670" s="1" t="str">
        <f t="shared" si="76"/>
        <v>10.1186/s12905-021-01277-6</v>
      </c>
      <c r="L670" s="1" t="str">
        <f t="shared" si="77"/>
        <v>33794861</v>
      </c>
    </row>
    <row r="671" spans="1:12" ht="45" hidden="1" x14ac:dyDescent="0.25">
      <c r="A671" s="1">
        <f>INDEX(rq_evidence_review!A:A, MATCH(B671, rq_evidence_review!B:B, 0))</f>
        <v>3</v>
      </c>
      <c r="B671" s="6">
        <v>3.5</v>
      </c>
      <c r="C671" s="1">
        <f t="shared" si="73"/>
        <v>665</v>
      </c>
      <c r="D671" s="1">
        <f>VLOOKUP(B671,rq_evidence_review!$B$1:$L$55,7,FALSE)</f>
        <v>70</v>
      </c>
      <c r="E671" s="8" t="s">
        <v>1003</v>
      </c>
      <c r="H671" s="1" t="str">
        <f t="shared" si="74"/>
        <v>Noormohammadi M</v>
      </c>
      <c r="I671" s="1" t="str">
        <f t="shared" si="78"/>
        <v>2022</v>
      </c>
      <c r="J671" s="1" t="str">
        <f t="shared" si="75"/>
        <v>Noormohammadi M et al., 2022</v>
      </c>
      <c r="K671" s="1" t="str">
        <f t="shared" si="76"/>
        <v>10.1080/07399332.2021.1886298</v>
      </c>
      <c r="L671" s="1" t="str">
        <f t="shared" si="77"/>
        <v>33797335</v>
      </c>
    </row>
    <row r="672" spans="1:12" ht="45" hidden="1" x14ac:dyDescent="0.25">
      <c r="A672" s="1">
        <f>INDEX(rq_evidence_review!A:A, MATCH(B672, rq_evidence_review!B:B, 0))</f>
        <v>3</v>
      </c>
      <c r="B672" s="6">
        <v>3.5</v>
      </c>
      <c r="C672" s="1">
        <f t="shared" ref="C672:C735" si="79">C671+1</f>
        <v>666</v>
      </c>
      <c r="D672" s="1">
        <f>VLOOKUP(B672,rq_evidence_review!$B$1:$L$55,7,FALSE)</f>
        <v>70</v>
      </c>
      <c r="E672" s="8" t="s">
        <v>1004</v>
      </c>
      <c r="H672" s="1" t="str">
        <f t="shared" si="74"/>
        <v>Orio F Jr</v>
      </c>
      <c r="I672" s="1" t="str">
        <f t="shared" si="78"/>
        <v>2006</v>
      </c>
      <c r="J672" s="1" t="str">
        <f t="shared" si="75"/>
        <v>Orio F Jr et al., 2006</v>
      </c>
      <c r="K672" s="1" t="str">
        <f t="shared" si="76"/>
        <v>10.1210/jc.2006-0216</v>
      </c>
      <c r="L672" s="1" t="str">
        <f t="shared" si="77"/>
        <v>16757529</v>
      </c>
    </row>
    <row r="673" spans="1:15" ht="45" hidden="1" x14ac:dyDescent="0.25">
      <c r="A673" s="1">
        <f>INDEX(rq_evidence_review!A:A, MATCH(B673, rq_evidence_review!B:B, 0))</f>
        <v>3</v>
      </c>
      <c r="B673" s="6">
        <v>3.5</v>
      </c>
      <c r="C673" s="1">
        <f t="shared" si="79"/>
        <v>667</v>
      </c>
      <c r="D673" s="1">
        <f>VLOOKUP(B673,rq_evidence_review!$B$1:$L$55,7,FALSE)</f>
        <v>70</v>
      </c>
      <c r="E673" s="8" t="s">
        <v>1005</v>
      </c>
      <c r="H673" s="1" t="str">
        <f t="shared" si="74"/>
        <v>Panjeshahin A</v>
      </c>
      <c r="I673" s="1" t="str">
        <f t="shared" si="78"/>
        <v>2020</v>
      </c>
      <c r="J673" s="1" t="str">
        <f t="shared" si="75"/>
        <v>Panjeshahin A et al., 2020</v>
      </c>
      <c r="K673" s="1" t="str">
        <f t="shared" si="76"/>
        <v>10.1016/j.nut.2020.110987</v>
      </c>
      <c r="L673" s="1" t="str">
        <f t="shared" si="77"/>
        <v>32947130</v>
      </c>
    </row>
    <row r="674" spans="1:15" ht="30" hidden="1" x14ac:dyDescent="0.25">
      <c r="A674" s="1">
        <f>INDEX(rq_evidence_review!A:A, MATCH(B674, rq_evidence_review!B:B, 0))</f>
        <v>3</v>
      </c>
      <c r="B674" s="6">
        <v>3.5</v>
      </c>
      <c r="C674" s="1">
        <f t="shared" si="79"/>
        <v>668</v>
      </c>
      <c r="D674" s="1">
        <f>VLOOKUP(B674,rq_evidence_review!$B$1:$L$55,7,FALSE)</f>
        <v>70</v>
      </c>
      <c r="E674" s="8" t="s">
        <v>1006</v>
      </c>
      <c r="H674" s="1" t="str">
        <f t="shared" si="74"/>
        <v>Pokorska-Niewiada K</v>
      </c>
      <c r="I674" s="1" t="str">
        <f t="shared" si="78"/>
        <v>2021</v>
      </c>
      <c r="J674" s="1" t="str">
        <f t="shared" si="75"/>
        <v>Pokorska-Niewiada K et al., 2021</v>
      </c>
      <c r="K674" s="1" t="str">
        <f t="shared" si="76"/>
        <v>10.3390/nu13072214</v>
      </c>
      <c r="L674" s="1" t="str">
        <f t="shared" si="77"/>
        <v>34203167</v>
      </c>
    </row>
    <row r="675" spans="1:15" ht="30" hidden="1" x14ac:dyDescent="0.25">
      <c r="A675" s="1">
        <f>INDEX(rq_evidence_review!A:A, MATCH(B675, rq_evidence_review!B:B, 0))</f>
        <v>3</v>
      </c>
      <c r="B675" s="6">
        <v>3.5</v>
      </c>
      <c r="C675" s="1">
        <f t="shared" si="79"/>
        <v>669</v>
      </c>
      <c r="D675" s="1">
        <f>VLOOKUP(B675,rq_evidence_review!$B$1:$L$55,7,FALSE)</f>
        <v>70</v>
      </c>
      <c r="E675" s="8" t="s">
        <v>1007</v>
      </c>
      <c r="H675" s="1" t="str">
        <f t="shared" ref="H675:H738" si="80">LEFT(E675, FIND(",", E675) - 1)</f>
        <v>Sedighi S</v>
      </c>
      <c r="I675" s="1" t="str">
        <f t="shared" si="78"/>
        <v>2014</v>
      </c>
      <c r="J675" s="1" t="str">
        <f t="shared" ref="J675:J738" si="81">H675 &amp; " et al., " &amp; I675</f>
        <v>Sedighi S et al., 2014</v>
      </c>
      <c r="K675" s="1" t="str">
        <f t="shared" ref="K675:K694" si="82">ExtractDOI(E675)</f>
        <v>10.5539/gjhs.v7n1p228</v>
      </c>
      <c r="L675" s="1" t="str">
        <f t="shared" ref="L675:L738" si="83">ExtractPMID(E675)</f>
        <v>25560358</v>
      </c>
    </row>
    <row r="676" spans="1:15" ht="30" hidden="1" x14ac:dyDescent="0.25">
      <c r="A676" s="1">
        <f>INDEX(rq_evidence_review!A:A, MATCH(B676, rq_evidence_review!B:B, 0))</f>
        <v>3</v>
      </c>
      <c r="B676" s="6">
        <v>3.5</v>
      </c>
      <c r="C676" s="1">
        <f t="shared" si="79"/>
        <v>670</v>
      </c>
      <c r="D676" s="1">
        <f>VLOOKUP(B676,rq_evidence_review!$B$1:$L$55,7,FALSE)</f>
        <v>70</v>
      </c>
      <c r="E676" s="8" t="s">
        <v>1008</v>
      </c>
      <c r="H676" s="1" t="str">
        <f t="shared" si="80"/>
        <v>Shahdadian F</v>
      </c>
      <c r="I676" s="1" t="str">
        <f t="shared" ref="I676:I739" si="84">ExtractYear(E676)</f>
        <v>2019</v>
      </c>
      <c r="J676" s="1" t="str">
        <f t="shared" si="81"/>
        <v>Shahdadian F et al., 2019</v>
      </c>
      <c r="K676" s="1" t="str">
        <f t="shared" si="82"/>
        <v>10.1139/apnm-2018-0145</v>
      </c>
      <c r="L676" s="1" t="str">
        <f t="shared" si="83"/>
        <v>29969571</v>
      </c>
    </row>
    <row r="677" spans="1:15" ht="30" hidden="1" x14ac:dyDescent="0.25">
      <c r="A677" s="1">
        <f>INDEX(rq_evidence_review!A:A, MATCH(B677, rq_evidence_review!B:B, 0))</f>
        <v>3</v>
      </c>
      <c r="B677" s="6">
        <v>3.5</v>
      </c>
      <c r="C677" s="1">
        <f t="shared" si="79"/>
        <v>671</v>
      </c>
      <c r="D677" s="1">
        <f>VLOOKUP(B677,rq_evidence_review!$B$1:$L$55,7,FALSE)</f>
        <v>70</v>
      </c>
      <c r="E677" s="8" t="s">
        <v>1009</v>
      </c>
      <c r="H677" s="1" t="str">
        <f t="shared" si="80"/>
        <v>Shishehgar F</v>
      </c>
      <c r="I677" s="1" t="str">
        <f t="shared" si="84"/>
        <v>2016</v>
      </c>
      <c r="J677" s="1" t="str">
        <f t="shared" si="81"/>
        <v>Shishehgar F et al., 2016</v>
      </c>
      <c r="K677" s="1" t="str">
        <f t="shared" si="82"/>
        <v>10.5539/gjhs.v8n9p302</v>
      </c>
      <c r="L677" s="1" t="str">
        <f t="shared" si="83"/>
        <v>27157182</v>
      </c>
    </row>
    <row r="678" spans="1:15" ht="30" hidden="1" x14ac:dyDescent="0.25">
      <c r="A678" s="1">
        <f>INDEX(rq_evidence_review!A:A, MATCH(B678, rq_evidence_review!B:B, 0))</f>
        <v>3</v>
      </c>
      <c r="B678" s="6">
        <v>3.5</v>
      </c>
      <c r="C678" s="1">
        <f t="shared" si="79"/>
        <v>672</v>
      </c>
      <c r="D678" s="1">
        <f>VLOOKUP(B678,rq_evidence_review!$B$1:$L$55,7,FALSE)</f>
        <v>70</v>
      </c>
      <c r="E678" s="8" t="s">
        <v>1010</v>
      </c>
      <c r="H678" s="1" t="str">
        <f t="shared" si="80"/>
        <v>Shishehgar F</v>
      </c>
      <c r="I678" s="1" t="str">
        <f t="shared" si="84"/>
        <v>2016</v>
      </c>
      <c r="J678" s="1" t="str">
        <f t="shared" si="81"/>
        <v>Shishehgar F et al., 2016</v>
      </c>
      <c r="K678" s="1" t="str">
        <f t="shared" si="82"/>
        <v>10.5539/gjhs.v8n10p127</v>
      </c>
      <c r="L678" s="1" t="str">
        <f t="shared" si="83"/>
        <v>27302456</v>
      </c>
    </row>
    <row r="679" spans="1:15" ht="45" hidden="1" x14ac:dyDescent="0.25">
      <c r="A679" s="1">
        <f>INDEX(rq_evidence_review!A:A, MATCH(B679, rq_evidence_review!B:B, 0))</f>
        <v>3</v>
      </c>
      <c r="B679" s="6">
        <v>3.5</v>
      </c>
      <c r="C679" s="1">
        <f t="shared" si="79"/>
        <v>673</v>
      </c>
      <c r="D679" s="1">
        <f>VLOOKUP(B679,rq_evidence_review!$B$1:$L$55,7,FALSE)</f>
        <v>70</v>
      </c>
      <c r="E679" s="8" t="s">
        <v>1011</v>
      </c>
      <c r="H679" s="1" t="str">
        <f t="shared" si="80"/>
        <v>Shishehgar F</v>
      </c>
      <c r="I679" s="1" t="str">
        <f t="shared" si="84"/>
        <v>2019</v>
      </c>
      <c r="J679" s="1" t="str">
        <f t="shared" si="81"/>
        <v>Shishehgar F et al., 2019</v>
      </c>
      <c r="K679" s="1" t="str">
        <f t="shared" si="82"/>
        <v>10.1186/s12902-019-0420-1</v>
      </c>
      <c r="L679" s="1" t="str">
        <f t="shared" si="83"/>
        <v>31477085</v>
      </c>
    </row>
    <row r="680" spans="1:15" ht="30" hidden="1" x14ac:dyDescent="0.25">
      <c r="A680" s="1">
        <f>INDEX(rq_evidence_review!A:A, MATCH(B680, rq_evidence_review!B:B, 0))</f>
        <v>3</v>
      </c>
      <c r="B680" s="6">
        <v>3.5</v>
      </c>
      <c r="C680" s="1">
        <f t="shared" si="79"/>
        <v>674</v>
      </c>
      <c r="D680" s="1">
        <f>VLOOKUP(B680,rq_evidence_review!$B$1:$L$55,7,FALSE)</f>
        <v>70</v>
      </c>
      <c r="E680" s="8" t="s">
        <v>1012</v>
      </c>
      <c r="H680" s="1" t="str">
        <f t="shared" si="80"/>
        <v>Soodi S</v>
      </c>
      <c r="I680" s="1" t="str">
        <f t="shared" si="84"/>
        <v>2021</v>
      </c>
      <c r="J680" s="1" t="str">
        <f t="shared" si="81"/>
        <v>Soodi S et al., 2021</v>
      </c>
      <c r="K680" s="1" t="str">
        <f t="shared" si="82"/>
        <v>10.1139/apnm-2021-0359</v>
      </c>
      <c r="L680" s="1" t="str">
        <f t="shared" si="83"/>
        <v>34878921</v>
      </c>
    </row>
    <row r="681" spans="1:15" ht="45" hidden="1" x14ac:dyDescent="0.25">
      <c r="A681" s="1">
        <f>INDEX(rq_evidence_review!A:A, MATCH(B681, rq_evidence_review!B:B, 0))</f>
        <v>3</v>
      </c>
      <c r="B681" s="6">
        <v>3.5</v>
      </c>
      <c r="C681" s="1">
        <f t="shared" si="79"/>
        <v>675</v>
      </c>
      <c r="D681" s="1">
        <f>VLOOKUP(B681,rq_evidence_review!$B$1:$L$55,7,FALSE)</f>
        <v>70</v>
      </c>
      <c r="E681" s="8" t="s">
        <v>1013</v>
      </c>
      <c r="H681" s="1" t="str">
        <f t="shared" si="80"/>
        <v>Szczuko M</v>
      </c>
      <c r="I681" s="1" t="str">
        <f t="shared" si="84"/>
        <v>2021</v>
      </c>
      <c r="J681" s="1" t="str">
        <f t="shared" si="81"/>
        <v>Szczuko M et al., 2021</v>
      </c>
      <c r="K681" s="1" t="str">
        <f t="shared" si="82"/>
        <v>10.3390/nu13030746</v>
      </c>
      <c r="L681" s="1" t="str">
        <f t="shared" si="83"/>
        <v>33652684</v>
      </c>
    </row>
    <row r="682" spans="1:15" ht="30" hidden="1" x14ac:dyDescent="0.25">
      <c r="A682" s="1">
        <f>INDEX(rq_evidence_review!A:A, MATCH(B682, rq_evidence_review!B:B, 0))</f>
        <v>3</v>
      </c>
      <c r="B682" s="6">
        <v>3.5</v>
      </c>
      <c r="C682" s="1">
        <f t="shared" si="79"/>
        <v>676</v>
      </c>
      <c r="D682" s="1">
        <f>VLOOKUP(B682,rq_evidence_review!$B$1:$L$55,7,FALSE)</f>
        <v>70</v>
      </c>
      <c r="E682" s="8" t="s">
        <v>1014</v>
      </c>
      <c r="H682" s="1" t="str">
        <f t="shared" si="80"/>
        <v>Thara</v>
      </c>
      <c r="I682" s="1" t="str">
        <f t="shared" si="84"/>
        <v>2017</v>
      </c>
      <c r="J682" s="1" t="str">
        <f t="shared" si="81"/>
        <v>Thara et al., 2017</v>
      </c>
      <c r="K682" s="1" t="str">
        <f t="shared" si="82"/>
        <v/>
      </c>
      <c r="L682" s="1" t="str">
        <f t="shared" si="83"/>
        <v/>
      </c>
      <c r="O682" s="1" t="s">
        <v>1995</v>
      </c>
    </row>
    <row r="683" spans="1:15" ht="45" hidden="1" x14ac:dyDescent="0.25">
      <c r="A683" s="1">
        <f>INDEX(rq_evidence_review!A:A, MATCH(B683, rq_evidence_review!B:B, 0))</f>
        <v>3</v>
      </c>
      <c r="B683" s="6">
        <v>3.5</v>
      </c>
      <c r="C683" s="1">
        <f t="shared" si="79"/>
        <v>677</v>
      </c>
      <c r="D683" s="1">
        <f>VLOOKUP(B683,rq_evidence_review!$B$1:$L$55,7,FALSE)</f>
        <v>70</v>
      </c>
      <c r="E683" s="8" t="s">
        <v>1015</v>
      </c>
      <c r="H683" s="1" t="str">
        <f t="shared" si="80"/>
        <v>Thomson RL</v>
      </c>
      <c r="I683" s="1" t="str">
        <f t="shared" si="84"/>
        <v>2009</v>
      </c>
      <c r="J683" s="1" t="str">
        <f t="shared" si="81"/>
        <v>Thomson RL et al., 2009</v>
      </c>
      <c r="K683" s="1" t="str">
        <f t="shared" si="82"/>
        <v>10.1111/j.1471-0528.2009.02177.x</v>
      </c>
      <c r="L683" s="1" t="str">
        <f t="shared" si="83"/>
        <v>19438498</v>
      </c>
    </row>
    <row r="684" spans="1:15" ht="45" hidden="1" x14ac:dyDescent="0.25">
      <c r="A684" s="1">
        <f>INDEX(rq_evidence_review!A:A, MATCH(B684, rq_evidence_review!B:B, 0))</f>
        <v>3</v>
      </c>
      <c r="B684" s="6">
        <v>3.5</v>
      </c>
      <c r="C684" s="1">
        <f t="shared" si="79"/>
        <v>678</v>
      </c>
      <c r="D684" s="1">
        <f>VLOOKUP(B684,rq_evidence_review!$B$1:$L$55,7,FALSE)</f>
        <v>70</v>
      </c>
      <c r="E684" s="8" t="s">
        <v>1016</v>
      </c>
      <c r="H684" s="1" t="str">
        <f t="shared" si="80"/>
        <v>Toscani MK</v>
      </c>
      <c r="I684" s="1" t="str">
        <f t="shared" si="84"/>
        <v>2011</v>
      </c>
      <c r="J684" s="1" t="str">
        <f t="shared" si="81"/>
        <v>Toscani MK et al., 2011</v>
      </c>
      <c r="K684" s="1" t="str">
        <f t="shared" si="82"/>
        <v>10.3109/09513590.2011.564686</v>
      </c>
      <c r="L684" s="1" t="str">
        <f t="shared" si="83"/>
        <v>21627406</v>
      </c>
    </row>
    <row r="685" spans="1:15" ht="30" hidden="1" x14ac:dyDescent="0.25">
      <c r="A685" s="1">
        <f>INDEX(rq_evidence_review!A:A, MATCH(B685, rq_evidence_review!B:B, 0))</f>
        <v>3</v>
      </c>
      <c r="B685" s="6">
        <v>3.5</v>
      </c>
      <c r="C685" s="1">
        <f t="shared" si="79"/>
        <v>679</v>
      </c>
      <c r="D685" s="1">
        <f>VLOOKUP(B685,rq_evidence_review!$B$1:$L$55,7,FALSE)</f>
        <v>70</v>
      </c>
      <c r="E685" s="8" t="s">
        <v>1017</v>
      </c>
      <c r="H685" s="1" t="str">
        <f t="shared" si="80"/>
        <v>Toscani MK</v>
      </c>
      <c r="I685" s="1" t="str">
        <f t="shared" si="84"/>
        <v>2011</v>
      </c>
      <c r="J685" s="1" t="str">
        <f t="shared" si="81"/>
        <v>Toscani MK et al., 2011</v>
      </c>
      <c r="K685" s="1" t="str">
        <f t="shared" si="82"/>
        <v>10.1016/j.nutres.2011.01.009</v>
      </c>
      <c r="L685" s="1" t="str">
        <f t="shared" si="83"/>
        <v>21419313</v>
      </c>
    </row>
    <row r="686" spans="1:15" ht="45" hidden="1" x14ac:dyDescent="0.25">
      <c r="A686" s="1">
        <f>INDEX(rq_evidence_review!A:A, MATCH(B686, rq_evidence_review!B:B, 0))</f>
        <v>3</v>
      </c>
      <c r="B686" s="6">
        <v>3.5</v>
      </c>
      <c r="C686" s="1">
        <f t="shared" si="79"/>
        <v>680</v>
      </c>
      <c r="D686" s="1">
        <f>VLOOKUP(B686,rq_evidence_review!$B$1:$L$55,7,FALSE)</f>
        <v>70</v>
      </c>
      <c r="E686" s="8" t="s">
        <v>1018</v>
      </c>
      <c r="H686" s="1" t="str">
        <f t="shared" si="80"/>
        <v>Tsai YH</v>
      </c>
      <c r="I686" s="1" t="str">
        <f t="shared" si="84"/>
        <v>2013</v>
      </c>
      <c r="J686" s="1" t="str">
        <f t="shared" si="81"/>
        <v>Tsai YH et al., 2013</v>
      </c>
      <c r="K686" s="1" t="str">
        <f t="shared" si="82"/>
        <v>10.1017/S0007114512004369</v>
      </c>
    </row>
    <row r="687" spans="1:15" ht="45" hidden="1" x14ac:dyDescent="0.25">
      <c r="A687" s="1">
        <f>INDEX(rq_evidence_review!A:A, MATCH(B687, rq_evidence_review!B:B, 0))</f>
        <v>3</v>
      </c>
      <c r="B687" s="6">
        <v>3.5</v>
      </c>
      <c r="C687" s="1">
        <f t="shared" si="79"/>
        <v>681</v>
      </c>
      <c r="D687" s="1">
        <f>VLOOKUP(B687,rq_evidence_review!$B$1:$L$55,7,FALSE)</f>
        <v>70</v>
      </c>
      <c r="E687" s="8" t="s">
        <v>1019</v>
      </c>
      <c r="H687" s="1" t="str">
        <f t="shared" si="80"/>
        <v>Wang Z</v>
      </c>
      <c r="I687" s="1" t="str">
        <f t="shared" si="84"/>
        <v>2021</v>
      </c>
      <c r="J687" s="1" t="str">
        <f t="shared" si="81"/>
        <v>Wang Z et al., 2021</v>
      </c>
      <c r="K687" s="1" t="str">
        <f t="shared" si="82"/>
        <v>10.3390/nu13103526</v>
      </c>
      <c r="L687" s="1" t="str">
        <f t="shared" si="83"/>
        <v>34684528</v>
      </c>
    </row>
    <row r="688" spans="1:15" ht="45" hidden="1" x14ac:dyDescent="0.25">
      <c r="A688" s="1">
        <f>INDEX(rq_evidence_review!A:A, MATCH(B688, rq_evidence_review!B:B, 0))</f>
        <v>3</v>
      </c>
      <c r="B688" s="6">
        <v>3.5</v>
      </c>
      <c r="C688" s="1">
        <f t="shared" si="79"/>
        <v>682</v>
      </c>
      <c r="D688" s="1">
        <f>VLOOKUP(B688,rq_evidence_review!$B$1:$L$55,7,FALSE)</f>
        <v>70</v>
      </c>
      <c r="E688" s="8" t="s">
        <v>1020</v>
      </c>
      <c r="H688" s="1" t="str">
        <f t="shared" si="80"/>
        <v>Wang Z</v>
      </c>
      <c r="I688" s="1" t="str">
        <f t="shared" si="84"/>
        <v>2021</v>
      </c>
      <c r="J688" s="1" t="str">
        <f t="shared" si="81"/>
        <v>Wang Z et al., 2021</v>
      </c>
      <c r="K688" s="1" t="str">
        <f t="shared" si="82"/>
        <v>10.3390/nu13103425</v>
      </c>
      <c r="L688" s="1" t="str">
        <f t="shared" si="83"/>
        <v>34684438</v>
      </c>
    </row>
    <row r="689" spans="1:12" ht="45" x14ac:dyDescent="0.25">
      <c r="A689" s="1">
        <f>INDEX(rq_evidence_review!A:A, MATCH(B689, rq_evidence_review!B:B, 0))</f>
        <v>3</v>
      </c>
      <c r="B689" s="6">
        <v>3.5</v>
      </c>
      <c r="C689" s="1">
        <f t="shared" si="79"/>
        <v>683</v>
      </c>
      <c r="D689" s="1">
        <f>VLOOKUP(B689,rq_evidence_review!$B$1:$L$55,7,FALSE)</f>
        <v>70</v>
      </c>
      <c r="E689" s="8" t="s">
        <v>1021</v>
      </c>
      <c r="H689" s="1" t="str">
        <f t="shared" si="80"/>
        <v>Wang Q</v>
      </c>
      <c r="I689" s="1" t="str">
        <f t="shared" si="84"/>
        <v>2022</v>
      </c>
      <c r="J689" s="1" t="str">
        <f t="shared" si="81"/>
        <v>Wang Q et al., 2022</v>
      </c>
      <c r="K689" s="1" t="str">
        <f t="shared" si="82"/>
        <v>10.1016/j.nutres.2021.12.006</v>
      </c>
      <c r="L689" s="13">
        <v>35108617</v>
      </c>
    </row>
    <row r="690" spans="1:12" ht="30" hidden="1" x14ac:dyDescent="0.25">
      <c r="A690" s="1">
        <f>INDEX(rq_evidence_review!A:A, MATCH(B690, rq_evidence_review!B:B, 0))</f>
        <v>3</v>
      </c>
      <c r="B690" s="6">
        <v>3.5</v>
      </c>
      <c r="C690" s="1">
        <f t="shared" si="79"/>
        <v>684</v>
      </c>
      <c r="D690" s="1">
        <f>VLOOKUP(B690,rq_evidence_review!$B$1:$L$55,7,FALSE)</f>
        <v>70</v>
      </c>
      <c r="E690" s="8" t="s">
        <v>1022</v>
      </c>
      <c r="H690" s="1" t="str">
        <f t="shared" si="80"/>
        <v>Wright CE</v>
      </c>
      <c r="I690" s="1" t="str">
        <f t="shared" si="84"/>
        <v>2004</v>
      </c>
      <c r="J690" s="1" t="str">
        <f t="shared" si="81"/>
        <v>Wright CE et al., 2004</v>
      </c>
      <c r="K690" s="1" t="str">
        <f t="shared" si="82"/>
        <v>10.1038/sj.ijo.0802661</v>
      </c>
      <c r="L690" s="1" t="str">
        <f t="shared" si="83"/>
        <v>15159768</v>
      </c>
    </row>
    <row r="691" spans="1:12" ht="30" hidden="1" x14ac:dyDescent="0.25">
      <c r="A691" s="1">
        <f>INDEX(rq_evidence_review!A:A, MATCH(B691, rq_evidence_review!B:B, 0))</f>
        <v>3</v>
      </c>
      <c r="B691" s="6">
        <v>3.5</v>
      </c>
      <c r="C691" s="1">
        <f t="shared" si="79"/>
        <v>685</v>
      </c>
      <c r="D691" s="1">
        <f>VLOOKUP(B691,rq_evidence_review!$B$1:$L$55,7,FALSE)</f>
        <v>70</v>
      </c>
      <c r="E691" s="8" t="s">
        <v>1023</v>
      </c>
      <c r="H691" s="1" t="str">
        <f t="shared" si="80"/>
        <v>Zhang J</v>
      </c>
      <c r="I691" s="1" t="str">
        <f t="shared" si="84"/>
        <v>2015</v>
      </c>
      <c r="J691" s="1" t="str">
        <f t="shared" si="81"/>
        <v>Zhang J et al., 2015</v>
      </c>
      <c r="K691" s="1" t="str">
        <f t="shared" si="82"/>
        <v>10.1371/journal.pone.0127094</v>
      </c>
      <c r="L691" s="1" t="str">
        <f t="shared" si="83"/>
        <v>25993656</v>
      </c>
    </row>
    <row r="692" spans="1:12" ht="30" hidden="1" x14ac:dyDescent="0.25">
      <c r="A692" s="1">
        <f>INDEX(rq_evidence_review!A:A, MATCH(B692, rq_evidence_review!B:B, 0))</f>
        <v>3</v>
      </c>
      <c r="B692" s="6">
        <v>3.5</v>
      </c>
      <c r="C692" s="1">
        <f t="shared" si="79"/>
        <v>686</v>
      </c>
      <c r="D692" s="1">
        <f>VLOOKUP(B692,rq_evidence_review!$B$1:$L$55,7,FALSE)</f>
        <v>70</v>
      </c>
      <c r="E692" s="8" t="s">
        <v>1024</v>
      </c>
      <c r="H692" s="1" t="str">
        <f t="shared" si="80"/>
        <v>Zhang B</v>
      </c>
      <c r="I692" s="1" t="str">
        <f t="shared" si="84"/>
        <v>2020</v>
      </c>
      <c r="J692" s="1" t="str">
        <f t="shared" si="81"/>
        <v>Zhang B et al., 2020</v>
      </c>
      <c r="K692" s="1" t="str">
        <f t="shared" si="82"/>
        <v>10.1186/s12902-020-0497-6</v>
      </c>
      <c r="L692" s="1" t="str">
        <f t="shared" si="83"/>
        <v>32000752</v>
      </c>
    </row>
    <row r="693" spans="1:12" ht="30" hidden="1" x14ac:dyDescent="0.25">
      <c r="A693" s="1">
        <f>INDEX(rq_evidence_review!A:A, MATCH(B693, rq_evidence_review!B:B, 0))</f>
        <v>3</v>
      </c>
      <c r="B693" s="6">
        <v>3.5</v>
      </c>
      <c r="C693" s="1">
        <f t="shared" si="79"/>
        <v>687</v>
      </c>
      <c r="D693" s="1">
        <f>VLOOKUP(B693,rq_evidence_review!$B$1:$L$55,7,FALSE)</f>
        <v>70</v>
      </c>
      <c r="E693" s="8" t="s">
        <v>1025</v>
      </c>
      <c r="H693" s="1" t="str">
        <f t="shared" si="80"/>
        <v>Zhang J</v>
      </c>
      <c r="I693" s="1" t="str">
        <f t="shared" si="84"/>
        <v>2018</v>
      </c>
      <c r="J693" s="1" t="str">
        <f t="shared" si="81"/>
        <v>Zhang J et al., 2018</v>
      </c>
      <c r="K693" s="1" t="str">
        <f t="shared" si="82"/>
        <v>10.1002/ijgo.12563</v>
      </c>
      <c r="L693" s="1" t="str">
        <f t="shared" si="83"/>
        <v>29877578</v>
      </c>
    </row>
    <row r="694" spans="1:12" ht="30" hidden="1" x14ac:dyDescent="0.25">
      <c r="A694" s="1">
        <f>INDEX(rq_evidence_review!A:A, MATCH(B694, rq_evidence_review!B:B, 0))</f>
        <v>3</v>
      </c>
      <c r="B694" s="6">
        <v>3.5</v>
      </c>
      <c r="C694" s="1">
        <f t="shared" si="79"/>
        <v>688</v>
      </c>
      <c r="D694" s="1">
        <f>VLOOKUP(B694,rq_evidence_review!$B$1:$L$55,7,FALSE)</f>
        <v>70</v>
      </c>
      <c r="E694" s="8" t="s">
        <v>1026</v>
      </c>
      <c r="H694" s="1" t="str">
        <f t="shared" si="80"/>
        <v>Zirak Sharkesh E</v>
      </c>
      <c r="I694" s="1" t="str">
        <f t="shared" si="84"/>
        <v>2022</v>
      </c>
      <c r="J694" s="1" t="str">
        <f t="shared" si="81"/>
        <v>Zirak Sharkesh E et al., 2022</v>
      </c>
      <c r="K694" s="1" t="str">
        <f t="shared" si="82"/>
        <v>10.1111/cen.14672</v>
      </c>
      <c r="L694" s="1" t="str">
        <f t="shared" si="83"/>
        <v>34961961</v>
      </c>
    </row>
    <row r="695" spans="1:12" ht="30" hidden="1" x14ac:dyDescent="0.25">
      <c r="A695" s="1">
        <f>INDEX(rq_evidence_review!A:A, MATCH(B695, rq_evidence_review!B:B, 0))</f>
        <v>3</v>
      </c>
      <c r="B695" s="6">
        <v>3.5</v>
      </c>
      <c r="C695" s="1">
        <f t="shared" si="79"/>
        <v>689</v>
      </c>
      <c r="D695" s="1">
        <f>VLOOKUP(B695,rq_evidence_review!$B$1:$L$55,7,FALSE)</f>
        <v>70</v>
      </c>
      <c r="E695" s="8" t="s">
        <v>1027</v>
      </c>
      <c r="H695" s="1" t="str">
        <f t="shared" si="80"/>
        <v>Bialka-Kosiec</v>
      </c>
      <c r="I695" s="1" t="str">
        <f t="shared" si="84"/>
        <v>2019</v>
      </c>
      <c r="J695" s="1" t="str">
        <f t="shared" si="81"/>
        <v>Bialka-Kosiec et al., 2019</v>
      </c>
      <c r="K695" s="9" t="s">
        <v>1669</v>
      </c>
      <c r="L695" s="1" t="str">
        <f t="shared" si="83"/>
        <v/>
      </c>
    </row>
    <row r="696" spans="1:12" ht="30" hidden="1" x14ac:dyDescent="0.25">
      <c r="A696" s="1">
        <f>INDEX(rq_evidence_review!A:A, MATCH(B696, rq_evidence_review!B:B, 0))</f>
        <v>3</v>
      </c>
      <c r="B696" s="6">
        <v>3.5</v>
      </c>
      <c r="C696" s="1">
        <f t="shared" si="79"/>
        <v>690</v>
      </c>
      <c r="D696" s="1">
        <f>VLOOKUP(B696,rq_evidence_review!$B$1:$L$55,7,FALSE)</f>
        <v>70</v>
      </c>
      <c r="E696" s="8" t="s">
        <v>1028</v>
      </c>
      <c r="H696" s="1" t="str">
        <f t="shared" si="80"/>
        <v>Eleftheriadou</v>
      </c>
      <c r="I696" s="1" t="str">
        <f t="shared" si="84"/>
        <v>2012</v>
      </c>
      <c r="J696" s="1" t="str">
        <f t="shared" si="81"/>
        <v>Eleftheriadou et al., 2012</v>
      </c>
      <c r="K696" s="9" t="s">
        <v>1670</v>
      </c>
      <c r="L696" s="1" t="str">
        <f t="shared" si="83"/>
        <v/>
      </c>
    </row>
    <row r="697" spans="1:12" hidden="1" x14ac:dyDescent="0.25">
      <c r="A697" s="1">
        <f>INDEX(rq_evidence_review!A:A, MATCH(B697, rq_evidence_review!B:B, 0))</f>
        <v>3</v>
      </c>
      <c r="B697" s="6">
        <v>3.5</v>
      </c>
      <c r="C697" s="1">
        <f t="shared" si="79"/>
        <v>691</v>
      </c>
      <c r="D697" s="1">
        <f>VLOOKUP(B697,rq_evidence_review!$B$1:$L$55,7,FALSE)</f>
        <v>70</v>
      </c>
      <c r="E697" s="8" t="s">
        <v>1029</v>
      </c>
      <c r="H697" s="1" t="str">
        <f t="shared" si="80"/>
        <v>Eleftheriadou</v>
      </c>
      <c r="I697" s="1" t="str">
        <f t="shared" si="84"/>
        <v>2015</v>
      </c>
      <c r="J697" s="1" t="str">
        <f t="shared" si="81"/>
        <v>Eleftheriadou et al., 2015</v>
      </c>
      <c r="K697" s="1" t="s">
        <v>1671</v>
      </c>
      <c r="L697" s="1" t="str">
        <f t="shared" si="83"/>
        <v/>
      </c>
    </row>
    <row r="698" spans="1:12" ht="30" hidden="1" x14ac:dyDescent="0.25">
      <c r="A698" s="1">
        <f>INDEX(rq_evidence_review!A:A, MATCH(B698, rq_evidence_review!B:B, 0))</f>
        <v>3</v>
      </c>
      <c r="B698" s="6">
        <v>3.5</v>
      </c>
      <c r="C698" s="1">
        <f t="shared" si="79"/>
        <v>692</v>
      </c>
      <c r="D698" s="1">
        <f>VLOOKUP(B698,rq_evidence_review!$B$1:$L$55,7,FALSE)</f>
        <v>70</v>
      </c>
      <c r="E698" s="8" t="s">
        <v>1030</v>
      </c>
      <c r="H698" s="1" t="str">
        <f t="shared" si="80"/>
        <v>Kulshreshtha</v>
      </c>
      <c r="I698" s="1" t="str">
        <f t="shared" si="84"/>
        <v>2022</v>
      </c>
      <c r="J698" s="1" t="str">
        <f t="shared" si="81"/>
        <v>Kulshreshtha et al., 2022</v>
      </c>
      <c r="K698" s="9" t="s">
        <v>1672</v>
      </c>
      <c r="L698" s="1" t="str">
        <f t="shared" si="83"/>
        <v/>
      </c>
    </row>
    <row r="699" spans="1:12" ht="30" hidden="1" x14ac:dyDescent="0.25">
      <c r="A699" s="1">
        <f>INDEX(rq_evidence_review!A:A, MATCH(B699, rq_evidence_review!B:B, 0))</f>
        <v>3</v>
      </c>
      <c r="B699" s="6">
        <v>3.5</v>
      </c>
      <c r="C699" s="1">
        <f t="shared" si="79"/>
        <v>693</v>
      </c>
      <c r="D699" s="1">
        <f>VLOOKUP(B699,rq_evidence_review!$B$1:$L$55,7,FALSE)</f>
        <v>70</v>
      </c>
      <c r="E699" s="8" t="s">
        <v>1031</v>
      </c>
      <c r="H699" s="1" t="str">
        <f t="shared" si="80"/>
        <v>Mizgier</v>
      </c>
      <c r="I699" s="1" t="str">
        <f t="shared" si="84"/>
        <v>2021</v>
      </c>
      <c r="J699" s="1" t="str">
        <f t="shared" si="81"/>
        <v>Mizgier et al., 2021</v>
      </c>
      <c r="K699" s="9" t="s">
        <v>1673</v>
      </c>
      <c r="L699" s="1" t="str">
        <f t="shared" si="83"/>
        <v/>
      </c>
    </row>
    <row r="700" spans="1:12" ht="30" hidden="1" x14ac:dyDescent="0.25">
      <c r="A700" s="1">
        <f>INDEX(rq_evidence_review!A:A, MATCH(B700, rq_evidence_review!B:B, 0))</f>
        <v>3</v>
      </c>
      <c r="B700" s="6">
        <v>3.5</v>
      </c>
      <c r="C700" s="1">
        <f t="shared" si="79"/>
        <v>694</v>
      </c>
      <c r="D700" s="1">
        <f>VLOOKUP(B700,rq_evidence_review!$B$1:$L$55,7,FALSE)</f>
        <v>70</v>
      </c>
      <c r="E700" s="8" t="s">
        <v>1032</v>
      </c>
      <c r="H700" s="1" t="str">
        <f t="shared" si="80"/>
        <v>Mizgier</v>
      </c>
      <c r="I700" s="1" t="str">
        <f t="shared" si="84"/>
        <v>2021</v>
      </c>
      <c r="J700" s="1" t="str">
        <f t="shared" si="81"/>
        <v>Mizgier et al., 2021</v>
      </c>
      <c r="K700" s="9" t="s">
        <v>1674</v>
      </c>
      <c r="L700" s="1" t="str">
        <f t="shared" si="83"/>
        <v/>
      </c>
    </row>
    <row r="701" spans="1:12" ht="30" hidden="1" x14ac:dyDescent="0.25">
      <c r="A701" s="1">
        <f>INDEX(rq_evidence_review!A:A, MATCH(B701, rq_evidence_review!B:B, 0))</f>
        <v>3</v>
      </c>
      <c r="B701" s="6">
        <f>rq_evidence_review!B31</f>
        <v>3.6</v>
      </c>
      <c r="C701" s="1">
        <f t="shared" si="79"/>
        <v>695</v>
      </c>
      <c r="D701" s="1">
        <f>VLOOKUP(B701,rq_evidence_review!$B$1:$L$55,7,FALSE)</f>
        <v>7</v>
      </c>
      <c r="E701" s="8" t="s">
        <v>1033</v>
      </c>
      <c r="H701" s="1" t="str">
        <f t="shared" si="80"/>
        <v>Amiri</v>
      </c>
      <c r="I701" s="1" t="str">
        <f t="shared" si="84"/>
        <v>2014</v>
      </c>
      <c r="J701" s="1" t="str">
        <f t="shared" si="81"/>
        <v>Amiri et al., 2014</v>
      </c>
      <c r="K701" s="1" t="str">
        <f t="shared" ref="K701:K708" si="85">ExtractDOI(E701)</f>
        <v>10.5812/ijem.13612</v>
      </c>
      <c r="L701" s="1" t="str">
        <f t="shared" si="83"/>
        <v/>
      </c>
    </row>
    <row r="702" spans="1:12" ht="45" hidden="1" x14ac:dyDescent="0.25">
      <c r="A702" s="1">
        <f>INDEX(rq_evidence_review!A:A, MATCH(B702, rq_evidence_review!B:B, 0))</f>
        <v>3</v>
      </c>
      <c r="B702" s="6">
        <v>3.6</v>
      </c>
      <c r="C702" s="1">
        <f t="shared" si="79"/>
        <v>696</v>
      </c>
      <c r="D702" s="1">
        <f>VLOOKUP(B702,rq_evidence_review!$B$1:$L$55,7,FALSE)</f>
        <v>7</v>
      </c>
      <c r="E702" s="8" t="s">
        <v>1034</v>
      </c>
      <c r="H702" s="1" t="str">
        <f t="shared" si="80"/>
        <v>Chopra</v>
      </c>
      <c r="I702" s="1" t="str">
        <f t="shared" si="84"/>
        <v>2021</v>
      </c>
      <c r="J702" s="1" t="str">
        <f t="shared" si="81"/>
        <v>Chopra et al., 2021</v>
      </c>
      <c r="K702" s="1" t="str">
        <f t="shared" si="85"/>
        <v>10.1145/3411764</v>
      </c>
      <c r="L702" s="1" t="str">
        <f t="shared" si="83"/>
        <v/>
      </c>
    </row>
    <row r="703" spans="1:12" ht="30" hidden="1" x14ac:dyDescent="0.25">
      <c r="A703" s="1">
        <f>INDEX(rq_evidence_review!A:A, MATCH(B703, rq_evidence_review!B:B, 0))</f>
        <v>3</v>
      </c>
      <c r="B703" s="6">
        <v>3.6</v>
      </c>
      <c r="C703" s="1">
        <f t="shared" si="79"/>
        <v>697</v>
      </c>
      <c r="D703" s="1">
        <f>VLOOKUP(B703,rq_evidence_review!$B$1:$L$55,7,FALSE)</f>
        <v>7</v>
      </c>
      <c r="E703" s="8" t="s">
        <v>1035</v>
      </c>
      <c r="H703" s="1" t="str">
        <f t="shared" si="80"/>
        <v>Ismayilova</v>
      </c>
      <c r="I703" s="1" t="str">
        <f t="shared" si="84"/>
        <v>2022</v>
      </c>
      <c r="J703" s="1" t="str">
        <f t="shared" si="81"/>
        <v>Ismayilova et al., 2022</v>
      </c>
      <c r="K703" s="1" t="str">
        <f t="shared" si="85"/>
        <v>10.1093/inthealth/ihac028</v>
      </c>
      <c r="L703" s="1" t="str">
        <f t="shared" si="83"/>
        <v/>
      </c>
    </row>
    <row r="704" spans="1:12" ht="30" hidden="1" x14ac:dyDescent="0.25">
      <c r="A704" s="1">
        <f>INDEX(rq_evidence_review!A:A, MATCH(B704, rq_evidence_review!B:B, 0))</f>
        <v>3</v>
      </c>
      <c r="B704" s="6">
        <v>3.6</v>
      </c>
      <c r="C704" s="1">
        <f t="shared" si="79"/>
        <v>698</v>
      </c>
      <c r="D704" s="1">
        <f>VLOOKUP(B704,rq_evidence_review!$B$1:$L$55,7,FALSE)</f>
        <v>7</v>
      </c>
      <c r="E704" s="8" t="s">
        <v>1036</v>
      </c>
      <c r="H704" s="1" t="str">
        <f t="shared" si="80"/>
        <v>Jones</v>
      </c>
      <c r="I704" s="1" t="str">
        <f t="shared" si="84"/>
        <v>2011</v>
      </c>
      <c r="J704" s="1" t="str">
        <f t="shared" si="81"/>
        <v>Jones et al., 2011</v>
      </c>
      <c r="K704" s="1" t="str">
        <f t="shared" si="85"/>
        <v>10.1111/j.1552-6909.2011.01279.x</v>
      </c>
      <c r="L704" s="1" t="str">
        <f t="shared" si="83"/>
        <v/>
      </c>
    </row>
    <row r="705" spans="1:15" ht="45" hidden="1" x14ac:dyDescent="0.25">
      <c r="A705" s="1">
        <f>INDEX(rq_evidence_review!A:A, MATCH(B705, rq_evidence_review!B:B, 0))</f>
        <v>3</v>
      </c>
      <c r="B705" s="6">
        <v>3.6</v>
      </c>
      <c r="C705" s="1">
        <f t="shared" si="79"/>
        <v>699</v>
      </c>
      <c r="D705" s="1">
        <f>VLOOKUP(B705,rq_evidence_review!$B$1:$L$55,7,FALSE)</f>
        <v>7</v>
      </c>
      <c r="E705" s="8" t="s">
        <v>1037</v>
      </c>
      <c r="H705" s="1" t="str">
        <f t="shared" si="80"/>
        <v>Moran</v>
      </c>
      <c r="I705" s="1" t="str">
        <f t="shared" si="84"/>
        <v>2022</v>
      </c>
      <c r="J705" s="1" t="str">
        <f t="shared" si="81"/>
        <v>Moran et al., 2022</v>
      </c>
      <c r="K705" s="1" t="str">
        <f t="shared" si="85"/>
        <v>10.1016/j.jand.2021.11.013</v>
      </c>
      <c r="L705" s="1" t="str">
        <f t="shared" si="83"/>
        <v/>
      </c>
    </row>
    <row r="706" spans="1:15" ht="30" hidden="1" x14ac:dyDescent="0.25">
      <c r="A706" s="1">
        <f>INDEX(rq_evidence_review!A:A, MATCH(B706, rq_evidence_review!B:B, 0))</f>
        <v>3</v>
      </c>
      <c r="B706" s="6">
        <v>3.6</v>
      </c>
      <c r="C706" s="1">
        <f t="shared" si="79"/>
        <v>700</v>
      </c>
      <c r="D706" s="1">
        <f>VLOOKUP(B706,rq_evidence_review!$B$1:$L$55,7,FALSE)</f>
        <v>7</v>
      </c>
      <c r="E706" s="8" t="s">
        <v>1038</v>
      </c>
      <c r="H706" s="1" t="str">
        <f t="shared" si="80"/>
        <v>Tomlinson</v>
      </c>
      <c r="I706" s="1" t="str">
        <f t="shared" si="84"/>
        <v>2017</v>
      </c>
      <c r="J706" s="1" t="str">
        <f t="shared" si="81"/>
        <v>Tomlinson et al., 2017</v>
      </c>
      <c r="K706" s="1" t="str">
        <f t="shared" si="85"/>
        <v>10.1111/jan.13300</v>
      </c>
      <c r="L706" s="1" t="str">
        <f t="shared" si="83"/>
        <v/>
      </c>
    </row>
    <row r="707" spans="1:15" ht="30" hidden="1" x14ac:dyDescent="0.25">
      <c r="A707" s="1">
        <f>INDEX(rq_evidence_review!A:A, MATCH(B707, rq_evidence_review!B:B, 0))</f>
        <v>3</v>
      </c>
      <c r="B707" s="6">
        <v>3.6</v>
      </c>
      <c r="C707" s="1">
        <f t="shared" si="79"/>
        <v>701</v>
      </c>
      <c r="D707" s="1">
        <f>VLOOKUP(B707,rq_evidence_review!$B$1:$L$55,7,FALSE)</f>
        <v>7</v>
      </c>
      <c r="E707" s="8" t="s">
        <v>1039</v>
      </c>
      <c r="H707" s="1" t="str">
        <f t="shared" si="80"/>
        <v>Williams</v>
      </c>
      <c r="I707" s="1" t="str">
        <f t="shared" si="84"/>
        <v>2016</v>
      </c>
      <c r="J707" s="1" t="str">
        <f t="shared" si="81"/>
        <v>Williams et al., 2016</v>
      </c>
      <c r="K707" s="1" t="str">
        <f t="shared" si="85"/>
        <v>10.1177/1359105314547941</v>
      </c>
      <c r="L707" s="1" t="str">
        <f t="shared" si="83"/>
        <v/>
      </c>
    </row>
    <row r="708" spans="1:15" ht="45" hidden="1" x14ac:dyDescent="0.25">
      <c r="A708" s="1">
        <f>INDEX(rq_evidence_review!A:A, MATCH(B708, rq_evidence_review!B:B, 0))</f>
        <v>4</v>
      </c>
      <c r="B708" s="6" t="str">
        <f>rq_evidence_review!B32</f>
        <v>4.2 / 4.3</v>
      </c>
      <c r="C708" s="1">
        <f t="shared" si="79"/>
        <v>702</v>
      </c>
      <c r="D708" s="1">
        <f>VLOOKUP(B708,rq_evidence_review!$B$1:$L$55,7,FALSE)</f>
        <v>85</v>
      </c>
      <c r="E708" s="8" t="s">
        <v>1076</v>
      </c>
      <c r="H708" s="1" t="str">
        <f t="shared" si="80"/>
        <v>Aghamohammadzadeh N</v>
      </c>
      <c r="I708" s="1" t="str">
        <f t="shared" si="84"/>
        <v>2010</v>
      </c>
      <c r="J708" s="1" t="str">
        <f t="shared" si="81"/>
        <v>Aghamohammadzadeh N et al., 2010</v>
      </c>
      <c r="K708" s="1" t="str">
        <f t="shared" si="85"/>
        <v/>
      </c>
      <c r="L708" s="1" t="str">
        <f t="shared" si="83"/>
        <v/>
      </c>
      <c r="N708" s="1">
        <v>54806151</v>
      </c>
      <c r="O708" s="1" t="s">
        <v>1994</v>
      </c>
    </row>
    <row r="709" spans="1:15" ht="30" hidden="1" x14ac:dyDescent="0.25">
      <c r="A709" s="1">
        <f>INDEX(rq_evidence_review!A:A, MATCH(B709, rq_evidence_review!B:B, 0))</f>
        <v>4</v>
      </c>
      <c r="B709" s="6" t="s">
        <v>241</v>
      </c>
      <c r="C709" s="1">
        <f t="shared" si="79"/>
        <v>703</v>
      </c>
      <c r="D709" s="1">
        <f>VLOOKUP(B709,rq_evidence_review!$B$1:$L$55,7,FALSE)</f>
        <v>85</v>
      </c>
      <c r="E709" s="8" t="s">
        <v>1077</v>
      </c>
      <c r="H709" s="1" t="str">
        <f t="shared" si="80"/>
        <v>Allen HF</v>
      </c>
      <c r="I709" s="1" t="str">
        <f t="shared" si="84"/>
        <v>2005</v>
      </c>
      <c r="J709" s="1" t="str">
        <f t="shared" si="81"/>
        <v>Allen HF et al., 2005</v>
      </c>
      <c r="K709" s="9" t="s">
        <v>1675</v>
      </c>
      <c r="L709" s="1" t="str">
        <f t="shared" si="83"/>
        <v/>
      </c>
    </row>
    <row r="710" spans="1:15" ht="45" hidden="1" x14ac:dyDescent="0.25">
      <c r="A710" s="1">
        <f>INDEX(rq_evidence_review!A:A, MATCH(B710, rq_evidence_review!B:B, 0))</f>
        <v>4</v>
      </c>
      <c r="B710" s="6" t="s">
        <v>241</v>
      </c>
      <c r="C710" s="1">
        <f t="shared" si="79"/>
        <v>704</v>
      </c>
      <c r="D710" s="1">
        <f>VLOOKUP(B710,rq_evidence_review!$B$1:$L$55,7,FALSE)</f>
        <v>85</v>
      </c>
      <c r="E710" s="8" t="s">
        <v>1078</v>
      </c>
      <c r="H710" s="1" t="str">
        <f t="shared" si="80"/>
        <v>Alpañés M</v>
      </c>
      <c r="I710" s="1" t="str">
        <f t="shared" si="84"/>
        <v>2017</v>
      </c>
      <c r="J710" s="1" t="str">
        <f t="shared" si="81"/>
        <v>Alpañés M et al., 2017</v>
      </c>
      <c r="K710" s="1" t="s">
        <v>1676</v>
      </c>
      <c r="L710" s="1" t="str">
        <f t="shared" si="83"/>
        <v/>
      </c>
    </row>
    <row r="711" spans="1:15" ht="30" hidden="1" x14ac:dyDescent="0.25">
      <c r="A711" s="1">
        <f>INDEX(rq_evidence_review!A:A, MATCH(B711, rq_evidence_review!B:B, 0))</f>
        <v>4</v>
      </c>
      <c r="B711" s="6" t="s">
        <v>241</v>
      </c>
      <c r="C711" s="1">
        <f t="shared" si="79"/>
        <v>705</v>
      </c>
      <c r="D711" s="1">
        <f>VLOOKUP(B711,rq_evidence_review!$B$1:$L$55,7,FALSE)</f>
        <v>85</v>
      </c>
      <c r="E711" s="8" t="s">
        <v>1079</v>
      </c>
      <c r="H711" s="1" t="str">
        <f t="shared" si="80"/>
        <v>Al-Zubeidi H</v>
      </c>
      <c r="I711" s="1" t="str">
        <f t="shared" si="84"/>
        <v>2015</v>
      </c>
      <c r="J711" s="1" t="str">
        <f t="shared" si="81"/>
        <v>Al-Zubeidi H et al., 2015</v>
      </c>
      <c r="K711" s="1" t="s">
        <v>1677</v>
      </c>
      <c r="L711" s="1" t="str">
        <f t="shared" si="83"/>
        <v/>
      </c>
    </row>
    <row r="712" spans="1:15" ht="45" hidden="1" x14ac:dyDescent="0.25">
      <c r="A712" s="1">
        <f>INDEX(rq_evidence_review!A:A, MATCH(B712, rq_evidence_review!B:B, 0))</f>
        <v>4</v>
      </c>
      <c r="B712" s="6" t="s">
        <v>241</v>
      </c>
      <c r="C712" s="1">
        <f t="shared" si="79"/>
        <v>706</v>
      </c>
      <c r="D712" s="1">
        <f>VLOOKUP(B712,rq_evidence_review!$B$1:$L$55,7,FALSE)</f>
        <v>85</v>
      </c>
      <c r="E712" s="8" t="s">
        <v>1080</v>
      </c>
      <c r="H712" s="1" t="str">
        <f t="shared" si="80"/>
        <v>Amiri M</v>
      </c>
      <c r="I712" s="1" t="str">
        <f t="shared" si="84"/>
        <v>2020</v>
      </c>
      <c r="J712" s="1" t="str">
        <f t="shared" si="81"/>
        <v>Amiri M et al., 2020</v>
      </c>
      <c r="K712" s="1" t="s">
        <v>1678</v>
      </c>
      <c r="L712" s="1" t="str">
        <f t="shared" si="83"/>
        <v/>
      </c>
    </row>
    <row r="713" spans="1:15" ht="30" hidden="1" x14ac:dyDescent="0.25">
      <c r="A713" s="1">
        <f>INDEX(rq_evidence_review!A:A, MATCH(B713, rq_evidence_review!B:B, 0))</f>
        <v>4</v>
      </c>
      <c r="B713" s="6" t="s">
        <v>241</v>
      </c>
      <c r="C713" s="1">
        <f t="shared" si="79"/>
        <v>707</v>
      </c>
      <c r="D713" s="1">
        <f>VLOOKUP(B713,rq_evidence_review!$B$1:$L$55,7,FALSE)</f>
        <v>85</v>
      </c>
      <c r="E713" s="8" t="s">
        <v>1081</v>
      </c>
      <c r="H713" s="1" t="str">
        <f t="shared" si="80"/>
        <v>Amiri M</v>
      </c>
      <c r="I713" s="1" t="str">
        <f t="shared" si="84"/>
        <v>2021</v>
      </c>
      <c r="J713" s="1" t="str">
        <f t="shared" si="81"/>
        <v>Amiri M et al., 2021</v>
      </c>
      <c r="K713" s="1" t="s">
        <v>1679</v>
      </c>
      <c r="L713" s="1" t="str">
        <f t="shared" si="83"/>
        <v/>
      </c>
    </row>
    <row r="714" spans="1:15" ht="30" hidden="1" x14ac:dyDescent="0.25">
      <c r="A714" s="1">
        <f>INDEX(rq_evidence_review!A:A, MATCH(B714, rq_evidence_review!B:B, 0))</f>
        <v>4</v>
      </c>
      <c r="B714" s="6" t="s">
        <v>241</v>
      </c>
      <c r="C714" s="1">
        <f t="shared" si="79"/>
        <v>708</v>
      </c>
      <c r="D714" s="1">
        <f>VLOOKUP(B714,rq_evidence_review!$B$1:$L$55,7,FALSE)</f>
        <v>85</v>
      </c>
      <c r="E714" s="8" t="s">
        <v>1082</v>
      </c>
      <c r="H714" s="1" t="str">
        <f t="shared" si="80"/>
        <v>Bhattacharya SM</v>
      </c>
      <c r="I714" s="1" t="str">
        <f t="shared" si="84"/>
        <v>2012</v>
      </c>
      <c r="J714" s="1" t="str">
        <f t="shared" si="81"/>
        <v>Bhattacharya SM et al., 2012</v>
      </c>
      <c r="K714" s="9" t="s">
        <v>1680</v>
      </c>
      <c r="L714" s="1" t="str">
        <f t="shared" si="83"/>
        <v/>
      </c>
    </row>
    <row r="715" spans="1:15" ht="30" hidden="1" x14ac:dyDescent="0.25">
      <c r="A715" s="1">
        <f>INDEX(rq_evidence_review!A:A, MATCH(B715, rq_evidence_review!B:B, 0))</f>
        <v>4</v>
      </c>
      <c r="B715" s="6" t="s">
        <v>241</v>
      </c>
      <c r="C715" s="1">
        <f t="shared" si="79"/>
        <v>709</v>
      </c>
      <c r="D715" s="1">
        <f>VLOOKUP(B715,rq_evidence_review!$B$1:$L$55,7,FALSE)</f>
        <v>85</v>
      </c>
      <c r="E715" s="8" t="s">
        <v>1083</v>
      </c>
      <c r="H715" s="1" t="str">
        <f t="shared" si="80"/>
        <v>Bhattacharya SM</v>
      </c>
      <c r="I715" s="1" t="str">
        <f t="shared" si="84"/>
        <v>2016</v>
      </c>
      <c r="J715" s="1" t="str">
        <f t="shared" si="81"/>
        <v>Bhattacharya SM et al., 2016</v>
      </c>
      <c r="K715" s="9" t="s">
        <v>1681</v>
      </c>
      <c r="L715" s="1" t="str">
        <f t="shared" si="83"/>
        <v/>
      </c>
    </row>
    <row r="716" spans="1:15" ht="30" hidden="1" x14ac:dyDescent="0.25">
      <c r="A716" s="1">
        <f>INDEX(rq_evidence_review!A:A, MATCH(B716, rq_evidence_review!B:B, 0))</f>
        <v>4</v>
      </c>
      <c r="B716" s="6" t="s">
        <v>241</v>
      </c>
      <c r="C716" s="1">
        <f t="shared" si="79"/>
        <v>710</v>
      </c>
      <c r="D716" s="1">
        <f>VLOOKUP(B716,rq_evidence_review!$B$1:$L$55,7,FALSE)</f>
        <v>85</v>
      </c>
      <c r="E716" s="8" t="s">
        <v>1084</v>
      </c>
      <c r="H716" s="1" t="str">
        <f t="shared" si="80"/>
        <v>Bilgir O</v>
      </c>
      <c r="I716" s="1" t="str">
        <f t="shared" si="84"/>
        <v>2009</v>
      </c>
      <c r="J716" s="1" t="str">
        <f t="shared" si="81"/>
        <v>Bilgir O et al., 2009</v>
      </c>
      <c r="K716" s="9" t="s">
        <v>1682</v>
      </c>
      <c r="L716" s="1" t="str">
        <f t="shared" si="83"/>
        <v/>
      </c>
    </row>
    <row r="717" spans="1:15" ht="30" hidden="1" x14ac:dyDescent="0.25">
      <c r="A717" s="1">
        <f>INDEX(rq_evidence_review!A:A, MATCH(B717, rq_evidence_review!B:B, 0))</f>
        <v>4</v>
      </c>
      <c r="B717" s="6" t="s">
        <v>241</v>
      </c>
      <c r="C717" s="1">
        <f t="shared" si="79"/>
        <v>711</v>
      </c>
      <c r="D717" s="1">
        <f>VLOOKUP(B717,rq_evidence_review!$B$1:$L$55,7,FALSE)</f>
        <v>85</v>
      </c>
      <c r="E717" s="8" t="s">
        <v>1085</v>
      </c>
      <c r="H717" s="1" t="str">
        <f t="shared" si="80"/>
        <v>Bodur S</v>
      </c>
      <c r="I717" s="1" t="str">
        <f t="shared" si="84"/>
        <v>2018</v>
      </c>
      <c r="J717" s="1" t="str">
        <f t="shared" si="81"/>
        <v>Bodur S et al., 2018</v>
      </c>
      <c r="K717" s="9" t="s">
        <v>1683</v>
      </c>
      <c r="L717" s="1" t="str">
        <f t="shared" si="83"/>
        <v/>
      </c>
    </row>
    <row r="718" spans="1:15" ht="30" hidden="1" x14ac:dyDescent="0.25">
      <c r="A718" s="1">
        <f>INDEX(rq_evidence_review!A:A, MATCH(B718, rq_evidence_review!B:B, 0))</f>
        <v>4</v>
      </c>
      <c r="B718" s="6" t="s">
        <v>241</v>
      </c>
      <c r="C718" s="1">
        <f t="shared" si="79"/>
        <v>712</v>
      </c>
      <c r="D718" s="1">
        <f>VLOOKUP(B718,rq_evidence_review!$B$1:$L$55,7,FALSE)</f>
        <v>85</v>
      </c>
      <c r="E718" s="8" t="s">
        <v>1086</v>
      </c>
      <c r="H718" s="1" t="str">
        <f t="shared" si="80"/>
        <v>Cagnacci A</v>
      </c>
      <c r="I718" s="1" t="str">
        <f t="shared" si="84"/>
        <v>2006</v>
      </c>
      <c r="J718" s="1" t="str">
        <f t="shared" si="81"/>
        <v>Cagnacci A et al., 2006</v>
      </c>
      <c r="K718" s="9" t="s">
        <v>1684</v>
      </c>
      <c r="L718" s="1" t="str">
        <f t="shared" si="83"/>
        <v/>
      </c>
    </row>
    <row r="719" spans="1:15" ht="30" hidden="1" x14ac:dyDescent="0.25">
      <c r="A719" s="1">
        <f>INDEX(rq_evidence_review!A:A, MATCH(B719, rq_evidence_review!B:B, 0))</f>
        <v>4</v>
      </c>
      <c r="B719" s="6" t="s">
        <v>241</v>
      </c>
      <c r="C719" s="1">
        <f t="shared" si="79"/>
        <v>713</v>
      </c>
      <c r="D719" s="1">
        <f>VLOOKUP(B719,rq_evidence_review!$B$1:$L$55,7,FALSE)</f>
        <v>85</v>
      </c>
      <c r="E719" s="8" t="s">
        <v>1087</v>
      </c>
      <c r="H719" s="1" t="str">
        <f t="shared" si="80"/>
        <v>Cetinkalp S</v>
      </c>
      <c r="I719" s="1" t="str">
        <f t="shared" si="84"/>
        <v>2009</v>
      </c>
      <c r="J719" s="1" t="str">
        <f t="shared" si="81"/>
        <v>Cetinkalp S et al., 2009</v>
      </c>
      <c r="K719" s="9" t="s">
        <v>1685</v>
      </c>
      <c r="L719" s="1" t="str">
        <f t="shared" si="83"/>
        <v/>
      </c>
    </row>
    <row r="720" spans="1:15" ht="30" hidden="1" x14ac:dyDescent="0.25">
      <c r="A720" s="1">
        <f>INDEX(rq_evidence_review!A:A, MATCH(B720, rq_evidence_review!B:B, 0))</f>
        <v>4</v>
      </c>
      <c r="B720" s="6" t="s">
        <v>241</v>
      </c>
      <c r="C720" s="1">
        <f t="shared" si="79"/>
        <v>714</v>
      </c>
      <c r="D720" s="1">
        <f>VLOOKUP(B720,rq_evidence_review!$B$1:$L$55,7,FALSE)</f>
        <v>85</v>
      </c>
      <c r="E720" s="8" t="s">
        <v>1088</v>
      </c>
      <c r="H720" s="1" t="str">
        <f t="shared" si="80"/>
        <v>Christakou C</v>
      </c>
      <c r="I720" s="1" t="str">
        <f t="shared" si="84"/>
        <v>2014</v>
      </c>
      <c r="J720" s="1" t="str">
        <f t="shared" si="81"/>
        <v>Christakou C et al., 2014</v>
      </c>
      <c r="K720" s="9" t="s">
        <v>1686</v>
      </c>
      <c r="L720" s="1" t="str">
        <f t="shared" si="83"/>
        <v/>
      </c>
    </row>
    <row r="721" spans="1:14" ht="45" hidden="1" x14ac:dyDescent="0.25">
      <c r="A721" s="1">
        <f>INDEX(rq_evidence_review!A:A, MATCH(B721, rq_evidence_review!B:B, 0))</f>
        <v>4</v>
      </c>
      <c r="B721" s="6" t="s">
        <v>241</v>
      </c>
      <c r="C721" s="1">
        <f t="shared" si="79"/>
        <v>715</v>
      </c>
      <c r="D721" s="1">
        <f>VLOOKUP(B721,rq_evidence_review!$B$1:$L$55,7,FALSE)</f>
        <v>85</v>
      </c>
      <c r="E721" s="8" t="s">
        <v>1089</v>
      </c>
      <c r="H721" s="1" t="str">
        <f t="shared" si="80"/>
        <v>Cibula D</v>
      </c>
      <c r="I721" s="1" t="str">
        <f t="shared" si="84"/>
        <v>2005</v>
      </c>
      <c r="J721" s="1" t="str">
        <f t="shared" si="81"/>
        <v>Cibula D et al., 2005</v>
      </c>
      <c r="K721" s="9" t="s">
        <v>1687</v>
      </c>
      <c r="L721" s="1" t="str">
        <f t="shared" si="83"/>
        <v/>
      </c>
    </row>
    <row r="722" spans="1:14" ht="30" hidden="1" x14ac:dyDescent="0.25">
      <c r="A722" s="1">
        <f>INDEX(rq_evidence_review!A:A, MATCH(B722, rq_evidence_review!B:B, 0))</f>
        <v>4</v>
      </c>
      <c r="B722" s="6" t="s">
        <v>241</v>
      </c>
      <c r="C722" s="1">
        <f t="shared" si="79"/>
        <v>716</v>
      </c>
      <c r="D722" s="1">
        <f>VLOOKUP(B722,rq_evidence_review!$B$1:$L$55,7,FALSE)</f>
        <v>85</v>
      </c>
      <c r="E722" s="8" t="s">
        <v>1090</v>
      </c>
      <c r="H722" s="1" t="str">
        <f t="shared" si="80"/>
        <v>Chung JP</v>
      </c>
      <c r="I722" s="1" t="str">
        <f t="shared" si="84"/>
        <v>2014</v>
      </c>
      <c r="J722" s="1" t="str">
        <f t="shared" si="81"/>
        <v>Chung JP et al., 2014</v>
      </c>
      <c r="K722" s="9" t="s">
        <v>1688</v>
      </c>
      <c r="L722" s="1" t="str">
        <f t="shared" si="83"/>
        <v/>
      </c>
    </row>
    <row r="723" spans="1:14" ht="45" hidden="1" x14ac:dyDescent="0.25">
      <c r="A723" s="1">
        <f>INDEX(rq_evidence_review!A:A, MATCH(B723, rq_evidence_review!B:B, 0))</f>
        <v>4</v>
      </c>
      <c r="B723" s="6" t="s">
        <v>241</v>
      </c>
      <c r="C723" s="1">
        <f t="shared" si="79"/>
        <v>717</v>
      </c>
      <c r="D723" s="1">
        <f>VLOOKUP(B723,rq_evidence_review!$B$1:$L$55,7,FALSE)</f>
        <v>85</v>
      </c>
      <c r="E723" s="8" t="s">
        <v>1091</v>
      </c>
      <c r="H723" s="1" t="str">
        <f t="shared" si="80"/>
        <v>Dardzińska JA</v>
      </c>
      <c r="I723" s="1" t="str">
        <f t="shared" si="84"/>
        <v>2014</v>
      </c>
      <c r="J723" s="1" t="str">
        <f t="shared" si="81"/>
        <v>Dardzińska JA et al., 2014</v>
      </c>
      <c r="K723" s="9" t="s">
        <v>1689</v>
      </c>
      <c r="L723" s="1" t="str">
        <f t="shared" si="83"/>
        <v/>
      </c>
    </row>
    <row r="724" spans="1:14" ht="30" hidden="1" x14ac:dyDescent="0.25">
      <c r="A724" s="1">
        <f>INDEX(rq_evidence_review!A:A, MATCH(B724, rq_evidence_review!B:B, 0))</f>
        <v>4</v>
      </c>
      <c r="B724" s="6" t="s">
        <v>241</v>
      </c>
      <c r="C724" s="1">
        <f t="shared" si="79"/>
        <v>718</v>
      </c>
      <c r="D724" s="1">
        <f>VLOOKUP(B724,rq_evidence_review!$B$1:$L$55,7,FALSE)</f>
        <v>85</v>
      </c>
      <c r="E724" s="8" t="s">
        <v>1092</v>
      </c>
      <c r="H724" s="1" t="str">
        <f t="shared" si="80"/>
        <v>De Leo V</v>
      </c>
      <c r="I724" s="1" t="str">
        <f t="shared" si="84"/>
        <v>2010</v>
      </c>
      <c r="J724" s="1" t="str">
        <f t="shared" si="81"/>
        <v>De Leo V et al., 2010</v>
      </c>
      <c r="K724" s="9" t="s">
        <v>1690</v>
      </c>
      <c r="L724" s="1" t="str">
        <f t="shared" si="83"/>
        <v/>
      </c>
    </row>
    <row r="725" spans="1:14" ht="30" hidden="1" x14ac:dyDescent="0.25">
      <c r="A725" s="1">
        <f>INDEX(rq_evidence_review!A:A, MATCH(B725, rq_evidence_review!B:B, 0))</f>
        <v>4</v>
      </c>
      <c r="B725" s="6" t="s">
        <v>241</v>
      </c>
      <c r="C725" s="1">
        <f t="shared" si="79"/>
        <v>719</v>
      </c>
      <c r="D725" s="1">
        <f>VLOOKUP(B725,rq_evidence_review!$B$1:$L$55,7,FALSE)</f>
        <v>85</v>
      </c>
      <c r="E725" s="8" t="s">
        <v>1093</v>
      </c>
      <c r="H725" s="1" t="str">
        <f t="shared" si="80"/>
        <v>Dorgham N</v>
      </c>
      <c r="I725" s="1" t="str">
        <f t="shared" si="84"/>
        <v>2021</v>
      </c>
      <c r="J725" s="1" t="str">
        <f t="shared" si="81"/>
        <v>Dorgham N et al., 2021</v>
      </c>
      <c r="K725" s="1" t="s">
        <v>1691</v>
      </c>
      <c r="L725" s="1" t="str">
        <f t="shared" si="83"/>
        <v/>
      </c>
    </row>
    <row r="726" spans="1:14" ht="30" hidden="1" x14ac:dyDescent="0.25">
      <c r="A726" s="1">
        <f>INDEX(rq_evidence_review!A:A, MATCH(B726, rq_evidence_review!B:B, 0))</f>
        <v>4</v>
      </c>
      <c r="B726" s="6" t="s">
        <v>241</v>
      </c>
      <c r="C726" s="1">
        <f t="shared" si="79"/>
        <v>720</v>
      </c>
      <c r="D726" s="1">
        <f>VLOOKUP(B726,rq_evidence_review!$B$1:$L$55,7,FALSE)</f>
        <v>85</v>
      </c>
      <c r="E726" s="8" t="s">
        <v>1094</v>
      </c>
      <c r="H726" s="1" t="str">
        <f t="shared" si="80"/>
        <v>El Maghraby HA</v>
      </c>
      <c r="I726" s="1" t="str">
        <f t="shared" si="84"/>
        <v>2015</v>
      </c>
      <c r="J726" s="1" t="str">
        <f t="shared" si="81"/>
        <v>El Maghraby HA et al., 2015</v>
      </c>
      <c r="K726" s="9" t="s">
        <v>1692</v>
      </c>
      <c r="L726" s="1" t="str">
        <f t="shared" si="83"/>
        <v/>
      </c>
    </row>
    <row r="727" spans="1:14" ht="30" hidden="1" x14ac:dyDescent="0.25">
      <c r="A727" s="1">
        <f>INDEX(rq_evidence_review!A:A, MATCH(B727, rq_evidence_review!B:B, 0))</f>
        <v>4</v>
      </c>
      <c r="B727" s="6" t="s">
        <v>241</v>
      </c>
      <c r="C727" s="1">
        <f t="shared" si="79"/>
        <v>721</v>
      </c>
      <c r="D727" s="1">
        <f>VLOOKUP(B727,rq_evidence_review!$B$1:$L$55,7,FALSE)</f>
        <v>85</v>
      </c>
      <c r="E727" s="8" t="s">
        <v>1095</v>
      </c>
      <c r="H727" s="1" t="str">
        <f t="shared" si="80"/>
        <v>Elter K</v>
      </c>
      <c r="I727" s="1" t="str">
        <f t="shared" si="84"/>
        <v>2002</v>
      </c>
      <c r="J727" s="1" t="str">
        <f t="shared" si="81"/>
        <v>Elter K et al., 2002</v>
      </c>
      <c r="K727" s="9" t="s">
        <v>1693</v>
      </c>
      <c r="L727" s="1" t="str">
        <f t="shared" si="83"/>
        <v/>
      </c>
    </row>
    <row r="728" spans="1:14" ht="30" hidden="1" x14ac:dyDescent="0.25">
      <c r="A728" s="1">
        <f>INDEX(rq_evidence_review!A:A, MATCH(B728, rq_evidence_review!B:B, 0))</f>
        <v>4</v>
      </c>
      <c r="B728" s="6" t="s">
        <v>241</v>
      </c>
      <c r="C728" s="1">
        <f t="shared" si="79"/>
        <v>722</v>
      </c>
      <c r="D728" s="1">
        <f>VLOOKUP(B728,rq_evidence_review!$B$1:$L$55,7,FALSE)</f>
        <v>85</v>
      </c>
      <c r="E728" s="8" t="s">
        <v>1096</v>
      </c>
      <c r="H728" s="1" t="str">
        <f t="shared" si="80"/>
        <v>Essah PA</v>
      </c>
      <c r="I728" s="1" t="str">
        <f t="shared" si="84"/>
        <v>2011</v>
      </c>
      <c r="J728" s="1" t="str">
        <f t="shared" si="81"/>
        <v>Essah PA et al., 2011</v>
      </c>
      <c r="K728" s="9" t="s">
        <v>1694</v>
      </c>
      <c r="L728" s="1" t="str">
        <f t="shared" si="83"/>
        <v/>
      </c>
    </row>
    <row r="729" spans="1:14" ht="30" hidden="1" x14ac:dyDescent="0.25">
      <c r="A729" s="1">
        <f>INDEX(rq_evidence_review!A:A, MATCH(B729, rq_evidence_review!B:B, 0))</f>
        <v>4</v>
      </c>
      <c r="B729" s="6" t="s">
        <v>241</v>
      </c>
      <c r="C729" s="1">
        <f t="shared" si="79"/>
        <v>723</v>
      </c>
      <c r="D729" s="1">
        <f>VLOOKUP(B729,rq_evidence_review!$B$1:$L$55,7,FALSE)</f>
        <v>85</v>
      </c>
      <c r="E729" s="8" t="s">
        <v>1097</v>
      </c>
      <c r="H729" s="1" t="str">
        <f t="shared" si="80"/>
        <v>Feng W</v>
      </c>
      <c r="I729" s="1" t="str">
        <f t="shared" si="84"/>
        <v>2016</v>
      </c>
      <c r="J729" s="1" t="str">
        <f t="shared" si="81"/>
        <v>Feng W et al., 2016</v>
      </c>
      <c r="K729" s="9" t="s">
        <v>1695</v>
      </c>
      <c r="L729" s="1" t="str">
        <f t="shared" si="83"/>
        <v/>
      </c>
    </row>
    <row r="730" spans="1:14" ht="45" hidden="1" x14ac:dyDescent="0.25">
      <c r="A730" s="1">
        <f>INDEX(rq_evidence_review!A:A, MATCH(B730, rq_evidence_review!B:B, 0))</f>
        <v>4</v>
      </c>
      <c r="B730" s="6" t="s">
        <v>241</v>
      </c>
      <c r="C730" s="1">
        <f t="shared" si="79"/>
        <v>724</v>
      </c>
      <c r="D730" s="1">
        <f>VLOOKUP(B730,rq_evidence_review!$B$1:$L$55,7,FALSE)</f>
        <v>85</v>
      </c>
      <c r="E730" s="8" t="s">
        <v>1098</v>
      </c>
      <c r="H730" s="1" t="str">
        <f t="shared" si="80"/>
        <v>Fonseka S</v>
      </c>
      <c r="I730" s="1" t="str">
        <f t="shared" si="84"/>
        <v>2020</v>
      </c>
      <c r="J730" s="1" t="str">
        <f t="shared" si="81"/>
        <v>Fonseka S et al., 2020</v>
      </c>
      <c r="K730" s="1" t="str">
        <f>ExtractDOI(E730)</f>
        <v/>
      </c>
      <c r="L730" s="1">
        <v>32983332</v>
      </c>
      <c r="M730" s="1" t="s">
        <v>1696</v>
      </c>
      <c r="N730" s="1">
        <v>222155349</v>
      </c>
    </row>
    <row r="731" spans="1:14" ht="45" hidden="1" x14ac:dyDescent="0.25">
      <c r="A731" s="1">
        <f>INDEX(rq_evidence_review!A:A, MATCH(B731, rq_evidence_review!B:B, 0))</f>
        <v>4</v>
      </c>
      <c r="B731" s="6" t="s">
        <v>241</v>
      </c>
      <c r="C731" s="1">
        <f t="shared" si="79"/>
        <v>725</v>
      </c>
      <c r="D731" s="1">
        <f>VLOOKUP(B731,rq_evidence_review!$B$1:$L$55,7,FALSE)</f>
        <v>85</v>
      </c>
      <c r="E731" s="8" t="s">
        <v>1099</v>
      </c>
      <c r="H731" s="1" t="str">
        <f t="shared" si="80"/>
        <v>Glintborg D</v>
      </c>
      <c r="I731" s="1" t="str">
        <f t="shared" si="84"/>
        <v>2014</v>
      </c>
      <c r="J731" s="1" t="str">
        <f t="shared" si="81"/>
        <v>Glintborg D et al., 2014</v>
      </c>
      <c r="K731" s="9" t="s">
        <v>1697</v>
      </c>
      <c r="L731" s="1" t="str">
        <f t="shared" si="83"/>
        <v/>
      </c>
    </row>
    <row r="732" spans="1:14" ht="45" hidden="1" x14ac:dyDescent="0.25">
      <c r="A732" s="1">
        <f>INDEX(rq_evidence_review!A:A, MATCH(B732, rq_evidence_review!B:B, 0))</f>
        <v>4</v>
      </c>
      <c r="B732" s="6" t="s">
        <v>241</v>
      </c>
      <c r="C732" s="1">
        <f t="shared" si="79"/>
        <v>726</v>
      </c>
      <c r="D732" s="1">
        <f>VLOOKUP(B732,rq_evidence_review!$B$1:$L$55,7,FALSE)</f>
        <v>85</v>
      </c>
      <c r="E732" s="8" t="s">
        <v>1100</v>
      </c>
      <c r="H732" s="1" t="str">
        <f t="shared" si="80"/>
        <v>Glintborg D</v>
      </c>
      <c r="I732" s="1" t="str">
        <f t="shared" si="84"/>
        <v>2014</v>
      </c>
      <c r="J732" s="1" t="str">
        <f t="shared" si="81"/>
        <v>Glintborg D et al., 2014</v>
      </c>
      <c r="K732" s="9" t="s">
        <v>1698</v>
      </c>
      <c r="L732" s="1" t="str">
        <f t="shared" si="83"/>
        <v/>
      </c>
    </row>
    <row r="733" spans="1:14" ht="30" hidden="1" x14ac:dyDescent="0.25">
      <c r="A733" s="1">
        <f>INDEX(rq_evidence_review!A:A, MATCH(B733, rq_evidence_review!B:B, 0))</f>
        <v>4</v>
      </c>
      <c r="B733" s="6" t="s">
        <v>241</v>
      </c>
      <c r="C733" s="1">
        <f t="shared" si="79"/>
        <v>727</v>
      </c>
      <c r="D733" s="1">
        <f>VLOOKUP(B733,rq_evidence_review!$B$1:$L$55,7,FALSE)</f>
        <v>85</v>
      </c>
      <c r="E733" s="8" t="s">
        <v>1101</v>
      </c>
      <c r="H733" s="1" t="str">
        <f t="shared" si="80"/>
        <v>Altinok ML</v>
      </c>
      <c r="I733" s="1" t="str">
        <f t="shared" si="84"/>
        <v>2018</v>
      </c>
      <c r="J733" s="1" t="str">
        <f t="shared" si="81"/>
        <v>Altinok ML et al., 2018</v>
      </c>
      <c r="K733" s="9" t="s">
        <v>1699</v>
      </c>
      <c r="L733" s="1" t="str">
        <f t="shared" si="83"/>
        <v/>
      </c>
    </row>
    <row r="734" spans="1:14" ht="30" hidden="1" x14ac:dyDescent="0.25">
      <c r="A734" s="1">
        <f>INDEX(rq_evidence_review!A:A, MATCH(B734, rq_evidence_review!B:B, 0))</f>
        <v>4</v>
      </c>
      <c r="B734" s="6" t="s">
        <v>241</v>
      </c>
      <c r="C734" s="1">
        <f t="shared" si="79"/>
        <v>728</v>
      </c>
      <c r="D734" s="1">
        <f>VLOOKUP(B734,rq_evidence_review!$B$1:$L$55,7,FALSE)</f>
        <v>85</v>
      </c>
      <c r="E734" s="8" t="s">
        <v>1102</v>
      </c>
      <c r="H734" s="1" t="str">
        <f t="shared" si="80"/>
        <v>Glintborg D</v>
      </c>
      <c r="I734" s="1" t="str">
        <f t="shared" si="84"/>
        <v>2017</v>
      </c>
      <c r="J734" s="1" t="str">
        <f t="shared" si="81"/>
        <v>Glintborg D et al., 2017</v>
      </c>
      <c r="K734" s="9" t="s">
        <v>1700</v>
      </c>
      <c r="L734" s="1" t="str">
        <f t="shared" si="83"/>
        <v/>
      </c>
    </row>
    <row r="735" spans="1:14" ht="30" hidden="1" x14ac:dyDescent="0.25">
      <c r="A735" s="1">
        <f>INDEX(rq_evidence_review!A:A, MATCH(B735, rq_evidence_review!B:B, 0))</f>
        <v>4</v>
      </c>
      <c r="B735" s="6" t="s">
        <v>241</v>
      </c>
      <c r="C735" s="1">
        <f t="shared" si="79"/>
        <v>729</v>
      </c>
      <c r="D735" s="1">
        <f>VLOOKUP(B735,rq_evidence_review!$B$1:$L$55,7,FALSE)</f>
        <v>85</v>
      </c>
      <c r="E735" s="8" t="s">
        <v>1103</v>
      </c>
      <c r="H735" s="1" t="str">
        <f t="shared" si="80"/>
        <v>Gu M</v>
      </c>
      <c r="I735" s="1" t="str">
        <f t="shared" si="84"/>
        <v>2022</v>
      </c>
      <c r="J735" s="1" t="str">
        <f t="shared" si="81"/>
        <v>Gu M et al., 2022</v>
      </c>
      <c r="K735" s="9" t="s">
        <v>1701</v>
      </c>
      <c r="L735" s="1" t="str">
        <f t="shared" si="83"/>
        <v/>
      </c>
    </row>
    <row r="736" spans="1:14" ht="30" hidden="1" x14ac:dyDescent="0.25">
      <c r="A736" s="1">
        <f>INDEX(rq_evidence_review!A:A, MATCH(B736, rq_evidence_review!B:B, 0))</f>
        <v>4</v>
      </c>
      <c r="B736" s="6" t="s">
        <v>241</v>
      </c>
      <c r="C736" s="1">
        <f t="shared" ref="C736:C799" si="86">C735+1</f>
        <v>730</v>
      </c>
      <c r="D736" s="1">
        <f>VLOOKUP(B736,rq_evidence_review!$B$1:$L$55,7,FALSE)</f>
        <v>85</v>
      </c>
      <c r="E736" s="8" t="s">
        <v>1104</v>
      </c>
      <c r="H736" s="1" t="str">
        <f t="shared" si="80"/>
        <v>Hagag P</v>
      </c>
      <c r="I736" s="1" t="str">
        <f t="shared" si="84"/>
        <v>2014</v>
      </c>
      <c r="J736" s="1" t="str">
        <f t="shared" si="81"/>
        <v>Hagag P et al., 2014</v>
      </c>
      <c r="K736" s="1" t="str">
        <f>ExtractDOI(E736)</f>
        <v/>
      </c>
      <c r="L736" s="1">
        <v>25330687</v>
      </c>
      <c r="M736" s="1" t="s">
        <v>1702</v>
      </c>
      <c r="N736" s="1">
        <v>22317157</v>
      </c>
    </row>
    <row r="737" spans="1:12" ht="30" hidden="1" x14ac:dyDescent="0.25">
      <c r="A737" s="1">
        <f>INDEX(rq_evidence_review!A:A, MATCH(B737, rq_evidence_review!B:B, 0))</f>
        <v>4</v>
      </c>
      <c r="B737" s="6" t="s">
        <v>241</v>
      </c>
      <c r="C737" s="1">
        <f t="shared" si="86"/>
        <v>731</v>
      </c>
      <c r="D737" s="1">
        <f>VLOOKUP(B737,rq_evidence_review!$B$1:$L$55,7,FALSE)</f>
        <v>85</v>
      </c>
      <c r="E737" s="8" t="s">
        <v>1105</v>
      </c>
      <c r="H737" s="1" t="str">
        <f t="shared" si="80"/>
        <v>Harborne L</v>
      </c>
      <c r="I737" s="1" t="str">
        <f t="shared" si="84"/>
        <v>2003</v>
      </c>
      <c r="J737" s="1" t="str">
        <f t="shared" si="81"/>
        <v>Harborne L et al., 2003</v>
      </c>
      <c r="K737" s="9" t="s">
        <v>1703</v>
      </c>
      <c r="L737" s="1" t="str">
        <f t="shared" si="83"/>
        <v/>
      </c>
    </row>
    <row r="738" spans="1:12" ht="45" hidden="1" x14ac:dyDescent="0.25">
      <c r="A738" s="1">
        <f>INDEX(rq_evidence_review!A:A, MATCH(B738, rq_evidence_review!B:B, 0))</f>
        <v>4</v>
      </c>
      <c r="B738" s="6" t="s">
        <v>241</v>
      </c>
      <c r="C738" s="1">
        <f t="shared" si="86"/>
        <v>732</v>
      </c>
      <c r="D738" s="1">
        <f>VLOOKUP(B738,rq_evidence_review!$B$1:$L$55,7,FALSE)</f>
        <v>85</v>
      </c>
      <c r="E738" s="8" t="s">
        <v>1106</v>
      </c>
      <c r="H738" s="1" t="str">
        <f t="shared" si="80"/>
        <v>Hoeger K</v>
      </c>
      <c r="I738" s="1" t="str">
        <f t="shared" si="84"/>
        <v>2008</v>
      </c>
      <c r="J738" s="1" t="str">
        <f t="shared" si="81"/>
        <v>Hoeger K et al., 2008</v>
      </c>
      <c r="K738" s="9" t="s">
        <v>1651</v>
      </c>
      <c r="L738" s="1" t="str">
        <f t="shared" si="83"/>
        <v/>
      </c>
    </row>
    <row r="739" spans="1:12" ht="30" hidden="1" x14ac:dyDescent="0.25">
      <c r="A739" s="1">
        <f>INDEX(rq_evidence_review!A:A, MATCH(B739, rq_evidence_review!B:B, 0))</f>
        <v>4</v>
      </c>
      <c r="B739" s="6" t="s">
        <v>241</v>
      </c>
      <c r="C739" s="1">
        <f t="shared" si="86"/>
        <v>733</v>
      </c>
      <c r="D739" s="1">
        <f>VLOOKUP(B739,rq_evidence_review!$B$1:$L$55,7,FALSE)</f>
        <v>85</v>
      </c>
      <c r="E739" s="8" t="s">
        <v>1107</v>
      </c>
      <c r="H739" s="1" t="str">
        <f t="shared" ref="H739:H802" si="87">LEFT(E739, FIND(",", E739) - 1)</f>
        <v>Ibáñez L</v>
      </c>
      <c r="I739" s="1" t="str">
        <f t="shared" si="84"/>
        <v>2004</v>
      </c>
      <c r="J739" s="1" t="str">
        <f t="shared" ref="J739:J802" si="88">H739 &amp; " et al., " &amp; I739</f>
        <v>Ibáñez L et al., 2004</v>
      </c>
      <c r="K739" s="9" t="s">
        <v>1704</v>
      </c>
      <c r="L739" s="1" t="str">
        <f t="shared" ref="L739:L802" si="89">ExtractPMID(E739)</f>
        <v/>
      </c>
    </row>
    <row r="740" spans="1:12" ht="45" hidden="1" x14ac:dyDescent="0.25">
      <c r="A740" s="1">
        <f>INDEX(rq_evidence_review!A:A, MATCH(B740, rq_evidence_review!B:B, 0))</f>
        <v>4</v>
      </c>
      <c r="B740" s="6" t="s">
        <v>241</v>
      </c>
      <c r="C740" s="1">
        <f t="shared" si="86"/>
        <v>734</v>
      </c>
      <c r="D740" s="1">
        <f>VLOOKUP(B740,rq_evidence_review!$B$1:$L$55,7,FALSE)</f>
        <v>85</v>
      </c>
      <c r="E740" s="8" t="s">
        <v>1108</v>
      </c>
      <c r="H740" s="1" t="str">
        <f t="shared" si="87"/>
        <v>Ibáñez L</v>
      </c>
      <c r="I740" s="1" t="str">
        <f t="shared" ref="I740:I803" si="90">ExtractYear(E740)</f>
        <v>2005</v>
      </c>
      <c r="J740" s="1" t="str">
        <f t="shared" si="88"/>
        <v>Ibáñez L et al., 2005</v>
      </c>
      <c r="K740" s="9" t="s">
        <v>1704</v>
      </c>
      <c r="L740" s="1" t="str">
        <f t="shared" si="89"/>
        <v/>
      </c>
    </row>
    <row r="741" spans="1:12" ht="30" hidden="1" x14ac:dyDescent="0.25">
      <c r="A741" s="1">
        <f>INDEX(rq_evidence_review!A:A, MATCH(B741, rq_evidence_review!B:B, 0))</f>
        <v>4</v>
      </c>
      <c r="B741" s="6" t="s">
        <v>241</v>
      </c>
      <c r="C741" s="1">
        <f t="shared" si="86"/>
        <v>735</v>
      </c>
      <c r="D741" s="1">
        <f>VLOOKUP(B741,rq_evidence_review!$B$1:$L$55,7,FALSE)</f>
        <v>85</v>
      </c>
      <c r="E741" s="8" t="s">
        <v>1109</v>
      </c>
      <c r="H741" s="1" t="str">
        <f t="shared" si="87"/>
        <v>Ibáñez L</v>
      </c>
      <c r="I741" s="1" t="str">
        <f t="shared" si="90"/>
        <v>2020</v>
      </c>
      <c r="J741" s="1" t="str">
        <f t="shared" si="88"/>
        <v>Ibáñez L et al., 2020</v>
      </c>
      <c r="K741" s="9" t="s">
        <v>1705</v>
      </c>
      <c r="L741" s="1" t="str">
        <f t="shared" si="89"/>
        <v/>
      </c>
    </row>
    <row r="742" spans="1:12" ht="30" hidden="1" x14ac:dyDescent="0.25">
      <c r="A742" s="1">
        <f>INDEX(rq_evidence_review!A:A, MATCH(B742, rq_evidence_review!B:B, 0))</f>
        <v>4</v>
      </c>
      <c r="B742" s="6" t="s">
        <v>241</v>
      </c>
      <c r="C742" s="1">
        <f t="shared" si="86"/>
        <v>736</v>
      </c>
      <c r="D742" s="1">
        <f>VLOOKUP(B742,rq_evidence_review!$B$1:$L$55,7,FALSE)</f>
        <v>85</v>
      </c>
      <c r="E742" s="8" t="s">
        <v>1110</v>
      </c>
      <c r="H742" s="1" t="str">
        <f t="shared" si="87"/>
        <v>de Zegher F</v>
      </c>
      <c r="I742" s="1" t="str">
        <f t="shared" si="90"/>
        <v>2021</v>
      </c>
      <c r="J742" s="1" t="str">
        <f t="shared" si="88"/>
        <v>de Zegher F et al., 2021</v>
      </c>
      <c r="K742" s="9" t="s">
        <v>1706</v>
      </c>
      <c r="L742" s="1" t="str">
        <f t="shared" si="89"/>
        <v/>
      </c>
    </row>
    <row r="743" spans="1:12" ht="30" hidden="1" x14ac:dyDescent="0.25">
      <c r="A743" s="1">
        <f>INDEX(rq_evidence_review!A:A, MATCH(B743, rq_evidence_review!B:B, 0))</f>
        <v>4</v>
      </c>
      <c r="B743" s="6" t="s">
        <v>241</v>
      </c>
      <c r="C743" s="1">
        <f t="shared" si="86"/>
        <v>737</v>
      </c>
      <c r="D743" s="1">
        <f>VLOOKUP(B743,rq_evidence_review!$B$1:$L$55,7,FALSE)</f>
        <v>85</v>
      </c>
      <c r="E743" s="8" t="s">
        <v>1111</v>
      </c>
      <c r="H743" s="1" t="str">
        <f t="shared" si="87"/>
        <v>Malpique R</v>
      </c>
      <c r="I743" s="1" t="str">
        <f t="shared" si="90"/>
        <v>2019</v>
      </c>
      <c r="J743" s="1" t="str">
        <f t="shared" si="88"/>
        <v>Malpique R et al., 2019</v>
      </c>
      <c r="K743" s="9" t="s">
        <v>1707</v>
      </c>
      <c r="L743" s="1" t="str">
        <f t="shared" si="89"/>
        <v/>
      </c>
    </row>
    <row r="744" spans="1:12" ht="30" hidden="1" x14ac:dyDescent="0.25">
      <c r="A744" s="1">
        <f>INDEX(rq_evidence_review!A:A, MATCH(B744, rq_evidence_review!B:B, 0))</f>
        <v>4</v>
      </c>
      <c r="B744" s="6" t="s">
        <v>241</v>
      </c>
      <c r="C744" s="1">
        <f t="shared" si="86"/>
        <v>738</v>
      </c>
      <c r="D744" s="1">
        <f>VLOOKUP(B744,rq_evidence_review!$B$1:$L$55,7,FALSE)</f>
        <v>85</v>
      </c>
      <c r="E744" s="8" t="s">
        <v>1112</v>
      </c>
      <c r="H744" s="1" t="str">
        <f t="shared" si="87"/>
        <v>Ibáñez L</v>
      </c>
      <c r="I744" s="1" t="str">
        <f t="shared" si="90"/>
        <v>2017</v>
      </c>
      <c r="J744" s="1" t="str">
        <f t="shared" si="88"/>
        <v>Ibáñez L et al., 2017</v>
      </c>
      <c r="K744" s="9" t="s">
        <v>1708</v>
      </c>
      <c r="L744" s="1" t="str">
        <f t="shared" si="89"/>
        <v/>
      </c>
    </row>
    <row r="745" spans="1:12" ht="30" hidden="1" x14ac:dyDescent="0.25">
      <c r="A745" s="1">
        <f>INDEX(rq_evidence_review!A:A, MATCH(B745, rq_evidence_review!B:B, 0))</f>
        <v>4</v>
      </c>
      <c r="B745" s="6" t="s">
        <v>241</v>
      </c>
      <c r="C745" s="1">
        <f t="shared" si="86"/>
        <v>739</v>
      </c>
      <c r="D745" s="1">
        <f>VLOOKUP(B745,rq_evidence_review!$B$1:$L$55,7,FALSE)</f>
        <v>85</v>
      </c>
      <c r="E745" s="8" t="s">
        <v>1113</v>
      </c>
      <c r="H745" s="1" t="str">
        <f t="shared" si="87"/>
        <v>Díaz M</v>
      </c>
      <c r="I745" s="1" t="str">
        <f t="shared" si="90"/>
        <v>2018</v>
      </c>
      <c r="J745" s="1" t="str">
        <f t="shared" si="88"/>
        <v>Díaz M et al., 2018</v>
      </c>
      <c r="K745" s="9" t="s">
        <v>1709</v>
      </c>
      <c r="L745" s="1" t="str">
        <f t="shared" si="89"/>
        <v/>
      </c>
    </row>
    <row r="746" spans="1:12" ht="30" hidden="1" x14ac:dyDescent="0.25">
      <c r="A746" s="1">
        <f>INDEX(rq_evidence_review!A:A, MATCH(B746, rq_evidence_review!B:B, 0))</f>
        <v>4</v>
      </c>
      <c r="B746" s="6" t="s">
        <v>241</v>
      </c>
      <c r="C746" s="1">
        <f t="shared" si="86"/>
        <v>740</v>
      </c>
      <c r="D746" s="1">
        <f>VLOOKUP(B746,rq_evidence_review!$B$1:$L$55,7,FALSE)</f>
        <v>85</v>
      </c>
      <c r="E746" s="8" t="s">
        <v>1114</v>
      </c>
      <c r="H746" s="1" t="str">
        <f t="shared" si="87"/>
        <v>Kahraman K</v>
      </c>
      <c r="I746" s="1" t="str">
        <f t="shared" si="90"/>
        <v>2014</v>
      </c>
      <c r="J746" s="1" t="str">
        <f t="shared" si="88"/>
        <v>Kahraman K et al., 2014</v>
      </c>
      <c r="K746" s="9" t="s">
        <v>1710</v>
      </c>
      <c r="L746" s="1" t="str">
        <f t="shared" si="89"/>
        <v/>
      </c>
    </row>
    <row r="747" spans="1:12" ht="30" hidden="1" x14ac:dyDescent="0.25">
      <c r="A747" s="1">
        <f>INDEX(rq_evidence_review!A:A, MATCH(B747, rq_evidence_review!B:B, 0))</f>
        <v>4</v>
      </c>
      <c r="B747" s="6" t="s">
        <v>241</v>
      </c>
      <c r="C747" s="1">
        <f t="shared" si="86"/>
        <v>741</v>
      </c>
      <c r="D747" s="1">
        <f>VLOOKUP(B747,rq_evidence_review!$B$1:$L$55,7,FALSE)</f>
        <v>85</v>
      </c>
      <c r="E747" s="8" t="s">
        <v>1115</v>
      </c>
      <c r="H747" s="1" t="str">
        <f t="shared" si="87"/>
        <v>Kaya MG</v>
      </c>
      <c r="I747" s="1" t="str">
        <f t="shared" si="90"/>
        <v>2012</v>
      </c>
      <c r="J747" s="1" t="str">
        <f t="shared" si="88"/>
        <v>Kaya MG et al., 2012</v>
      </c>
      <c r="K747" s="9" t="s">
        <v>1711</v>
      </c>
      <c r="L747" s="1" t="str">
        <f t="shared" si="89"/>
        <v/>
      </c>
    </row>
    <row r="748" spans="1:12" ht="30" hidden="1" x14ac:dyDescent="0.25">
      <c r="A748" s="1">
        <f>INDEX(rq_evidence_review!A:A, MATCH(B748, rq_evidence_review!B:B, 0))</f>
        <v>4</v>
      </c>
      <c r="B748" s="6" t="s">
        <v>241</v>
      </c>
      <c r="C748" s="1">
        <f t="shared" si="86"/>
        <v>742</v>
      </c>
      <c r="D748" s="1">
        <f>VLOOKUP(B748,rq_evidence_review!$B$1:$L$55,7,FALSE)</f>
        <v>85</v>
      </c>
      <c r="E748" s="8" t="s">
        <v>1116</v>
      </c>
      <c r="H748" s="1" t="str">
        <f t="shared" si="87"/>
        <v>Kaya MG</v>
      </c>
      <c r="I748" s="1" t="str">
        <f t="shared" si="90"/>
        <v>2015</v>
      </c>
      <c r="J748" s="1" t="str">
        <f t="shared" si="88"/>
        <v>Kaya MG et al., 2015</v>
      </c>
      <c r="K748" s="1" t="s">
        <v>1712</v>
      </c>
      <c r="L748" s="1" t="str">
        <f t="shared" si="89"/>
        <v/>
      </c>
    </row>
    <row r="749" spans="1:12" ht="30" hidden="1" x14ac:dyDescent="0.25">
      <c r="A749" s="1">
        <f>INDEX(rq_evidence_review!A:A, MATCH(B749, rq_evidence_review!B:B, 0))</f>
        <v>4</v>
      </c>
      <c r="B749" s="6" t="s">
        <v>241</v>
      </c>
      <c r="C749" s="1">
        <f t="shared" si="86"/>
        <v>743</v>
      </c>
      <c r="D749" s="1">
        <f>VLOOKUP(B749,rq_evidence_review!$B$1:$L$55,7,FALSE)</f>
        <v>85</v>
      </c>
      <c r="E749" s="8" t="s">
        <v>1117</v>
      </c>
      <c r="H749" s="1" t="str">
        <f t="shared" si="87"/>
        <v>Kebapcilar L</v>
      </c>
      <c r="I749" s="1" t="str">
        <f t="shared" si="90"/>
        <v>2009</v>
      </c>
      <c r="J749" s="1" t="str">
        <f t="shared" si="88"/>
        <v>Kebapcilar L et al., 2009</v>
      </c>
      <c r="K749" s="1" t="s">
        <v>1713</v>
      </c>
      <c r="L749" s="1" t="str">
        <f t="shared" si="89"/>
        <v/>
      </c>
    </row>
    <row r="750" spans="1:12" ht="30" hidden="1" x14ac:dyDescent="0.25">
      <c r="A750" s="1">
        <f>INDEX(rq_evidence_review!A:A, MATCH(B750, rq_evidence_review!B:B, 0))</f>
        <v>4</v>
      </c>
      <c r="B750" s="6" t="s">
        <v>241</v>
      </c>
      <c r="C750" s="1">
        <f t="shared" si="86"/>
        <v>744</v>
      </c>
      <c r="D750" s="1">
        <f>VLOOKUP(B750,rq_evidence_review!$B$1:$L$55,7,FALSE)</f>
        <v>85</v>
      </c>
      <c r="E750" s="8" t="s">
        <v>1118</v>
      </c>
      <c r="H750" s="1" t="str">
        <f t="shared" si="87"/>
        <v>Kebapcilar L</v>
      </c>
      <c r="I750" s="1" t="str">
        <f t="shared" si="90"/>
        <v>2010</v>
      </c>
      <c r="J750" s="1" t="str">
        <f t="shared" si="88"/>
        <v>Kebapcilar L et al., 2010</v>
      </c>
      <c r="K750" s="1" t="s">
        <v>1714</v>
      </c>
      <c r="L750" s="1" t="str">
        <f t="shared" si="89"/>
        <v/>
      </c>
    </row>
    <row r="751" spans="1:12" ht="30" hidden="1" x14ac:dyDescent="0.25">
      <c r="A751" s="1">
        <f>INDEX(rq_evidence_review!A:A, MATCH(B751, rq_evidence_review!B:B, 0))</f>
        <v>4</v>
      </c>
      <c r="B751" s="6" t="s">
        <v>241</v>
      </c>
      <c r="C751" s="1">
        <f t="shared" si="86"/>
        <v>745</v>
      </c>
      <c r="D751" s="1">
        <f>VLOOKUP(B751,rq_evidence_review!$B$1:$L$55,7,FALSE)</f>
        <v>85</v>
      </c>
      <c r="E751" s="8" t="s">
        <v>1119</v>
      </c>
      <c r="H751" s="1" t="str">
        <f t="shared" si="87"/>
        <v>Kilic S</v>
      </c>
      <c r="I751" s="1" t="str">
        <f t="shared" si="90"/>
        <v>2011</v>
      </c>
      <c r="J751" s="1" t="str">
        <f t="shared" si="88"/>
        <v>Kilic S et al., 2011</v>
      </c>
      <c r="K751" s="9" t="s">
        <v>1715</v>
      </c>
      <c r="L751" s="1" t="str">
        <f t="shared" si="89"/>
        <v/>
      </c>
    </row>
    <row r="752" spans="1:12" ht="30" hidden="1" x14ac:dyDescent="0.25">
      <c r="A752" s="1">
        <f>INDEX(rq_evidence_review!A:A, MATCH(B752, rq_evidence_review!B:B, 0))</f>
        <v>4</v>
      </c>
      <c r="B752" s="6" t="s">
        <v>241</v>
      </c>
      <c r="C752" s="1">
        <f t="shared" si="86"/>
        <v>746</v>
      </c>
      <c r="D752" s="1">
        <f>VLOOKUP(B752,rq_evidence_review!$B$1:$L$55,7,FALSE)</f>
        <v>85</v>
      </c>
      <c r="E752" s="8" t="s">
        <v>1120</v>
      </c>
      <c r="H752" s="1" t="str">
        <f t="shared" si="87"/>
        <v>Kriplani A</v>
      </c>
      <c r="I752" s="1" t="str">
        <f t="shared" si="90"/>
        <v>2010</v>
      </c>
      <c r="J752" s="1" t="str">
        <f t="shared" si="88"/>
        <v>Kriplani A et al., 2010</v>
      </c>
      <c r="K752" s="9" t="s">
        <v>1716</v>
      </c>
      <c r="L752" s="1" t="str">
        <f t="shared" si="89"/>
        <v/>
      </c>
    </row>
    <row r="753" spans="1:12" ht="30" hidden="1" x14ac:dyDescent="0.25">
      <c r="A753" s="1">
        <f>INDEX(rq_evidence_review!A:A, MATCH(B753, rq_evidence_review!B:B, 0))</f>
        <v>4</v>
      </c>
      <c r="B753" s="6" t="s">
        <v>241</v>
      </c>
      <c r="C753" s="1">
        <f t="shared" si="86"/>
        <v>747</v>
      </c>
      <c r="D753" s="1">
        <f>VLOOKUP(B753,rq_evidence_review!$B$1:$L$55,7,FALSE)</f>
        <v>85</v>
      </c>
      <c r="E753" s="8" t="s">
        <v>1121</v>
      </c>
      <c r="H753" s="1" t="str">
        <f t="shared" si="87"/>
        <v>Kumar Y</v>
      </c>
      <c r="I753" s="1" t="str">
        <f t="shared" si="90"/>
        <v>2018</v>
      </c>
      <c r="J753" s="1" t="str">
        <f t="shared" si="88"/>
        <v>Kumar Y et al., 2018</v>
      </c>
      <c r="K753" s="9" t="s">
        <v>1717</v>
      </c>
      <c r="L753" s="1" t="str">
        <f t="shared" si="89"/>
        <v/>
      </c>
    </row>
    <row r="754" spans="1:12" ht="45" hidden="1" x14ac:dyDescent="0.25">
      <c r="A754" s="1">
        <f>INDEX(rq_evidence_review!A:A, MATCH(B754, rq_evidence_review!B:B, 0))</f>
        <v>4</v>
      </c>
      <c r="B754" s="6" t="s">
        <v>241</v>
      </c>
      <c r="C754" s="1">
        <f t="shared" si="86"/>
        <v>748</v>
      </c>
      <c r="D754" s="1">
        <f>VLOOKUP(B754,rq_evidence_review!$B$1:$L$55,7,FALSE)</f>
        <v>85</v>
      </c>
      <c r="E754" s="8" t="s">
        <v>1122</v>
      </c>
      <c r="H754" s="1" t="str">
        <f t="shared" si="87"/>
        <v>Leelaphiwat S</v>
      </c>
      <c r="I754" s="1" t="str">
        <f t="shared" si="90"/>
        <v>2015</v>
      </c>
      <c r="J754" s="1" t="str">
        <f t="shared" si="88"/>
        <v>Leelaphiwat S et al., 2015</v>
      </c>
      <c r="K754" s="9" t="s">
        <v>1718</v>
      </c>
      <c r="L754" s="1" t="str">
        <f t="shared" si="89"/>
        <v/>
      </c>
    </row>
    <row r="755" spans="1:12" ht="30" hidden="1" x14ac:dyDescent="0.25">
      <c r="A755" s="1">
        <f>INDEX(rq_evidence_review!A:A, MATCH(B755, rq_evidence_review!B:B, 0))</f>
        <v>4</v>
      </c>
      <c r="B755" s="6" t="s">
        <v>241</v>
      </c>
      <c r="C755" s="1">
        <f t="shared" si="86"/>
        <v>749</v>
      </c>
      <c r="D755" s="1">
        <f>VLOOKUP(B755,rq_evidence_review!$B$1:$L$55,7,FALSE)</f>
        <v>85</v>
      </c>
      <c r="E755" s="8" t="s">
        <v>1123</v>
      </c>
      <c r="H755" s="1" t="str">
        <f t="shared" si="87"/>
        <v>Legro RS</v>
      </c>
      <c r="I755" s="1" t="str">
        <f t="shared" si="90"/>
        <v>2015</v>
      </c>
      <c r="J755" s="1" t="str">
        <f t="shared" si="88"/>
        <v>Legro RS et al., 2015</v>
      </c>
      <c r="K755" s="1" t="s">
        <v>1719</v>
      </c>
      <c r="L755" s="1" t="str">
        <f t="shared" si="89"/>
        <v/>
      </c>
    </row>
    <row r="756" spans="1:12" ht="30" hidden="1" x14ac:dyDescent="0.25">
      <c r="A756" s="1">
        <f>INDEX(rq_evidence_review!A:A, MATCH(B756, rq_evidence_review!B:B, 0))</f>
        <v>4</v>
      </c>
      <c r="B756" s="6" t="s">
        <v>241</v>
      </c>
      <c r="C756" s="1">
        <f t="shared" si="86"/>
        <v>750</v>
      </c>
      <c r="D756" s="1">
        <f>VLOOKUP(B756,rq_evidence_review!$B$1:$L$55,7,FALSE)</f>
        <v>85</v>
      </c>
      <c r="E756" s="8" t="s">
        <v>1124</v>
      </c>
      <c r="H756" s="1" t="str">
        <f t="shared" si="87"/>
        <v>Dokras A</v>
      </c>
      <c r="I756" s="1" t="str">
        <f t="shared" si="90"/>
        <v>2017</v>
      </c>
      <c r="J756" s="1" t="str">
        <f t="shared" si="88"/>
        <v>Dokras A et al., 2017</v>
      </c>
      <c r="K756" s="9" t="s">
        <v>1720</v>
      </c>
      <c r="L756" s="1" t="str">
        <f t="shared" si="89"/>
        <v/>
      </c>
    </row>
    <row r="757" spans="1:12" ht="30" hidden="1" x14ac:dyDescent="0.25">
      <c r="A757" s="1">
        <f>INDEX(rq_evidence_review!A:A, MATCH(B757, rq_evidence_review!B:B, 0))</f>
        <v>4</v>
      </c>
      <c r="B757" s="6" t="s">
        <v>241</v>
      </c>
      <c r="C757" s="1">
        <f t="shared" si="86"/>
        <v>751</v>
      </c>
      <c r="D757" s="1">
        <f>VLOOKUP(B757,rq_evidence_review!$B$1:$L$55,7,FALSE)</f>
        <v>85</v>
      </c>
      <c r="E757" s="8" t="s">
        <v>1125</v>
      </c>
      <c r="H757" s="1" t="str">
        <f t="shared" si="87"/>
        <v>Shah A</v>
      </c>
      <c r="I757" s="1" t="str">
        <f t="shared" si="90"/>
        <v>2021</v>
      </c>
      <c r="J757" s="1" t="str">
        <f t="shared" si="88"/>
        <v>Shah A et al., 2021</v>
      </c>
      <c r="K757" s="9" t="s">
        <v>1721</v>
      </c>
      <c r="L757" s="1" t="str">
        <f t="shared" si="89"/>
        <v/>
      </c>
    </row>
    <row r="758" spans="1:12" ht="30" hidden="1" x14ac:dyDescent="0.25">
      <c r="A758" s="1">
        <f>INDEX(rq_evidence_review!A:A, MATCH(B758, rq_evidence_review!B:B, 0))</f>
        <v>4</v>
      </c>
      <c r="B758" s="6" t="s">
        <v>241</v>
      </c>
      <c r="C758" s="1">
        <f t="shared" si="86"/>
        <v>752</v>
      </c>
      <c r="D758" s="1">
        <f>VLOOKUP(B758,rq_evidence_review!$B$1:$L$55,7,FALSE)</f>
        <v>85</v>
      </c>
      <c r="E758" s="8" t="s">
        <v>1126</v>
      </c>
      <c r="H758" s="1" t="str">
        <f t="shared" si="87"/>
        <v>Steinberg Weiss M</v>
      </c>
      <c r="I758" s="1" t="str">
        <f t="shared" si="90"/>
        <v>2021</v>
      </c>
      <c r="J758" s="1" t="str">
        <f t="shared" si="88"/>
        <v>Steinberg Weiss M et al., 2021</v>
      </c>
      <c r="K758" s="9" t="s">
        <v>1722</v>
      </c>
      <c r="L758" s="1" t="str">
        <f t="shared" si="89"/>
        <v/>
      </c>
    </row>
    <row r="759" spans="1:12" ht="45" hidden="1" x14ac:dyDescent="0.25">
      <c r="A759" s="1">
        <f>INDEX(rq_evidence_review!A:A, MATCH(B759, rq_evidence_review!B:B, 0))</f>
        <v>4</v>
      </c>
      <c r="B759" s="6" t="s">
        <v>241</v>
      </c>
      <c r="C759" s="1">
        <f t="shared" si="86"/>
        <v>753</v>
      </c>
      <c r="D759" s="1">
        <f>VLOOKUP(B759,rq_evidence_review!$B$1:$L$55,7,FALSE)</f>
        <v>85</v>
      </c>
      <c r="E759" s="8" t="s">
        <v>1127</v>
      </c>
      <c r="H759" s="1" t="str">
        <f t="shared" si="87"/>
        <v>Luque-Ramírez M</v>
      </c>
      <c r="I759" s="1" t="str">
        <f t="shared" si="90"/>
        <v>2009</v>
      </c>
      <c r="J759" s="1" t="str">
        <f t="shared" si="88"/>
        <v>Luque-Ramírez M et al., 2009</v>
      </c>
      <c r="K759" s="9" t="s">
        <v>1723</v>
      </c>
      <c r="L759" s="1" t="str">
        <f t="shared" si="89"/>
        <v/>
      </c>
    </row>
    <row r="760" spans="1:12" ht="30" hidden="1" x14ac:dyDescent="0.25">
      <c r="A760" s="1">
        <f>INDEX(rq_evidence_review!A:A, MATCH(B760, rq_evidence_review!B:B, 0))</f>
        <v>4</v>
      </c>
      <c r="B760" s="6" t="s">
        <v>241</v>
      </c>
      <c r="C760" s="1">
        <f t="shared" si="86"/>
        <v>754</v>
      </c>
      <c r="D760" s="1">
        <f>VLOOKUP(B760,rq_evidence_review!$B$1:$L$55,7,FALSE)</f>
        <v>85</v>
      </c>
      <c r="E760" s="8" t="s">
        <v>1128</v>
      </c>
      <c r="H760" s="1" t="str">
        <f t="shared" si="87"/>
        <v>Lv L</v>
      </c>
      <c r="I760" s="1" t="str">
        <f t="shared" si="90"/>
        <v>2005</v>
      </c>
      <c r="J760" s="1" t="str">
        <f t="shared" si="88"/>
        <v>Lv L et al., 2005</v>
      </c>
      <c r="K760" s="1" t="s">
        <v>1724</v>
      </c>
      <c r="L760" s="1" t="str">
        <f t="shared" si="89"/>
        <v/>
      </c>
    </row>
    <row r="761" spans="1:12" ht="30" hidden="1" x14ac:dyDescent="0.25">
      <c r="A761" s="1">
        <f>INDEX(rq_evidence_review!A:A, MATCH(B761, rq_evidence_review!B:B, 0))</f>
        <v>4</v>
      </c>
      <c r="B761" s="6" t="s">
        <v>241</v>
      </c>
      <c r="C761" s="1">
        <f t="shared" si="86"/>
        <v>755</v>
      </c>
      <c r="D761" s="1">
        <f>VLOOKUP(B761,rq_evidence_review!$B$1:$L$55,7,FALSE)</f>
        <v>85</v>
      </c>
      <c r="E761" s="8" t="s">
        <v>1129</v>
      </c>
      <c r="H761" s="1" t="str">
        <f t="shared" si="87"/>
        <v>Mastorakos G</v>
      </c>
      <c r="I761" s="1" t="str">
        <f t="shared" si="90"/>
        <v>2002</v>
      </c>
      <c r="J761" s="1" t="str">
        <f t="shared" si="88"/>
        <v>Mastorakos G et al., 2002</v>
      </c>
      <c r="K761" s="1" t="s">
        <v>1725</v>
      </c>
      <c r="L761" s="1" t="str">
        <f t="shared" si="89"/>
        <v/>
      </c>
    </row>
    <row r="762" spans="1:12" ht="30" hidden="1" x14ac:dyDescent="0.25">
      <c r="A762" s="1">
        <f>INDEX(rq_evidence_review!A:A, MATCH(B762, rq_evidence_review!B:B, 0))</f>
        <v>4</v>
      </c>
      <c r="B762" s="6" t="s">
        <v>241</v>
      </c>
      <c r="C762" s="1">
        <f t="shared" si="86"/>
        <v>756</v>
      </c>
      <c r="D762" s="1">
        <f>VLOOKUP(B762,rq_evidence_review!$B$1:$L$55,7,FALSE)</f>
        <v>85</v>
      </c>
      <c r="E762" s="8" t="s">
        <v>1130</v>
      </c>
      <c r="H762" s="1" t="str">
        <f t="shared" si="87"/>
        <v>Mastorakos G</v>
      </c>
      <c r="I762" s="1" t="str">
        <f t="shared" si="90"/>
        <v>2006</v>
      </c>
      <c r="J762" s="1" t="str">
        <f t="shared" si="88"/>
        <v>Mastorakos G et al., 2006</v>
      </c>
      <c r="K762" s="1" t="s">
        <v>1726</v>
      </c>
      <c r="L762" s="1" t="str">
        <f t="shared" si="89"/>
        <v/>
      </c>
    </row>
    <row r="763" spans="1:12" ht="30" hidden="1" x14ac:dyDescent="0.25">
      <c r="A763" s="1">
        <f>INDEX(rq_evidence_review!A:A, MATCH(B763, rq_evidence_review!B:B, 0))</f>
        <v>4</v>
      </c>
      <c r="B763" s="6" t="s">
        <v>241</v>
      </c>
      <c r="C763" s="1">
        <f t="shared" si="86"/>
        <v>757</v>
      </c>
      <c r="D763" s="1">
        <f>VLOOKUP(B763,rq_evidence_review!$B$1:$L$55,7,FALSE)</f>
        <v>85</v>
      </c>
      <c r="E763" s="8" t="s">
        <v>1131</v>
      </c>
      <c r="H763" s="1" t="str">
        <f t="shared" si="87"/>
        <v>Mehrabian F</v>
      </c>
      <c r="I763" s="1" t="str">
        <f t="shared" si="90"/>
        <v>2016</v>
      </c>
      <c r="J763" s="1" t="str">
        <f t="shared" si="88"/>
        <v>Mehrabian F et al., 2016</v>
      </c>
      <c r="K763" s="9" t="s">
        <v>1727</v>
      </c>
      <c r="L763" s="1" t="str">
        <f t="shared" si="89"/>
        <v/>
      </c>
    </row>
    <row r="764" spans="1:12" ht="30" hidden="1" x14ac:dyDescent="0.25">
      <c r="A764" s="1">
        <f>INDEX(rq_evidence_review!A:A, MATCH(B764, rq_evidence_review!B:B, 0))</f>
        <v>4</v>
      </c>
      <c r="B764" s="6" t="s">
        <v>241</v>
      </c>
      <c r="C764" s="1">
        <f t="shared" si="86"/>
        <v>758</v>
      </c>
      <c r="D764" s="1">
        <f>VLOOKUP(B764,rq_evidence_review!$B$1:$L$55,7,FALSE)</f>
        <v>85</v>
      </c>
      <c r="E764" s="8" t="s">
        <v>1132</v>
      </c>
      <c r="H764" s="1" t="str">
        <f t="shared" si="87"/>
        <v>Meyer C</v>
      </c>
      <c r="I764" s="1" t="str">
        <f t="shared" si="90"/>
        <v>2007</v>
      </c>
      <c r="J764" s="1" t="str">
        <f t="shared" si="88"/>
        <v>Meyer C et al., 2007</v>
      </c>
      <c r="K764" s="9" t="s">
        <v>1728</v>
      </c>
      <c r="L764" s="1" t="str">
        <f t="shared" si="89"/>
        <v/>
      </c>
    </row>
    <row r="765" spans="1:12" ht="30" hidden="1" x14ac:dyDescent="0.25">
      <c r="A765" s="1">
        <f>INDEX(rq_evidence_review!A:A, MATCH(B765, rq_evidence_review!B:B, 0))</f>
        <v>4</v>
      </c>
      <c r="B765" s="6" t="s">
        <v>241</v>
      </c>
      <c r="C765" s="1">
        <f t="shared" si="86"/>
        <v>759</v>
      </c>
      <c r="D765" s="1">
        <f>VLOOKUP(B765,rq_evidence_review!$B$1:$L$55,7,FALSE)</f>
        <v>85</v>
      </c>
      <c r="E765" s="8" t="s">
        <v>1133</v>
      </c>
      <c r="H765" s="1" t="str">
        <f t="shared" si="87"/>
        <v>Burchall GF</v>
      </c>
      <c r="I765" s="1" t="str">
        <f t="shared" si="90"/>
        <v>2017</v>
      </c>
      <c r="J765" s="1" t="str">
        <f t="shared" si="88"/>
        <v>Burchall GF et al., 2017</v>
      </c>
      <c r="K765" s="9" t="s">
        <v>1729</v>
      </c>
      <c r="L765" s="1" t="str">
        <f t="shared" si="89"/>
        <v/>
      </c>
    </row>
    <row r="766" spans="1:12" ht="30" hidden="1" x14ac:dyDescent="0.25">
      <c r="A766" s="1">
        <f>INDEX(rq_evidence_review!A:A, MATCH(B766, rq_evidence_review!B:B, 0))</f>
        <v>4</v>
      </c>
      <c r="B766" s="6" t="s">
        <v>241</v>
      </c>
      <c r="C766" s="1">
        <f t="shared" si="86"/>
        <v>760</v>
      </c>
      <c r="D766" s="1">
        <f>VLOOKUP(B766,rq_evidence_review!$B$1:$L$55,7,FALSE)</f>
        <v>85</v>
      </c>
      <c r="E766" s="8" t="s">
        <v>1134</v>
      </c>
      <c r="H766" s="1" t="str">
        <f t="shared" si="87"/>
        <v>Hutchison SK</v>
      </c>
      <c r="I766" s="1" t="str">
        <f t="shared" si="90"/>
        <v>2008</v>
      </c>
      <c r="J766" s="1" t="str">
        <f t="shared" si="88"/>
        <v>Hutchison SK et al., 2008</v>
      </c>
      <c r="K766" s="9" t="s">
        <v>1730</v>
      </c>
      <c r="L766" s="1" t="str">
        <f t="shared" si="89"/>
        <v/>
      </c>
    </row>
    <row r="767" spans="1:12" ht="30" hidden="1" x14ac:dyDescent="0.25">
      <c r="A767" s="1">
        <f>INDEX(rq_evidence_review!A:A, MATCH(B767, rq_evidence_review!B:B, 0))</f>
        <v>4</v>
      </c>
      <c r="B767" s="6" t="s">
        <v>241</v>
      </c>
      <c r="C767" s="1">
        <f t="shared" si="86"/>
        <v>761</v>
      </c>
      <c r="D767" s="1">
        <f>VLOOKUP(B767,rq_evidence_review!$B$1:$L$55,7,FALSE)</f>
        <v>85</v>
      </c>
      <c r="E767" s="8" t="s">
        <v>1135</v>
      </c>
      <c r="H767" s="1" t="str">
        <f t="shared" si="87"/>
        <v>Moran LJ</v>
      </c>
      <c r="I767" s="1" t="str">
        <f t="shared" si="90"/>
        <v>2010</v>
      </c>
      <c r="J767" s="1" t="str">
        <f t="shared" si="88"/>
        <v>Moran LJ et al., 2010</v>
      </c>
      <c r="K767" s="9" t="s">
        <v>1731</v>
      </c>
      <c r="L767" s="1" t="str">
        <f t="shared" si="89"/>
        <v/>
      </c>
    </row>
    <row r="768" spans="1:12" ht="30" hidden="1" x14ac:dyDescent="0.25">
      <c r="A768" s="1">
        <f>INDEX(rq_evidence_review!A:A, MATCH(B768, rq_evidence_review!B:B, 0))</f>
        <v>4</v>
      </c>
      <c r="B768" s="6" t="s">
        <v>241</v>
      </c>
      <c r="C768" s="1">
        <f t="shared" si="86"/>
        <v>762</v>
      </c>
      <c r="D768" s="1">
        <f>VLOOKUP(B768,rq_evidence_review!$B$1:$L$55,7,FALSE)</f>
        <v>85</v>
      </c>
      <c r="E768" s="8" t="s">
        <v>1136</v>
      </c>
      <c r="H768" s="1" t="str">
        <f t="shared" si="87"/>
        <v>Mhao NS</v>
      </c>
      <c r="I768" s="1" t="str">
        <f t="shared" si="90"/>
        <v>2016</v>
      </c>
      <c r="J768" s="1" t="str">
        <f t="shared" si="88"/>
        <v>Mhao NS et al., 2016</v>
      </c>
      <c r="K768" s="9" t="s">
        <v>1732</v>
      </c>
      <c r="L768" s="1" t="str">
        <f t="shared" si="89"/>
        <v/>
      </c>
    </row>
    <row r="769" spans="1:12" ht="45" hidden="1" x14ac:dyDescent="0.25">
      <c r="A769" s="1">
        <f>INDEX(rq_evidence_review!A:A, MATCH(B769, rq_evidence_review!B:B, 0))</f>
        <v>4</v>
      </c>
      <c r="B769" s="6" t="s">
        <v>241</v>
      </c>
      <c r="C769" s="1">
        <f t="shared" si="86"/>
        <v>763</v>
      </c>
      <c r="D769" s="1">
        <f>VLOOKUP(B769,rq_evidence_review!$B$1:$L$55,7,FALSE)</f>
        <v>85</v>
      </c>
      <c r="E769" s="8" t="s">
        <v>1137</v>
      </c>
      <c r="H769" s="1" t="str">
        <f t="shared" si="87"/>
        <v>Moretti C</v>
      </c>
      <c r="I769" s="1" t="str">
        <f t="shared" si="90"/>
        <v>2018</v>
      </c>
      <c r="J769" s="1" t="str">
        <f t="shared" si="88"/>
        <v>Moretti C et al., 2018</v>
      </c>
      <c r="K769" s="9" t="s">
        <v>1733</v>
      </c>
      <c r="L769" s="1" t="str">
        <f t="shared" si="89"/>
        <v/>
      </c>
    </row>
    <row r="770" spans="1:12" ht="30" hidden="1" x14ac:dyDescent="0.25">
      <c r="A770" s="1">
        <f>INDEX(rq_evidence_review!A:A, MATCH(B770, rq_evidence_review!B:B, 0))</f>
        <v>4</v>
      </c>
      <c r="B770" s="6" t="s">
        <v>241</v>
      </c>
      <c r="C770" s="1">
        <f t="shared" si="86"/>
        <v>764</v>
      </c>
      <c r="D770" s="1">
        <f>VLOOKUP(B770,rq_evidence_review!$B$1:$L$55,7,FALSE)</f>
        <v>85</v>
      </c>
      <c r="E770" s="8" t="s">
        <v>1138</v>
      </c>
      <c r="H770" s="1" t="str">
        <f t="shared" si="87"/>
        <v>Morgante G</v>
      </c>
      <c r="I770" s="1" t="str">
        <f t="shared" si="90"/>
        <v>2020</v>
      </c>
      <c r="J770" s="1" t="str">
        <f t="shared" si="88"/>
        <v>Morgante G et al., 2020</v>
      </c>
      <c r="K770" s="9" t="s">
        <v>1734</v>
      </c>
      <c r="L770" s="1" t="str">
        <f t="shared" si="89"/>
        <v/>
      </c>
    </row>
    <row r="771" spans="1:12" ht="45" hidden="1" x14ac:dyDescent="0.25">
      <c r="A771" s="1">
        <f>INDEX(rq_evidence_review!A:A, MATCH(B771, rq_evidence_review!B:B, 0))</f>
        <v>4</v>
      </c>
      <c r="B771" s="6" t="s">
        <v>241</v>
      </c>
      <c r="C771" s="1">
        <f t="shared" si="86"/>
        <v>765</v>
      </c>
      <c r="D771" s="1">
        <f>VLOOKUP(B771,rq_evidence_review!$B$1:$L$55,7,FALSE)</f>
        <v>85</v>
      </c>
      <c r="E771" s="8" t="s">
        <v>1139</v>
      </c>
      <c r="H771" s="1" t="str">
        <f t="shared" si="87"/>
        <v>Morin-Papunen L</v>
      </c>
      <c r="I771" s="1" t="str">
        <f t="shared" si="90"/>
        <v>2003</v>
      </c>
      <c r="J771" s="1" t="str">
        <f t="shared" si="88"/>
        <v>Morin-Papunen L et al., 2003</v>
      </c>
      <c r="K771" s="9" t="s">
        <v>1735</v>
      </c>
      <c r="L771" s="1" t="str">
        <f t="shared" si="89"/>
        <v/>
      </c>
    </row>
    <row r="772" spans="1:12" ht="45" hidden="1" x14ac:dyDescent="0.25">
      <c r="A772" s="1">
        <f>INDEX(rq_evidence_review!A:A, MATCH(B772, rq_evidence_review!B:B, 0))</f>
        <v>4</v>
      </c>
      <c r="B772" s="6" t="s">
        <v>241</v>
      </c>
      <c r="C772" s="1">
        <f t="shared" si="86"/>
        <v>766</v>
      </c>
      <c r="D772" s="1">
        <f>VLOOKUP(B772,rq_evidence_review!$B$1:$L$55,7,FALSE)</f>
        <v>85</v>
      </c>
      <c r="E772" s="8" t="s">
        <v>1140</v>
      </c>
      <c r="H772" s="1" t="str">
        <f t="shared" si="87"/>
        <v>Morin-Papunen LC</v>
      </c>
      <c r="I772" s="1" t="str">
        <f t="shared" si="90"/>
        <v>2000</v>
      </c>
      <c r="J772" s="1" t="str">
        <f t="shared" si="88"/>
        <v>Morin-Papunen LC et al., 2000</v>
      </c>
      <c r="K772" s="9" t="s">
        <v>1736</v>
      </c>
      <c r="L772" s="1" t="str">
        <f t="shared" si="89"/>
        <v/>
      </c>
    </row>
    <row r="773" spans="1:12" ht="30" hidden="1" x14ac:dyDescent="0.25">
      <c r="A773" s="1">
        <f>INDEX(rq_evidence_review!A:A, MATCH(B773, rq_evidence_review!B:B, 0))</f>
        <v>4</v>
      </c>
      <c r="B773" s="6" t="s">
        <v>241</v>
      </c>
      <c r="C773" s="1">
        <f t="shared" si="86"/>
        <v>767</v>
      </c>
      <c r="D773" s="1">
        <f>VLOOKUP(B773,rq_evidence_review!$B$1:$L$55,7,FALSE)</f>
        <v>85</v>
      </c>
      <c r="E773" s="8" t="s">
        <v>1141</v>
      </c>
      <c r="H773" s="1" t="str">
        <f t="shared" si="87"/>
        <v>Morin-Papunen L</v>
      </c>
      <c r="I773" s="1" t="str">
        <f t="shared" si="90"/>
        <v>2003</v>
      </c>
      <c r="J773" s="1" t="str">
        <f t="shared" si="88"/>
        <v>Morin-Papunen L et al., 2003</v>
      </c>
      <c r="K773" s="9" t="s">
        <v>1737</v>
      </c>
      <c r="L773" s="1" t="str">
        <f t="shared" si="89"/>
        <v/>
      </c>
    </row>
    <row r="774" spans="1:12" ht="30" hidden="1" x14ac:dyDescent="0.25">
      <c r="A774" s="1">
        <f>INDEX(rq_evidence_review!A:A, MATCH(B774, rq_evidence_review!B:B, 0))</f>
        <v>4</v>
      </c>
      <c r="B774" s="6" t="s">
        <v>241</v>
      </c>
      <c r="C774" s="1">
        <f t="shared" si="86"/>
        <v>768</v>
      </c>
      <c r="D774" s="1">
        <f>VLOOKUP(B774,rq_evidence_review!$B$1:$L$55,7,FALSE)</f>
        <v>85</v>
      </c>
      <c r="E774" s="8" t="s">
        <v>1142</v>
      </c>
      <c r="H774" s="1" t="str">
        <f t="shared" si="87"/>
        <v>Rautio K</v>
      </c>
      <c r="I774" s="1" t="str">
        <f t="shared" si="90"/>
        <v>2005</v>
      </c>
      <c r="J774" s="1" t="str">
        <f t="shared" si="88"/>
        <v>Rautio K et al., 2005</v>
      </c>
      <c r="K774" s="9" t="s">
        <v>1738</v>
      </c>
      <c r="L774" s="1" t="str">
        <f t="shared" si="89"/>
        <v/>
      </c>
    </row>
    <row r="775" spans="1:12" ht="45" hidden="1" x14ac:dyDescent="0.25">
      <c r="A775" s="1">
        <f>INDEX(rq_evidence_review!A:A, MATCH(B775, rq_evidence_review!B:B, 0))</f>
        <v>4</v>
      </c>
      <c r="B775" s="6" t="s">
        <v>241</v>
      </c>
      <c r="C775" s="1">
        <f t="shared" si="86"/>
        <v>769</v>
      </c>
      <c r="D775" s="1">
        <f>VLOOKUP(B775,rq_evidence_review!$B$1:$L$55,7,FALSE)</f>
        <v>85</v>
      </c>
      <c r="E775" s="8" t="s">
        <v>1143</v>
      </c>
      <c r="H775" s="1" t="str">
        <f t="shared" si="87"/>
        <v>Moro F</v>
      </c>
      <c r="I775" s="1" t="str">
        <f t="shared" si="90"/>
        <v>2013</v>
      </c>
      <c r="J775" s="1" t="str">
        <f t="shared" si="88"/>
        <v>Moro F et al., 2013</v>
      </c>
      <c r="K775" s="9" t="s">
        <v>1739</v>
      </c>
      <c r="L775" s="1" t="str">
        <f t="shared" si="89"/>
        <v/>
      </c>
    </row>
    <row r="776" spans="1:12" ht="30" hidden="1" x14ac:dyDescent="0.25">
      <c r="A776" s="1">
        <f>INDEX(rq_evidence_review!A:A, MATCH(B776, rq_evidence_review!B:B, 0))</f>
        <v>4</v>
      </c>
      <c r="B776" s="6" t="s">
        <v>241</v>
      </c>
      <c r="C776" s="1">
        <f t="shared" si="86"/>
        <v>770</v>
      </c>
      <c r="D776" s="1">
        <f>VLOOKUP(B776,rq_evidence_review!$B$1:$L$55,7,FALSE)</f>
        <v>85</v>
      </c>
      <c r="E776" s="8" t="s">
        <v>1144</v>
      </c>
      <c r="H776" s="1" t="str">
        <f t="shared" si="87"/>
        <v>Ozdemir S</v>
      </c>
      <c r="I776" s="1" t="str">
        <f t="shared" si="90"/>
        <v>2008</v>
      </c>
      <c r="J776" s="1" t="str">
        <f t="shared" si="88"/>
        <v>Ozdemir S et al., 2008</v>
      </c>
      <c r="K776" s="9" t="s">
        <v>1740</v>
      </c>
      <c r="L776" s="1" t="str">
        <f t="shared" si="89"/>
        <v/>
      </c>
    </row>
    <row r="777" spans="1:12" ht="30" hidden="1" x14ac:dyDescent="0.25">
      <c r="A777" s="1">
        <f>INDEX(rq_evidence_review!A:A, MATCH(B777, rq_evidence_review!B:B, 0))</f>
        <v>4</v>
      </c>
      <c r="B777" s="6" t="s">
        <v>241</v>
      </c>
      <c r="C777" s="1">
        <f t="shared" si="86"/>
        <v>771</v>
      </c>
      <c r="D777" s="1">
        <f>VLOOKUP(B777,rq_evidence_review!$B$1:$L$55,7,FALSE)</f>
        <v>85</v>
      </c>
      <c r="E777" s="8" t="s">
        <v>1145</v>
      </c>
      <c r="H777" s="1" t="str">
        <f t="shared" si="87"/>
        <v>Ozgurtas T</v>
      </c>
      <c r="I777" s="1" t="str">
        <f t="shared" si="90"/>
        <v>2008</v>
      </c>
      <c r="J777" s="1" t="str">
        <f t="shared" si="88"/>
        <v>Ozgurtas T et al., 2008</v>
      </c>
      <c r="K777" s="9" t="s">
        <v>1741</v>
      </c>
      <c r="L777" s="1" t="str">
        <f t="shared" si="89"/>
        <v/>
      </c>
    </row>
    <row r="778" spans="1:12" ht="45" hidden="1" x14ac:dyDescent="0.25">
      <c r="A778" s="1">
        <f>INDEX(rq_evidence_review!A:A, MATCH(B778, rq_evidence_review!B:B, 0))</f>
        <v>4</v>
      </c>
      <c r="B778" s="6" t="s">
        <v>241</v>
      </c>
      <c r="C778" s="1">
        <f t="shared" si="86"/>
        <v>772</v>
      </c>
      <c r="D778" s="1">
        <f>VLOOKUP(B778,rq_evidence_review!$B$1:$L$55,7,FALSE)</f>
        <v>85</v>
      </c>
      <c r="E778" s="8" t="s">
        <v>1146</v>
      </c>
      <c r="H778" s="1" t="str">
        <f t="shared" si="87"/>
        <v>Panidis D</v>
      </c>
      <c r="I778" s="1" t="str">
        <f t="shared" si="90"/>
        <v>2011</v>
      </c>
      <c r="J778" s="1" t="str">
        <f t="shared" si="88"/>
        <v>Panidis D et al., 2011</v>
      </c>
      <c r="K778" s="9" t="s">
        <v>1742</v>
      </c>
      <c r="L778" s="1" t="str">
        <f t="shared" si="89"/>
        <v/>
      </c>
    </row>
    <row r="779" spans="1:12" ht="30" hidden="1" x14ac:dyDescent="0.25">
      <c r="A779" s="1">
        <f>INDEX(rq_evidence_review!A:A, MATCH(B779, rq_evidence_review!B:B, 0))</f>
        <v>4</v>
      </c>
      <c r="B779" s="6" t="s">
        <v>241</v>
      </c>
      <c r="C779" s="1">
        <f t="shared" si="86"/>
        <v>773</v>
      </c>
      <c r="D779" s="1">
        <f>VLOOKUP(B779,rq_evidence_review!$B$1:$L$55,7,FALSE)</f>
        <v>85</v>
      </c>
      <c r="E779" s="8" t="s">
        <v>1147</v>
      </c>
      <c r="H779" s="1" t="str">
        <f t="shared" si="87"/>
        <v>Podfigurna A</v>
      </c>
      <c r="I779" s="1" t="str">
        <f t="shared" si="90"/>
        <v>2020</v>
      </c>
      <c r="J779" s="1" t="str">
        <f t="shared" si="88"/>
        <v>Podfigurna A et al., 2020</v>
      </c>
      <c r="K779" s="9" t="s">
        <v>1743</v>
      </c>
      <c r="L779" s="1" t="str">
        <f t="shared" si="89"/>
        <v/>
      </c>
    </row>
    <row r="780" spans="1:12" ht="30" hidden="1" x14ac:dyDescent="0.25">
      <c r="A780" s="1">
        <f>INDEX(rq_evidence_review!A:A, MATCH(B780, rq_evidence_review!B:B, 0))</f>
        <v>4</v>
      </c>
      <c r="B780" s="6" t="s">
        <v>241</v>
      </c>
      <c r="C780" s="1">
        <f t="shared" si="86"/>
        <v>774</v>
      </c>
      <c r="D780" s="1">
        <f>VLOOKUP(B780,rq_evidence_review!$B$1:$L$55,7,FALSE)</f>
        <v>85</v>
      </c>
      <c r="E780" s="8" t="s">
        <v>1148</v>
      </c>
      <c r="H780" s="1" t="str">
        <f t="shared" si="87"/>
        <v>Sabuncu T</v>
      </c>
      <c r="I780" s="1" t="str">
        <f t="shared" si="90"/>
        <v>2003</v>
      </c>
      <c r="J780" s="1" t="str">
        <f t="shared" si="88"/>
        <v>Sabuncu T et al., 2003</v>
      </c>
      <c r="K780" s="9" t="s">
        <v>1744</v>
      </c>
      <c r="L780" s="1" t="str">
        <f t="shared" si="89"/>
        <v/>
      </c>
    </row>
    <row r="781" spans="1:12" ht="45" hidden="1" x14ac:dyDescent="0.25">
      <c r="A781" s="1">
        <f>INDEX(rq_evidence_review!A:A, MATCH(B781, rq_evidence_review!B:B, 0))</f>
        <v>4</v>
      </c>
      <c r="B781" s="6" t="s">
        <v>241</v>
      </c>
      <c r="C781" s="1">
        <f t="shared" si="86"/>
        <v>775</v>
      </c>
      <c r="D781" s="1">
        <f>VLOOKUP(B781,rq_evidence_review!$B$1:$L$55,7,FALSE)</f>
        <v>85</v>
      </c>
      <c r="E781" s="8" t="s">
        <v>1149</v>
      </c>
      <c r="H781" s="1" t="str">
        <f t="shared" si="87"/>
        <v>Sahu A</v>
      </c>
      <c r="I781" s="1" t="str">
        <f t="shared" si="90"/>
        <v>2019</v>
      </c>
      <c r="J781" s="1" t="str">
        <f t="shared" si="88"/>
        <v>Sahu A et al., 2019</v>
      </c>
      <c r="K781" s="9" t="s">
        <v>1745</v>
      </c>
      <c r="L781" s="1" t="str">
        <f t="shared" si="89"/>
        <v/>
      </c>
    </row>
    <row r="782" spans="1:12" ht="30" hidden="1" x14ac:dyDescent="0.25">
      <c r="A782" s="1">
        <f>INDEX(rq_evidence_review!A:A, MATCH(B782, rq_evidence_review!B:B, 0))</f>
        <v>4</v>
      </c>
      <c r="B782" s="6" t="s">
        <v>241</v>
      </c>
      <c r="C782" s="1">
        <f t="shared" si="86"/>
        <v>776</v>
      </c>
      <c r="D782" s="1">
        <f>VLOOKUP(B782,rq_evidence_review!$B$1:$L$55,7,FALSE)</f>
        <v>85</v>
      </c>
      <c r="E782" s="8" t="s">
        <v>1150</v>
      </c>
      <c r="H782" s="1" t="str">
        <f t="shared" si="87"/>
        <v>Song J</v>
      </c>
      <c r="I782" s="1" t="str">
        <f t="shared" si="90"/>
        <v>2018</v>
      </c>
      <c r="J782" s="1" t="str">
        <f t="shared" si="88"/>
        <v>Song J et al., 2018</v>
      </c>
      <c r="K782" s="1" t="s">
        <v>1746</v>
      </c>
      <c r="L782" s="1" t="str">
        <f t="shared" si="89"/>
        <v/>
      </c>
    </row>
    <row r="783" spans="1:12" ht="30" hidden="1" x14ac:dyDescent="0.25">
      <c r="A783" s="1">
        <f>INDEX(rq_evidence_review!A:A, MATCH(B783, rq_evidence_review!B:B, 0))</f>
        <v>4</v>
      </c>
      <c r="B783" s="6" t="s">
        <v>241</v>
      </c>
      <c r="C783" s="1">
        <f t="shared" si="86"/>
        <v>777</v>
      </c>
      <c r="D783" s="1">
        <f>VLOOKUP(B783,rq_evidence_review!$B$1:$L$55,7,FALSE)</f>
        <v>85</v>
      </c>
      <c r="E783" s="8" t="s">
        <v>1151</v>
      </c>
      <c r="H783" s="1" t="str">
        <f t="shared" si="87"/>
        <v>Ruan X</v>
      </c>
      <c r="I783" s="1" t="str">
        <f t="shared" si="90"/>
        <v>2018</v>
      </c>
      <c r="J783" s="1" t="str">
        <f t="shared" si="88"/>
        <v>Ruan X et al., 2018</v>
      </c>
      <c r="K783" s="9" t="s">
        <v>1747</v>
      </c>
      <c r="L783" s="1" t="str">
        <f t="shared" si="89"/>
        <v/>
      </c>
    </row>
    <row r="784" spans="1:12" ht="30" hidden="1" x14ac:dyDescent="0.25">
      <c r="A784" s="1">
        <f>INDEX(rq_evidence_review!A:A, MATCH(B784, rq_evidence_review!B:B, 0))</f>
        <v>4</v>
      </c>
      <c r="B784" s="6" t="s">
        <v>241</v>
      </c>
      <c r="C784" s="1">
        <f t="shared" si="86"/>
        <v>778</v>
      </c>
      <c r="D784" s="1">
        <f>VLOOKUP(B784,rq_evidence_review!$B$1:$L$55,7,FALSE)</f>
        <v>85</v>
      </c>
      <c r="E784" s="8" t="s">
        <v>1152</v>
      </c>
      <c r="H784" s="1" t="str">
        <f t="shared" si="87"/>
        <v>Spritzer PM</v>
      </c>
      <c r="I784" s="1" t="str">
        <f t="shared" si="90"/>
        <v>2000</v>
      </c>
      <c r="J784" s="1" t="str">
        <f t="shared" si="88"/>
        <v>Spritzer PM et al., 2000</v>
      </c>
      <c r="K784" s="9" t="s">
        <v>1748</v>
      </c>
      <c r="L784" s="1" t="str">
        <f t="shared" si="89"/>
        <v/>
      </c>
    </row>
    <row r="785" spans="1:12" ht="30" hidden="1" x14ac:dyDescent="0.25">
      <c r="A785" s="1">
        <f>INDEX(rq_evidence_review!A:A, MATCH(B785, rq_evidence_review!B:B, 0))</f>
        <v>4</v>
      </c>
      <c r="B785" s="6" t="s">
        <v>241</v>
      </c>
      <c r="C785" s="1">
        <f t="shared" si="86"/>
        <v>779</v>
      </c>
      <c r="D785" s="1">
        <f>VLOOKUP(B785,rq_evidence_review!$B$1:$L$55,7,FALSE)</f>
        <v>85</v>
      </c>
      <c r="E785" s="8" t="s">
        <v>1153</v>
      </c>
      <c r="H785" s="1" t="str">
        <f t="shared" si="87"/>
        <v>Taheripanah R</v>
      </c>
      <c r="I785" s="1" t="str">
        <f t="shared" si="90"/>
        <v>2010</v>
      </c>
      <c r="J785" s="1" t="str">
        <f t="shared" si="88"/>
        <v>Taheripanah R et al., 2010</v>
      </c>
      <c r="K785" s="9" t="s">
        <v>1749</v>
      </c>
      <c r="L785" s="1" t="str">
        <f t="shared" si="89"/>
        <v/>
      </c>
    </row>
    <row r="786" spans="1:12" ht="30" hidden="1" x14ac:dyDescent="0.25">
      <c r="A786" s="1">
        <f>INDEX(rq_evidence_review!A:A, MATCH(B786, rq_evidence_review!B:B, 0))</f>
        <v>4</v>
      </c>
      <c r="B786" s="6" t="s">
        <v>241</v>
      </c>
      <c r="C786" s="1">
        <f t="shared" si="86"/>
        <v>780</v>
      </c>
      <c r="D786" s="1">
        <f>VLOOKUP(B786,rq_evidence_review!$B$1:$L$55,7,FALSE)</f>
        <v>85</v>
      </c>
      <c r="E786" s="8" t="s">
        <v>1154</v>
      </c>
      <c r="H786" s="1" t="str">
        <f t="shared" si="87"/>
        <v>Tartagni M</v>
      </c>
      <c r="I786" s="1" t="str">
        <f t="shared" si="90"/>
        <v>2000</v>
      </c>
      <c r="J786" s="1" t="str">
        <f t="shared" si="88"/>
        <v>Tartagni M et al., 2000</v>
      </c>
      <c r="K786" s="9" t="s">
        <v>1750</v>
      </c>
      <c r="L786" s="1" t="str">
        <f t="shared" si="89"/>
        <v/>
      </c>
    </row>
    <row r="787" spans="1:12" ht="30" hidden="1" x14ac:dyDescent="0.25">
      <c r="A787" s="1">
        <f>INDEX(rq_evidence_review!A:A, MATCH(B787, rq_evidence_review!B:B, 0))</f>
        <v>4</v>
      </c>
      <c r="B787" s="6" t="s">
        <v>241</v>
      </c>
      <c r="C787" s="1">
        <f t="shared" si="86"/>
        <v>781</v>
      </c>
      <c r="D787" s="1">
        <f>VLOOKUP(B787,rq_evidence_review!$B$1:$L$55,7,FALSE)</f>
        <v>85</v>
      </c>
      <c r="E787" s="8" t="s">
        <v>1155</v>
      </c>
      <c r="H787" s="1" t="str">
        <f t="shared" si="87"/>
        <v>Vieira CS</v>
      </c>
      <c r="I787" s="1" t="str">
        <f t="shared" si="90"/>
        <v>2012</v>
      </c>
      <c r="J787" s="1" t="str">
        <f t="shared" si="88"/>
        <v>Vieira CS et al., 2012</v>
      </c>
      <c r="K787" s="9" t="s">
        <v>1751</v>
      </c>
      <c r="L787" s="1" t="str">
        <f t="shared" si="89"/>
        <v/>
      </c>
    </row>
    <row r="788" spans="1:12" ht="45" hidden="1" x14ac:dyDescent="0.25">
      <c r="A788" s="1">
        <f>INDEX(rq_evidence_review!A:A, MATCH(B788, rq_evidence_review!B:B, 0))</f>
        <v>4</v>
      </c>
      <c r="B788" s="6" t="s">
        <v>241</v>
      </c>
      <c r="C788" s="1">
        <f t="shared" si="86"/>
        <v>782</v>
      </c>
      <c r="D788" s="1">
        <f>VLOOKUP(B788,rq_evidence_review!$B$1:$L$55,7,FALSE)</f>
        <v>85</v>
      </c>
      <c r="E788" s="8" t="s">
        <v>1156</v>
      </c>
      <c r="H788" s="1" t="str">
        <f t="shared" si="87"/>
        <v>Wang QY</v>
      </c>
      <c r="I788" s="1" t="str">
        <f t="shared" si="90"/>
        <v>2016</v>
      </c>
      <c r="J788" s="1" t="str">
        <f t="shared" si="88"/>
        <v>Wang QY et al., 2016</v>
      </c>
      <c r="K788" s="9" t="s">
        <v>1752</v>
      </c>
      <c r="L788" s="1" t="str">
        <f t="shared" si="89"/>
        <v/>
      </c>
    </row>
    <row r="789" spans="1:12" ht="45" hidden="1" x14ac:dyDescent="0.25">
      <c r="A789" s="1">
        <f>INDEX(rq_evidence_review!A:A, MATCH(B789, rq_evidence_review!B:B, 0))</f>
        <v>4</v>
      </c>
      <c r="B789" s="6" t="s">
        <v>241</v>
      </c>
      <c r="C789" s="1">
        <f t="shared" si="86"/>
        <v>783</v>
      </c>
      <c r="D789" s="1">
        <f>VLOOKUP(B789,rq_evidence_review!$B$1:$L$55,7,FALSE)</f>
        <v>85</v>
      </c>
      <c r="E789" s="8" t="s">
        <v>1157</v>
      </c>
      <c r="H789" s="1" t="str">
        <f t="shared" si="87"/>
        <v>Wei W</v>
      </c>
      <c r="I789" s="1" t="str">
        <f t="shared" si="90"/>
        <v>2012</v>
      </c>
      <c r="J789" s="1" t="str">
        <f t="shared" si="88"/>
        <v>Wei W et al., 2012</v>
      </c>
      <c r="K789" s="9" t="s">
        <v>1753</v>
      </c>
      <c r="L789" s="1" t="str">
        <f t="shared" si="89"/>
        <v/>
      </c>
    </row>
    <row r="790" spans="1:12" ht="30" hidden="1" x14ac:dyDescent="0.25">
      <c r="A790" s="1">
        <f>INDEX(rq_evidence_review!A:A, MATCH(B790, rq_evidence_review!B:B, 0))</f>
        <v>4</v>
      </c>
      <c r="B790" s="6" t="s">
        <v>241</v>
      </c>
      <c r="C790" s="1">
        <f t="shared" si="86"/>
        <v>784</v>
      </c>
      <c r="D790" s="1">
        <f>VLOOKUP(B790,rq_evidence_review!$B$1:$L$55,7,FALSE)</f>
        <v>85</v>
      </c>
      <c r="E790" s="8" t="s">
        <v>1158</v>
      </c>
      <c r="H790" s="1" t="str">
        <f t="shared" si="87"/>
        <v>Wu J</v>
      </c>
      <c r="I790" s="1" t="str">
        <f t="shared" si="90"/>
        <v>2008</v>
      </c>
      <c r="J790" s="1" t="str">
        <f t="shared" si="88"/>
        <v>Wu J et al., 2008</v>
      </c>
      <c r="K790" s="9" t="s">
        <v>1754</v>
      </c>
      <c r="L790" s="1" t="str">
        <f t="shared" si="89"/>
        <v/>
      </c>
    </row>
    <row r="791" spans="1:12" ht="30" hidden="1" x14ac:dyDescent="0.25">
      <c r="A791" s="1">
        <f>INDEX(rq_evidence_review!A:A, MATCH(B791, rq_evidence_review!B:B, 0))</f>
        <v>4</v>
      </c>
      <c r="B791" s="6" t="s">
        <v>241</v>
      </c>
      <c r="C791" s="1">
        <f t="shared" si="86"/>
        <v>785</v>
      </c>
      <c r="D791" s="1">
        <f>VLOOKUP(B791,rq_evidence_review!$B$1:$L$55,7,FALSE)</f>
        <v>85</v>
      </c>
      <c r="E791" s="8" t="s">
        <v>1159</v>
      </c>
      <c r="H791" s="1" t="str">
        <f t="shared" si="87"/>
        <v>Yildizhan R</v>
      </c>
      <c r="I791" s="1" t="str">
        <f t="shared" si="90"/>
        <v>2015</v>
      </c>
      <c r="J791" s="1" t="str">
        <f t="shared" si="88"/>
        <v>Yildizhan R et al., 2015</v>
      </c>
      <c r="K791" s="9" t="s">
        <v>1755</v>
      </c>
      <c r="L791" s="1" t="str">
        <f t="shared" si="89"/>
        <v/>
      </c>
    </row>
    <row r="792" spans="1:12" ht="30" hidden="1" x14ac:dyDescent="0.25">
      <c r="A792" s="1">
        <f>INDEX(rq_evidence_review!A:A, MATCH(B792, rq_evidence_review!B:B, 0))</f>
        <v>4</v>
      </c>
      <c r="B792" s="6" t="s">
        <v>241</v>
      </c>
      <c r="C792" s="1">
        <f t="shared" si="86"/>
        <v>786</v>
      </c>
      <c r="D792" s="1">
        <f>VLOOKUP(B792,rq_evidence_review!$B$1:$L$55,7,FALSE)</f>
        <v>85</v>
      </c>
      <c r="E792" s="8" t="s">
        <v>1160</v>
      </c>
      <c r="H792" s="1" t="str">
        <f t="shared" si="87"/>
        <v xml:space="preserve"> Dokras A</v>
      </c>
      <c r="I792" s="1" t="str">
        <f t="shared" si="90"/>
        <v>2016</v>
      </c>
      <c r="J792" s="1" t="str">
        <f t="shared" si="88"/>
        <v xml:space="preserve"> Dokras A et al., 2016</v>
      </c>
      <c r="K792" s="9" t="s">
        <v>1756</v>
      </c>
      <c r="L792" s="1" t="str">
        <f t="shared" si="89"/>
        <v/>
      </c>
    </row>
    <row r="793" spans="1:12" ht="30" hidden="1" x14ac:dyDescent="0.25">
      <c r="A793" s="1">
        <f>INDEX(rq_evidence_review!A:A, MATCH(B793, rq_evidence_review!B:B, 0))</f>
        <v>4</v>
      </c>
      <c r="B793" s="6">
        <f>rq_evidence_review!B33</f>
        <v>4.4000000000000004</v>
      </c>
      <c r="C793" s="1">
        <f t="shared" si="86"/>
        <v>787</v>
      </c>
      <c r="D793" s="1">
        <f>VLOOKUP(B793,rq_evidence_review!$B$1:$L$55,7,FALSE)</f>
        <v>111</v>
      </c>
      <c r="E793" s="8" t="s">
        <v>1364</v>
      </c>
      <c r="H793" s="1" t="str">
        <f t="shared" si="87"/>
        <v>Lingaiah</v>
      </c>
      <c r="I793" s="1" t="str">
        <f t="shared" si="90"/>
        <v>2019</v>
      </c>
      <c r="J793" s="1" t="str">
        <f t="shared" si="88"/>
        <v>Lingaiah et al., 2019</v>
      </c>
      <c r="K793" s="1" t="s">
        <v>1757</v>
      </c>
      <c r="L793" s="1" t="str">
        <f t="shared" si="89"/>
        <v/>
      </c>
    </row>
    <row r="794" spans="1:12" ht="30" hidden="1" x14ac:dyDescent="0.25">
      <c r="A794" s="1">
        <f>INDEX(rq_evidence_review!A:A, MATCH(B794, rq_evidence_review!B:B, 0))</f>
        <v>4</v>
      </c>
      <c r="B794" s="6">
        <v>4.4000000000000004</v>
      </c>
      <c r="C794" s="1">
        <f t="shared" si="86"/>
        <v>788</v>
      </c>
      <c r="D794" s="1">
        <f>VLOOKUP(B794,rq_evidence_review!$B$1:$L$55,7,FALSE)</f>
        <v>111</v>
      </c>
      <c r="E794" s="8" t="s">
        <v>1365</v>
      </c>
      <c r="H794" s="1" t="str">
        <f t="shared" si="87"/>
        <v>Zahra</v>
      </c>
      <c r="I794" s="1" t="str">
        <f t="shared" si="90"/>
        <v>2017</v>
      </c>
      <c r="J794" s="1" t="str">
        <f t="shared" si="88"/>
        <v>Zahra et al., 2017</v>
      </c>
      <c r="K794" s="9" t="s">
        <v>1758</v>
      </c>
      <c r="L794" s="1" t="str">
        <f t="shared" si="89"/>
        <v/>
      </c>
    </row>
    <row r="795" spans="1:12" ht="30" hidden="1" x14ac:dyDescent="0.25">
      <c r="A795" s="1">
        <f>INDEX(rq_evidence_review!A:A, MATCH(B795, rq_evidence_review!B:B, 0))</f>
        <v>4</v>
      </c>
      <c r="B795" s="6">
        <v>4.4000000000000004</v>
      </c>
      <c r="C795" s="1">
        <f t="shared" si="86"/>
        <v>789</v>
      </c>
      <c r="D795" s="1">
        <f>VLOOKUP(B795,rq_evidence_review!$B$1:$L$55,7,FALSE)</f>
        <v>111</v>
      </c>
      <c r="E795" s="8" t="s">
        <v>1366</v>
      </c>
      <c r="H795" s="1" t="str">
        <f t="shared" si="87"/>
        <v>Heidari B</v>
      </c>
      <c r="I795" s="1" t="str">
        <f t="shared" si="90"/>
        <v>2019</v>
      </c>
      <c r="J795" s="1" t="str">
        <f t="shared" si="88"/>
        <v>Heidari B et al., 2019</v>
      </c>
      <c r="K795" s="9" t="s">
        <v>1759</v>
      </c>
      <c r="L795" s="1" t="str">
        <f t="shared" si="89"/>
        <v/>
      </c>
    </row>
    <row r="796" spans="1:12" ht="30" hidden="1" x14ac:dyDescent="0.25">
      <c r="A796" s="1">
        <f>INDEX(rq_evidence_review!A:A, MATCH(B796, rq_evidence_review!B:B, 0))</f>
        <v>4</v>
      </c>
      <c r="B796" s="6">
        <v>4.4000000000000004</v>
      </c>
      <c r="C796" s="1">
        <f t="shared" si="86"/>
        <v>790</v>
      </c>
      <c r="D796" s="1">
        <f>VLOOKUP(B796,rq_evidence_review!$B$1:$L$55,7,FALSE)</f>
        <v>111</v>
      </c>
      <c r="E796" s="8" t="s">
        <v>1367</v>
      </c>
      <c r="H796" s="1" t="str">
        <f t="shared" si="87"/>
        <v>Bridger</v>
      </c>
      <c r="I796" s="1" t="str">
        <f t="shared" si="90"/>
        <v>2006</v>
      </c>
      <c r="J796" s="1" t="str">
        <f t="shared" si="88"/>
        <v>Bridger et al., 2006</v>
      </c>
      <c r="K796" s="9" t="s">
        <v>1760</v>
      </c>
      <c r="L796" s="1" t="str">
        <f t="shared" si="89"/>
        <v/>
      </c>
    </row>
    <row r="797" spans="1:12" ht="45" hidden="1" x14ac:dyDescent="0.25">
      <c r="A797" s="1">
        <f>INDEX(rq_evidence_review!A:A, MATCH(B797, rq_evidence_review!B:B, 0))</f>
        <v>4</v>
      </c>
      <c r="B797" s="6">
        <v>4.4000000000000004</v>
      </c>
      <c r="C797" s="1">
        <f t="shared" si="86"/>
        <v>791</v>
      </c>
      <c r="D797" s="1">
        <f>VLOOKUP(B797,rq_evidence_review!$B$1:$L$55,7,FALSE)</f>
        <v>111</v>
      </c>
      <c r="E797" s="8" t="s">
        <v>1368</v>
      </c>
      <c r="H797" s="1" t="str">
        <f t="shared" si="87"/>
        <v>Chou</v>
      </c>
      <c r="I797" s="1" t="str">
        <f t="shared" si="90"/>
        <v>2003</v>
      </c>
      <c r="J797" s="1" t="str">
        <f t="shared" si="88"/>
        <v>Chou et al., 2003</v>
      </c>
      <c r="K797" s="9" t="s">
        <v>1761</v>
      </c>
      <c r="L797" s="1" t="str">
        <f t="shared" si="89"/>
        <v/>
      </c>
    </row>
    <row r="798" spans="1:12" ht="30" hidden="1" x14ac:dyDescent="0.25">
      <c r="A798" s="1">
        <f>INDEX(rq_evidence_review!A:A, MATCH(B798, rq_evidence_review!B:B, 0))</f>
        <v>4</v>
      </c>
      <c r="B798" s="6">
        <v>4.4000000000000004</v>
      </c>
      <c r="C798" s="1">
        <f t="shared" si="86"/>
        <v>792</v>
      </c>
      <c r="D798" s="1">
        <f>VLOOKUP(B798,rq_evidence_review!$B$1:$L$55,7,FALSE)</f>
        <v>111</v>
      </c>
      <c r="E798" s="8" t="s">
        <v>1369</v>
      </c>
      <c r="H798" s="1" t="str">
        <f t="shared" si="87"/>
        <v>Baillargeon</v>
      </c>
      <c r="I798" s="1" t="str">
        <f t="shared" si="90"/>
        <v>2004</v>
      </c>
      <c r="J798" s="1" t="str">
        <f t="shared" si="88"/>
        <v>Baillargeon et al., 2004</v>
      </c>
      <c r="K798" s="1" t="s">
        <v>1762</v>
      </c>
      <c r="L798" s="1" t="str">
        <f t="shared" si="89"/>
        <v/>
      </c>
    </row>
    <row r="799" spans="1:12" ht="30" hidden="1" x14ac:dyDescent="0.25">
      <c r="A799" s="1">
        <f>INDEX(rq_evidence_review!A:A, MATCH(B799, rq_evidence_review!B:B, 0))</f>
        <v>4</v>
      </c>
      <c r="B799" s="6">
        <v>4.4000000000000004</v>
      </c>
      <c r="C799" s="1">
        <f t="shared" si="86"/>
        <v>793</v>
      </c>
      <c r="D799" s="1">
        <f>VLOOKUP(B799,rq_evidence_review!$B$1:$L$55,7,FALSE)</f>
        <v>111</v>
      </c>
      <c r="E799" s="8" t="s">
        <v>1370</v>
      </c>
      <c r="H799" s="1" t="str">
        <f t="shared" si="87"/>
        <v>Eisenhardt</v>
      </c>
      <c r="I799" s="1" t="str">
        <f t="shared" si="90"/>
        <v>2006</v>
      </c>
      <c r="J799" s="1" t="str">
        <f t="shared" si="88"/>
        <v>Eisenhardt et al., 2006</v>
      </c>
      <c r="K799" s="9" t="s">
        <v>1763</v>
      </c>
      <c r="L799" s="1" t="str">
        <f t="shared" si="89"/>
        <v/>
      </c>
    </row>
    <row r="800" spans="1:12" ht="30" hidden="1" x14ac:dyDescent="0.25">
      <c r="A800" s="1">
        <f>INDEX(rq_evidence_review!A:A, MATCH(B800, rq_evidence_review!B:B, 0))</f>
        <v>4</v>
      </c>
      <c r="B800" s="6">
        <v>4.4000000000000004</v>
      </c>
      <c r="C800" s="1">
        <f t="shared" ref="C800:C863" si="91">C799+1</f>
        <v>794</v>
      </c>
      <c r="D800" s="1">
        <f>VLOOKUP(B800,rq_evidence_review!$B$1:$L$55,7,FALSE)</f>
        <v>111</v>
      </c>
      <c r="E800" s="8" t="s">
        <v>1371</v>
      </c>
      <c r="H800" s="1" t="str">
        <f t="shared" si="87"/>
        <v>Fleming</v>
      </c>
      <c r="I800" s="1" t="str">
        <f t="shared" si="90"/>
        <v>2002</v>
      </c>
      <c r="J800" s="1" t="str">
        <f t="shared" si="88"/>
        <v>Fleming et al., 2002</v>
      </c>
      <c r="K800" s="9" t="s">
        <v>1764</v>
      </c>
      <c r="L800" s="1" t="str">
        <f t="shared" si="89"/>
        <v/>
      </c>
    </row>
    <row r="801" spans="1:15" ht="30" hidden="1" x14ac:dyDescent="0.25">
      <c r="A801" s="1">
        <f>INDEX(rq_evidence_review!A:A, MATCH(B801, rq_evidence_review!B:B, 0))</f>
        <v>4</v>
      </c>
      <c r="B801" s="6">
        <v>4.4000000000000004</v>
      </c>
      <c r="C801" s="1">
        <f t="shared" si="91"/>
        <v>795</v>
      </c>
      <c r="D801" s="1">
        <f>VLOOKUP(B801,rq_evidence_review!$B$1:$L$55,7,FALSE)</f>
        <v>111</v>
      </c>
      <c r="E801" s="8" t="s">
        <v>1372</v>
      </c>
      <c r="H801" s="1" t="str">
        <f t="shared" si="87"/>
        <v>Morin‐Papunen</v>
      </c>
      <c r="I801" s="1" t="str">
        <f t="shared" si="90"/>
        <v>2012</v>
      </c>
      <c r="J801" s="1" t="str">
        <f t="shared" si="88"/>
        <v>Morin‐Papunen et al., 2012</v>
      </c>
      <c r="K801" s="9" t="s">
        <v>1765</v>
      </c>
      <c r="L801" s="1" t="str">
        <f t="shared" si="89"/>
        <v/>
      </c>
    </row>
    <row r="802" spans="1:15" ht="45" hidden="1" x14ac:dyDescent="0.25">
      <c r="A802" s="1">
        <f>INDEX(rq_evidence_review!A:A, MATCH(B802, rq_evidence_review!B:B, 0))</f>
        <v>4</v>
      </c>
      <c r="B802" s="6">
        <v>4.4000000000000004</v>
      </c>
      <c r="C802" s="1">
        <f t="shared" si="91"/>
        <v>796</v>
      </c>
      <c r="D802" s="1">
        <f>VLOOKUP(B802,rq_evidence_review!$B$1:$L$55,7,FALSE)</f>
        <v>111</v>
      </c>
      <c r="E802" s="8" t="s">
        <v>1373</v>
      </c>
      <c r="H802" s="1" t="str">
        <f t="shared" si="87"/>
        <v>Hoeger</v>
      </c>
      <c r="I802" s="1" t="str">
        <f t="shared" si="90"/>
        <v>2008</v>
      </c>
      <c r="J802" s="1" t="str">
        <f t="shared" si="88"/>
        <v>Hoeger et al., 2008</v>
      </c>
      <c r="K802" s="9" t="s">
        <v>1651</v>
      </c>
      <c r="L802" s="1" t="str">
        <f t="shared" si="89"/>
        <v/>
      </c>
    </row>
    <row r="803" spans="1:15" ht="30" hidden="1" x14ac:dyDescent="0.25">
      <c r="A803" s="1">
        <f>INDEX(rq_evidence_review!A:A, MATCH(B803, rq_evidence_review!B:B, 0))</f>
        <v>4</v>
      </c>
      <c r="B803" s="6">
        <v>4.4000000000000004</v>
      </c>
      <c r="C803" s="1">
        <f t="shared" si="91"/>
        <v>797</v>
      </c>
      <c r="D803" s="1">
        <f>VLOOKUP(B803,rq_evidence_review!$B$1:$L$55,7,FALSE)</f>
        <v>111</v>
      </c>
      <c r="E803" s="8" t="s">
        <v>1374</v>
      </c>
      <c r="H803" s="1" t="str">
        <f t="shared" ref="H803:H866" si="92">LEFT(E803, FIND(",", E803) - 1)</f>
        <v>Karimzadeh MA</v>
      </c>
      <c r="I803" s="1" t="str">
        <f t="shared" si="90"/>
        <v>2007</v>
      </c>
      <c r="J803" s="1" t="str">
        <f t="shared" ref="J803:J866" si="93">H803 &amp; " et al., " &amp; I803</f>
        <v>Karimzadeh MA et al., 2007</v>
      </c>
      <c r="K803" s="1" t="str">
        <f>ExtractDOI(E803)</f>
        <v/>
      </c>
      <c r="L803" s="1" t="str">
        <f t="shared" ref="L803:L866" si="94">ExtractPMID(E803)</f>
        <v/>
      </c>
      <c r="N803" s="1">
        <v>35054293</v>
      </c>
      <c r="O803" s="1" t="s">
        <v>1993</v>
      </c>
    </row>
    <row r="804" spans="1:15" ht="30" hidden="1" x14ac:dyDescent="0.25">
      <c r="A804" s="1">
        <f>INDEX(rq_evidence_review!A:A, MATCH(B804, rq_evidence_review!B:B, 0))</f>
        <v>4</v>
      </c>
      <c r="B804" s="6">
        <v>4.4000000000000004</v>
      </c>
      <c r="C804" s="1">
        <f t="shared" si="91"/>
        <v>798</v>
      </c>
      <c r="D804" s="1">
        <f>VLOOKUP(B804,rq_evidence_review!$B$1:$L$55,7,FALSE)</f>
        <v>111</v>
      </c>
      <c r="E804" s="8" t="s">
        <v>1375</v>
      </c>
      <c r="H804" s="1" t="str">
        <f t="shared" si="92"/>
        <v>Kelly</v>
      </c>
      <c r="I804" s="1" t="str">
        <f t="shared" ref="I804:I867" si="95">ExtractYear(E804)</f>
        <v>2002</v>
      </c>
      <c r="J804" s="1" t="str">
        <f t="shared" si="93"/>
        <v>Kelly et al., 2002</v>
      </c>
      <c r="K804" s="9" t="s">
        <v>1766</v>
      </c>
      <c r="L804" s="1" t="str">
        <f t="shared" si="94"/>
        <v/>
      </c>
    </row>
    <row r="805" spans="1:15" ht="45" hidden="1" x14ac:dyDescent="0.25">
      <c r="A805" s="1">
        <f>INDEX(rq_evidence_review!A:A, MATCH(B805, rq_evidence_review!B:B, 0))</f>
        <v>4</v>
      </c>
      <c r="B805" s="6">
        <v>4.4000000000000004</v>
      </c>
      <c r="C805" s="1">
        <f t="shared" si="91"/>
        <v>799</v>
      </c>
      <c r="D805" s="1">
        <f>VLOOKUP(B805,rq_evidence_review!$B$1:$L$55,7,FALSE)</f>
        <v>111</v>
      </c>
      <c r="E805" s="8" t="s">
        <v>1376</v>
      </c>
      <c r="H805" s="1" t="str">
        <f t="shared" si="92"/>
        <v>Lord</v>
      </c>
      <c r="I805" s="1" t="str">
        <f t="shared" si="95"/>
        <v>2006</v>
      </c>
      <c r="J805" s="1" t="str">
        <f t="shared" si="93"/>
        <v>Lord et al., 2006</v>
      </c>
      <c r="K805" s="9" t="s">
        <v>1767</v>
      </c>
      <c r="L805" s="1" t="str">
        <f t="shared" si="94"/>
        <v/>
      </c>
    </row>
    <row r="806" spans="1:15" ht="30" hidden="1" x14ac:dyDescent="0.25">
      <c r="A806" s="1">
        <f>INDEX(rq_evidence_review!A:A, MATCH(B806, rq_evidence_review!B:B, 0))</f>
        <v>4</v>
      </c>
      <c r="B806" s="6">
        <v>4.4000000000000004</v>
      </c>
      <c r="C806" s="1">
        <f t="shared" si="91"/>
        <v>800</v>
      </c>
      <c r="D806" s="1">
        <f>VLOOKUP(B806,rq_evidence_review!$B$1:$L$55,7,FALSE)</f>
        <v>111</v>
      </c>
      <c r="E806" s="8" t="s">
        <v>1377</v>
      </c>
      <c r="H806" s="1" t="str">
        <f t="shared" si="92"/>
        <v>Maciel</v>
      </c>
      <c r="I806" s="1" t="str">
        <f t="shared" si="95"/>
        <v>2004</v>
      </c>
      <c r="J806" s="1" t="str">
        <f t="shared" si="93"/>
        <v>Maciel et al., 2004</v>
      </c>
      <c r="K806" s="9" t="s">
        <v>1768</v>
      </c>
      <c r="L806" s="1" t="str">
        <f t="shared" si="94"/>
        <v/>
      </c>
    </row>
    <row r="807" spans="1:15" ht="45" hidden="1" x14ac:dyDescent="0.25">
      <c r="A807" s="1">
        <f>INDEX(rq_evidence_review!A:A, MATCH(B807, rq_evidence_review!B:B, 0))</f>
        <v>4</v>
      </c>
      <c r="B807" s="6">
        <v>4.4000000000000004</v>
      </c>
      <c r="C807" s="1">
        <f t="shared" si="91"/>
        <v>801</v>
      </c>
      <c r="D807" s="1">
        <f>VLOOKUP(B807,rq_evidence_review!$B$1:$L$55,7,FALSE)</f>
        <v>111</v>
      </c>
      <c r="E807" s="8" t="s">
        <v>1378</v>
      </c>
      <c r="H807" s="1" t="str">
        <f t="shared" si="92"/>
        <v>Onalan</v>
      </c>
      <c r="I807" s="1" t="str">
        <f t="shared" si="95"/>
        <v>2005</v>
      </c>
      <c r="J807" s="1" t="str">
        <f t="shared" si="93"/>
        <v>Onalan et al., 2005</v>
      </c>
      <c r="K807" s="9" t="s">
        <v>1769</v>
      </c>
      <c r="L807" s="1" t="str">
        <f t="shared" si="94"/>
        <v/>
      </c>
    </row>
    <row r="808" spans="1:15" ht="45" hidden="1" x14ac:dyDescent="0.25">
      <c r="A808" s="1">
        <f>INDEX(rq_evidence_review!A:A, MATCH(B808, rq_evidence_review!B:B, 0))</f>
        <v>4</v>
      </c>
      <c r="B808" s="6">
        <v>4.4000000000000004</v>
      </c>
      <c r="C808" s="1">
        <f t="shared" si="91"/>
        <v>802</v>
      </c>
      <c r="D808" s="1">
        <f>VLOOKUP(B808,rq_evidence_review!$B$1:$L$55,7,FALSE)</f>
        <v>111</v>
      </c>
      <c r="E808" s="8" t="s">
        <v>1379</v>
      </c>
      <c r="H808" s="1" t="str">
        <f t="shared" si="92"/>
        <v>Moghetti</v>
      </c>
      <c r="I808" s="1" t="str">
        <f t="shared" si="95"/>
        <v>2000</v>
      </c>
      <c r="J808" s="1" t="str">
        <f t="shared" si="93"/>
        <v>Moghetti et al., 2000</v>
      </c>
      <c r="K808" s="9" t="s">
        <v>1770</v>
      </c>
      <c r="L808" s="1" t="str">
        <f t="shared" si="94"/>
        <v/>
      </c>
    </row>
    <row r="809" spans="1:15" ht="30" hidden="1" x14ac:dyDescent="0.25">
      <c r="A809" s="1">
        <f>INDEX(rq_evidence_review!A:A, MATCH(B809, rq_evidence_review!B:B, 0))</f>
        <v>4</v>
      </c>
      <c r="B809" s="6">
        <v>4.4000000000000004</v>
      </c>
      <c r="C809" s="1">
        <f t="shared" si="91"/>
        <v>803</v>
      </c>
      <c r="D809" s="1">
        <f>VLOOKUP(B809,rq_evidence_review!$B$1:$L$55,7,FALSE)</f>
        <v>111</v>
      </c>
      <c r="E809" s="8" t="s">
        <v>1380</v>
      </c>
      <c r="H809" s="1" t="str">
        <f t="shared" si="92"/>
        <v>Palomba</v>
      </c>
      <c r="I809" s="1" t="str">
        <f t="shared" si="95"/>
        <v>2007</v>
      </c>
      <c r="J809" s="1" t="str">
        <f t="shared" si="93"/>
        <v>Palomba et al., 2007</v>
      </c>
      <c r="K809" s="9" t="s">
        <v>1771</v>
      </c>
      <c r="L809" s="1" t="str">
        <f t="shared" si="94"/>
        <v/>
      </c>
    </row>
    <row r="810" spans="1:15" ht="45" hidden="1" x14ac:dyDescent="0.25">
      <c r="A810" s="1">
        <f>INDEX(rq_evidence_review!A:A, MATCH(B810, rq_evidence_review!B:B, 0))</f>
        <v>4</v>
      </c>
      <c r="B810" s="6">
        <v>4.4000000000000004</v>
      </c>
      <c r="C810" s="1">
        <f t="shared" si="91"/>
        <v>804</v>
      </c>
      <c r="D810" s="1">
        <f>VLOOKUP(B810,rq_evidence_review!$B$1:$L$55,7,FALSE)</f>
        <v>111</v>
      </c>
      <c r="E810" s="8" t="s">
        <v>1381</v>
      </c>
      <c r="H810" s="1" t="str">
        <f t="shared" si="92"/>
        <v>Ng</v>
      </c>
      <c r="I810" s="1" t="str">
        <f t="shared" si="95"/>
        <v>2001</v>
      </c>
      <c r="J810" s="1" t="str">
        <f t="shared" si="93"/>
        <v>Ng et al., 2001</v>
      </c>
      <c r="K810" s="9" t="s">
        <v>1772</v>
      </c>
      <c r="L810" s="1" t="str">
        <f t="shared" si="94"/>
        <v/>
      </c>
    </row>
    <row r="811" spans="1:15" ht="45" hidden="1" x14ac:dyDescent="0.25">
      <c r="A811" s="1">
        <f>INDEX(rq_evidence_review!A:A, MATCH(B811, rq_evidence_review!B:B, 0))</f>
        <v>4</v>
      </c>
      <c r="B811" s="6">
        <v>4.4000000000000004</v>
      </c>
      <c r="C811" s="1">
        <f t="shared" si="91"/>
        <v>805</v>
      </c>
      <c r="D811" s="1">
        <f>VLOOKUP(B811,rq_evidence_review!$B$1:$L$55,7,FALSE)</f>
        <v>111</v>
      </c>
      <c r="E811" s="8" t="s">
        <v>1382</v>
      </c>
      <c r="H811" s="1" t="str">
        <f t="shared" si="92"/>
        <v>Romualdi</v>
      </c>
      <c r="I811" s="1" t="str">
        <f t="shared" si="95"/>
        <v>2010</v>
      </c>
      <c r="J811" s="1" t="str">
        <f t="shared" si="93"/>
        <v>Romualdi et al., 2010</v>
      </c>
      <c r="K811" s="9" t="s">
        <v>1773</v>
      </c>
      <c r="L811" s="1" t="str">
        <f t="shared" si="94"/>
        <v/>
      </c>
    </row>
    <row r="812" spans="1:15" ht="30" hidden="1" x14ac:dyDescent="0.25">
      <c r="A812" s="1">
        <f>INDEX(rq_evidence_review!A:A, MATCH(B812, rq_evidence_review!B:B, 0))</f>
        <v>4</v>
      </c>
      <c r="B812" s="6">
        <v>4.4000000000000004</v>
      </c>
      <c r="C812" s="1">
        <f t="shared" si="91"/>
        <v>806</v>
      </c>
      <c r="D812" s="1">
        <f>VLOOKUP(B812,rq_evidence_review!$B$1:$L$55,7,FALSE)</f>
        <v>111</v>
      </c>
      <c r="E812" s="8" t="s">
        <v>1383</v>
      </c>
      <c r="H812" s="1" t="str">
        <f t="shared" si="92"/>
        <v>Trolle</v>
      </c>
      <c r="I812" s="1" t="str">
        <f t="shared" si="95"/>
        <v>2007</v>
      </c>
      <c r="J812" s="1" t="str">
        <f t="shared" si="93"/>
        <v>Trolle et al., 2007</v>
      </c>
      <c r="K812" s="9" t="s">
        <v>1774</v>
      </c>
      <c r="L812" s="1" t="str">
        <f t="shared" si="94"/>
        <v/>
      </c>
    </row>
    <row r="813" spans="1:15" ht="30" hidden="1" x14ac:dyDescent="0.25">
      <c r="A813" s="1">
        <f>INDEX(rq_evidence_review!A:A, MATCH(B813, rq_evidence_review!B:B, 0))</f>
        <v>4</v>
      </c>
      <c r="B813" s="6">
        <v>4.4000000000000004</v>
      </c>
      <c r="C813" s="1">
        <f t="shared" si="91"/>
        <v>807</v>
      </c>
      <c r="D813" s="1">
        <f>VLOOKUP(B813,rq_evidence_review!$B$1:$L$55,7,FALSE)</f>
        <v>111</v>
      </c>
      <c r="E813" s="8" t="s">
        <v>1384</v>
      </c>
      <c r="H813" s="1" t="str">
        <f t="shared" si="92"/>
        <v>Trolle</v>
      </c>
      <c r="I813" s="1" t="str">
        <f t="shared" si="95"/>
        <v>2010</v>
      </c>
      <c r="J813" s="1" t="str">
        <f t="shared" si="93"/>
        <v>Trolle et al., 2010</v>
      </c>
      <c r="K813" s="9" t="s">
        <v>1775</v>
      </c>
      <c r="L813" s="1" t="str">
        <f t="shared" si="94"/>
        <v/>
      </c>
    </row>
    <row r="814" spans="1:15" ht="30" hidden="1" x14ac:dyDescent="0.25">
      <c r="A814" s="1">
        <f>INDEX(rq_evidence_review!A:A, MATCH(B814, rq_evidence_review!B:B, 0))</f>
        <v>4</v>
      </c>
      <c r="B814" s="6">
        <v>4.4000000000000004</v>
      </c>
      <c r="C814" s="1">
        <f t="shared" si="91"/>
        <v>808</v>
      </c>
      <c r="D814" s="1">
        <f>VLOOKUP(B814,rq_evidence_review!$B$1:$L$55,7,FALSE)</f>
        <v>111</v>
      </c>
      <c r="E814" s="8" t="s">
        <v>1385</v>
      </c>
      <c r="H814" s="1" t="str">
        <f t="shared" si="92"/>
        <v>Haydardedeoglu</v>
      </c>
      <c r="I814" s="1" t="str">
        <f t="shared" si="95"/>
        <v>2009</v>
      </c>
      <c r="J814" s="1" t="str">
        <f t="shared" si="93"/>
        <v>Haydardedeoglu et al., 2009</v>
      </c>
      <c r="K814" s="9" t="s">
        <v>1776</v>
      </c>
      <c r="L814" s="1" t="str">
        <f t="shared" si="94"/>
        <v/>
      </c>
    </row>
    <row r="815" spans="1:15" ht="30" hidden="1" x14ac:dyDescent="0.25">
      <c r="A815" s="1">
        <f>INDEX(rq_evidence_review!A:A, MATCH(B815, rq_evidence_review!B:B, 0))</f>
        <v>4</v>
      </c>
      <c r="B815" s="6">
        <v>4.4000000000000004</v>
      </c>
      <c r="C815" s="1">
        <f t="shared" si="91"/>
        <v>809</v>
      </c>
      <c r="D815" s="1">
        <f>VLOOKUP(B815,rq_evidence_review!$B$1:$L$55,7,FALSE)</f>
        <v>111</v>
      </c>
      <c r="E815" s="8" t="s">
        <v>1386</v>
      </c>
      <c r="H815" s="1" t="str">
        <f t="shared" si="92"/>
        <v>Moro</v>
      </c>
      <c r="I815" s="1" t="str">
        <f t="shared" si="95"/>
        <v>2013</v>
      </c>
      <c r="J815" s="1" t="str">
        <f t="shared" si="93"/>
        <v>Moro et al., 2013</v>
      </c>
      <c r="K815" s="9" t="s">
        <v>1739</v>
      </c>
      <c r="L815" s="1" t="str">
        <f t="shared" si="94"/>
        <v/>
      </c>
    </row>
    <row r="816" spans="1:15" ht="30" hidden="1" x14ac:dyDescent="0.25">
      <c r="A816" s="1">
        <f>INDEX(rq_evidence_review!A:A, MATCH(B816, rq_evidence_review!B:B, 0))</f>
        <v>4</v>
      </c>
      <c r="B816" s="6">
        <v>4.4000000000000004</v>
      </c>
      <c r="C816" s="1">
        <f t="shared" si="91"/>
        <v>810</v>
      </c>
      <c r="D816" s="1">
        <f>VLOOKUP(B816,rq_evidence_review!$B$1:$L$55,7,FALSE)</f>
        <v>111</v>
      </c>
      <c r="E816" s="8" t="s">
        <v>1387</v>
      </c>
      <c r="H816" s="1" t="str">
        <f t="shared" si="92"/>
        <v>Esfahanian</v>
      </c>
      <c r="I816" s="1" t="str">
        <f t="shared" si="95"/>
        <v>2013</v>
      </c>
      <c r="J816" s="1" t="str">
        <f t="shared" si="93"/>
        <v>Esfahanian et al., 2013</v>
      </c>
      <c r="K816" s="9" t="s">
        <v>1777</v>
      </c>
      <c r="L816" s="1" t="str">
        <f t="shared" si="94"/>
        <v/>
      </c>
    </row>
    <row r="817" spans="1:14" ht="30" hidden="1" x14ac:dyDescent="0.25">
      <c r="A817" s="1">
        <f>INDEX(rq_evidence_review!A:A, MATCH(B817, rq_evidence_review!B:B, 0))</f>
        <v>4</v>
      </c>
      <c r="B817" s="6">
        <v>4.4000000000000004</v>
      </c>
      <c r="C817" s="1">
        <f t="shared" si="91"/>
        <v>811</v>
      </c>
      <c r="D817" s="1">
        <f>VLOOKUP(B817,rq_evidence_review!$B$1:$L$55,7,FALSE)</f>
        <v>111</v>
      </c>
      <c r="E817" s="8" t="s">
        <v>1388</v>
      </c>
      <c r="H817" s="1" t="str">
        <f t="shared" si="92"/>
        <v>Fux Otta</v>
      </c>
      <c r="I817" s="1" t="str">
        <f t="shared" si="95"/>
        <v>2010</v>
      </c>
      <c r="J817" s="1" t="str">
        <f t="shared" si="93"/>
        <v>Fux Otta et al., 2010</v>
      </c>
      <c r="K817" s="9" t="s">
        <v>1778</v>
      </c>
      <c r="L817" s="1" t="str">
        <f t="shared" si="94"/>
        <v/>
      </c>
    </row>
    <row r="818" spans="1:14" ht="30" hidden="1" x14ac:dyDescent="0.25">
      <c r="A818" s="1">
        <f>INDEX(rq_evidence_review!A:A, MATCH(B818, rq_evidence_review!B:B, 0))</f>
        <v>4</v>
      </c>
      <c r="B818" s="6">
        <v>4.4000000000000004</v>
      </c>
      <c r="C818" s="1">
        <f t="shared" si="91"/>
        <v>812</v>
      </c>
      <c r="D818" s="1">
        <f>VLOOKUP(B818,rq_evidence_review!$B$1:$L$55,7,FALSE)</f>
        <v>111</v>
      </c>
      <c r="E818" s="8" t="s">
        <v>1389</v>
      </c>
      <c r="H818" s="1" t="str">
        <f t="shared" si="92"/>
        <v>Harborne</v>
      </c>
      <c r="I818" s="1" t="str">
        <f t="shared" si="95"/>
        <v>2005</v>
      </c>
      <c r="J818" s="1" t="str">
        <f t="shared" si="93"/>
        <v>Harborne et al., 2005</v>
      </c>
      <c r="K818" s="9" t="s">
        <v>1779</v>
      </c>
      <c r="L818" s="1" t="str">
        <f t="shared" si="94"/>
        <v/>
      </c>
    </row>
    <row r="819" spans="1:14" ht="30" hidden="1" x14ac:dyDescent="0.25">
      <c r="A819" s="1">
        <f>INDEX(rq_evidence_review!A:A, MATCH(B819, rq_evidence_review!B:B, 0))</f>
        <v>4</v>
      </c>
      <c r="B819" s="6">
        <v>4.4000000000000004</v>
      </c>
      <c r="C819" s="1">
        <f t="shared" si="91"/>
        <v>813</v>
      </c>
      <c r="D819" s="1">
        <f>VLOOKUP(B819,rq_evidence_review!$B$1:$L$55,7,FALSE)</f>
        <v>111</v>
      </c>
      <c r="E819" s="8" t="s">
        <v>1390</v>
      </c>
      <c r="H819" s="1" t="str">
        <f t="shared" si="92"/>
        <v>Altinok</v>
      </c>
      <c r="I819" s="1" t="str">
        <f t="shared" si="95"/>
        <v>2018</v>
      </c>
      <c r="J819" s="1" t="str">
        <f t="shared" si="93"/>
        <v>Altinok et al., 2018</v>
      </c>
      <c r="K819" s="9" t="s">
        <v>1699</v>
      </c>
      <c r="L819" s="1" t="str">
        <f t="shared" si="94"/>
        <v/>
      </c>
    </row>
    <row r="820" spans="1:14" ht="45" hidden="1" x14ac:dyDescent="0.25">
      <c r="A820" s="1">
        <f>INDEX(rq_evidence_review!A:A, MATCH(B820, rq_evidence_review!B:B, 0))</f>
        <v>4</v>
      </c>
      <c r="B820" s="6">
        <v>4.4000000000000004</v>
      </c>
      <c r="C820" s="1">
        <f t="shared" si="91"/>
        <v>814</v>
      </c>
      <c r="D820" s="1">
        <f>VLOOKUP(B820,rq_evidence_review!$B$1:$L$55,7,FALSE)</f>
        <v>111</v>
      </c>
      <c r="E820" s="8" t="s">
        <v>1391</v>
      </c>
      <c r="H820" s="1" t="str">
        <f t="shared" si="92"/>
        <v>Bodur</v>
      </c>
      <c r="I820" s="1" t="str">
        <f t="shared" si="95"/>
        <v>2018</v>
      </c>
      <c r="J820" s="1" t="str">
        <f t="shared" si="93"/>
        <v>Bodur et al., 2018</v>
      </c>
      <c r="K820" s="9" t="s">
        <v>1683</v>
      </c>
      <c r="L820" s="1" t="str">
        <f t="shared" si="94"/>
        <v/>
      </c>
    </row>
    <row r="821" spans="1:14" ht="45" hidden="1" x14ac:dyDescent="0.25">
      <c r="A821" s="1">
        <f>INDEX(rq_evidence_review!A:A, MATCH(B821, rq_evidence_review!B:B, 0))</f>
        <v>4</v>
      </c>
      <c r="B821" s="6">
        <v>4.4000000000000004</v>
      </c>
      <c r="C821" s="1">
        <f t="shared" si="91"/>
        <v>815</v>
      </c>
      <c r="D821" s="1">
        <f>VLOOKUP(B821,rq_evidence_review!$B$1:$L$55,7,FALSE)</f>
        <v>111</v>
      </c>
      <c r="E821" s="8" t="s">
        <v>1392</v>
      </c>
      <c r="H821" s="1" t="str">
        <f t="shared" si="92"/>
        <v>Fonseka</v>
      </c>
      <c r="I821" s="1" t="str">
        <f t="shared" si="95"/>
        <v>2020</v>
      </c>
      <c r="J821" s="1" t="str">
        <f t="shared" si="93"/>
        <v>Fonseka et al., 2020</v>
      </c>
      <c r="L821" s="10">
        <v>32983332</v>
      </c>
      <c r="N821" s="1">
        <v>222155349</v>
      </c>
    </row>
    <row r="822" spans="1:14" ht="30" hidden="1" x14ac:dyDescent="0.25">
      <c r="A822" s="1">
        <f>INDEX(rq_evidence_review!A:A, MATCH(B822, rq_evidence_review!B:B, 0))</f>
        <v>4</v>
      </c>
      <c r="B822" s="6">
        <v>4.4000000000000004</v>
      </c>
      <c r="C822" s="1">
        <f t="shared" si="91"/>
        <v>816</v>
      </c>
      <c r="D822" s="1">
        <f>VLOOKUP(B822,rq_evidence_review!$B$1:$L$55,7,FALSE)</f>
        <v>111</v>
      </c>
      <c r="E822" s="8" t="s">
        <v>1393</v>
      </c>
      <c r="H822" s="1" t="str">
        <f t="shared" si="92"/>
        <v>Glintborg</v>
      </c>
      <c r="I822" s="1" t="str">
        <f t="shared" si="95"/>
        <v>2017</v>
      </c>
      <c r="J822" s="1" t="str">
        <f t="shared" si="93"/>
        <v>Glintborg et al., 2017</v>
      </c>
      <c r="K822" s="9" t="s">
        <v>1780</v>
      </c>
      <c r="L822" s="10">
        <v>28432082</v>
      </c>
    </row>
    <row r="823" spans="1:14" ht="45" hidden="1" x14ac:dyDescent="0.25">
      <c r="A823" s="1">
        <f>INDEX(rq_evidence_review!A:A, MATCH(B823, rq_evidence_review!B:B, 0))</f>
        <v>4</v>
      </c>
      <c r="B823" s="6">
        <v>4.4000000000000004</v>
      </c>
      <c r="C823" s="1">
        <f t="shared" si="91"/>
        <v>817</v>
      </c>
      <c r="D823" s="1">
        <f>VLOOKUP(B823,rq_evidence_review!$B$1:$L$55,7,FALSE)</f>
        <v>111</v>
      </c>
      <c r="E823" s="8" t="s">
        <v>1394</v>
      </c>
      <c r="H823" s="1" t="str">
        <f t="shared" si="92"/>
        <v>Sahu</v>
      </c>
      <c r="I823" s="1" t="str">
        <f t="shared" si="95"/>
        <v>2019</v>
      </c>
      <c r="J823" s="1" t="str">
        <f t="shared" si="93"/>
        <v>Sahu et al., 2019</v>
      </c>
      <c r="K823" s="9" t="s">
        <v>1745</v>
      </c>
      <c r="L823" s="1" t="str">
        <f t="shared" si="94"/>
        <v/>
      </c>
    </row>
    <row r="824" spans="1:14" ht="45" hidden="1" x14ac:dyDescent="0.25">
      <c r="A824" s="1">
        <f>INDEX(rq_evidence_review!A:A, MATCH(B824, rq_evidence_review!B:B, 0))</f>
        <v>4</v>
      </c>
      <c r="B824" s="6">
        <v>4.4000000000000004</v>
      </c>
      <c r="C824" s="1">
        <f t="shared" si="91"/>
        <v>818</v>
      </c>
      <c r="D824" s="1">
        <f>VLOOKUP(B824,rq_evidence_review!$B$1:$L$55,7,FALSE)</f>
        <v>111</v>
      </c>
      <c r="E824" s="8" t="s">
        <v>1395</v>
      </c>
      <c r="H824" s="1" t="str">
        <f t="shared" si="92"/>
        <v>Glintborg (1)</v>
      </c>
      <c r="I824" s="1" t="str">
        <f t="shared" si="95"/>
        <v>2014</v>
      </c>
      <c r="J824" s="1" t="str">
        <f t="shared" si="93"/>
        <v>Glintborg (1) et al., 2014</v>
      </c>
      <c r="K824" s="9" t="s">
        <v>1697</v>
      </c>
      <c r="L824" s="1" t="str">
        <f t="shared" si="94"/>
        <v/>
      </c>
    </row>
    <row r="825" spans="1:14" ht="45" hidden="1" x14ac:dyDescent="0.25">
      <c r="A825" s="1">
        <f>INDEX(rq_evidence_review!A:A, MATCH(B825, rq_evidence_review!B:B, 0))</f>
        <v>4</v>
      </c>
      <c r="B825" s="6">
        <v>4.4000000000000004</v>
      </c>
      <c r="C825" s="1">
        <f t="shared" si="91"/>
        <v>819</v>
      </c>
      <c r="D825" s="1">
        <f>VLOOKUP(B825,rq_evidence_review!$B$1:$L$55,7,FALSE)</f>
        <v>111</v>
      </c>
      <c r="E825" s="8" t="s">
        <v>1396</v>
      </c>
      <c r="H825" s="1" t="str">
        <f t="shared" si="92"/>
        <v>Glintborg (2) D</v>
      </c>
      <c r="I825" s="1" t="str">
        <f t="shared" si="95"/>
        <v>2014</v>
      </c>
      <c r="J825" s="1" t="str">
        <f t="shared" si="93"/>
        <v>Glintborg (2) D et al., 2014</v>
      </c>
      <c r="K825" s="9" t="s">
        <v>1698</v>
      </c>
      <c r="L825" s="10">
        <v>24906976</v>
      </c>
    </row>
    <row r="826" spans="1:14" ht="30" hidden="1" x14ac:dyDescent="0.25">
      <c r="A826" s="1">
        <f>INDEX(rq_evidence_review!A:A, MATCH(B826, rq_evidence_review!B:B, 0))</f>
        <v>4</v>
      </c>
      <c r="B826" s="6">
        <v>4.4000000000000004</v>
      </c>
      <c r="C826" s="1">
        <f t="shared" si="91"/>
        <v>820</v>
      </c>
      <c r="D826" s="1">
        <f>VLOOKUP(B826,rq_evidence_review!$B$1:$L$55,7,FALSE)</f>
        <v>111</v>
      </c>
      <c r="E826" s="8" t="s">
        <v>1397</v>
      </c>
      <c r="H826" s="1" t="str">
        <f t="shared" si="92"/>
        <v>Kaya</v>
      </c>
      <c r="I826" s="1" t="str">
        <f t="shared" si="95"/>
        <v>2015</v>
      </c>
      <c r="J826" s="1" t="str">
        <f t="shared" si="93"/>
        <v>Kaya et al., 2015</v>
      </c>
      <c r="K826" s="9" t="s">
        <v>1712</v>
      </c>
      <c r="L826" s="1" t="str">
        <f t="shared" si="94"/>
        <v/>
      </c>
    </row>
    <row r="827" spans="1:14" ht="45" hidden="1" x14ac:dyDescent="0.25">
      <c r="A827" s="1">
        <f>INDEX(rq_evidence_review!A:A, MATCH(B827, rq_evidence_review!B:B, 0))</f>
        <v>4</v>
      </c>
      <c r="B827" s="6">
        <v>4.4000000000000004</v>
      </c>
      <c r="C827" s="1">
        <f t="shared" si="91"/>
        <v>821</v>
      </c>
      <c r="D827" s="1">
        <f>VLOOKUP(B827,rq_evidence_review!$B$1:$L$55,7,FALSE)</f>
        <v>111</v>
      </c>
      <c r="E827" s="8" t="s">
        <v>1398</v>
      </c>
      <c r="H827" s="1" t="str">
        <f t="shared" si="92"/>
        <v>Kaya</v>
      </c>
      <c r="I827" s="1" t="str">
        <f t="shared" si="95"/>
        <v>2012</v>
      </c>
      <c r="J827" s="1" t="str">
        <f t="shared" si="93"/>
        <v>Kaya et al., 2012</v>
      </c>
      <c r="K827" s="9" t="s">
        <v>1711</v>
      </c>
      <c r="L827" s="1" t="str">
        <f t="shared" si="94"/>
        <v/>
      </c>
    </row>
    <row r="828" spans="1:14" ht="30" hidden="1" x14ac:dyDescent="0.25">
      <c r="A828" s="1">
        <f>INDEX(rq_evidence_review!A:A, MATCH(B828, rq_evidence_review!B:B, 0))</f>
        <v>4</v>
      </c>
      <c r="B828" s="6">
        <v>4.4000000000000004</v>
      </c>
      <c r="C828" s="1">
        <f t="shared" si="91"/>
        <v>822</v>
      </c>
      <c r="D828" s="1">
        <f>VLOOKUP(B828,rq_evidence_review!$B$1:$L$55,7,FALSE)</f>
        <v>111</v>
      </c>
      <c r="E828" s="8" t="s">
        <v>1399</v>
      </c>
      <c r="H828" s="1" t="str">
        <f t="shared" si="92"/>
        <v>Morin‐Papunen (1)</v>
      </c>
      <c r="I828" s="1" t="str">
        <f t="shared" si="95"/>
        <v>2003</v>
      </c>
      <c r="J828" s="1" t="str">
        <f t="shared" si="93"/>
        <v>Morin‐Papunen (1) et al., 2003</v>
      </c>
      <c r="K828" s="9" t="s">
        <v>1737</v>
      </c>
      <c r="L828" s="1" t="str">
        <f t="shared" si="94"/>
        <v/>
      </c>
    </row>
    <row r="829" spans="1:14" ht="30" hidden="1" x14ac:dyDescent="0.25">
      <c r="A829" s="1">
        <f>INDEX(rq_evidence_review!A:A, MATCH(B829, rq_evidence_review!B:B, 0))</f>
        <v>4</v>
      </c>
      <c r="B829" s="6">
        <v>4.4000000000000004</v>
      </c>
      <c r="C829" s="1">
        <f t="shared" si="91"/>
        <v>823</v>
      </c>
      <c r="D829" s="1">
        <f>VLOOKUP(B829,rq_evidence_review!$B$1:$L$55,7,FALSE)</f>
        <v>111</v>
      </c>
      <c r="E829" s="8" t="s">
        <v>1400</v>
      </c>
      <c r="H829" s="1" t="str">
        <f t="shared" si="92"/>
        <v>Essah P. A.</v>
      </c>
      <c r="I829" s="1" t="str">
        <f t="shared" si="95"/>
        <v>2011</v>
      </c>
      <c r="J829" s="1" t="str">
        <f t="shared" si="93"/>
        <v>Essah P. A. et al., 2011</v>
      </c>
      <c r="K829" s="9" t="s">
        <v>1694</v>
      </c>
      <c r="L829" s="1" t="str">
        <f t="shared" si="94"/>
        <v/>
      </c>
    </row>
    <row r="830" spans="1:14" ht="30" hidden="1" x14ac:dyDescent="0.25">
      <c r="A830" s="1">
        <f>INDEX(rq_evidence_review!A:A, MATCH(B830, rq_evidence_review!B:B, 0))</f>
        <v>4</v>
      </c>
      <c r="B830" s="6">
        <v>4.4000000000000004</v>
      </c>
      <c r="C830" s="1">
        <f t="shared" si="91"/>
        <v>824</v>
      </c>
      <c r="D830" s="1">
        <f>VLOOKUP(B830,rq_evidence_review!$B$1:$L$55,7,FALSE)</f>
        <v>111</v>
      </c>
      <c r="E830" s="8" t="s">
        <v>1401</v>
      </c>
      <c r="H830" s="1" t="str">
        <f t="shared" si="92"/>
        <v>Feng W.</v>
      </c>
      <c r="I830" s="1" t="str">
        <f t="shared" si="95"/>
        <v>2016</v>
      </c>
      <c r="J830" s="1" t="str">
        <f t="shared" si="93"/>
        <v>Feng W. et al., 2016</v>
      </c>
      <c r="K830" s="9" t="s">
        <v>1695</v>
      </c>
      <c r="L830" s="1" t="str">
        <f t="shared" si="94"/>
        <v/>
      </c>
    </row>
    <row r="831" spans="1:14" ht="30" hidden="1" x14ac:dyDescent="0.25">
      <c r="A831" s="1">
        <f>INDEX(rq_evidence_review!A:A, MATCH(B831, rq_evidence_review!B:B, 0))</f>
        <v>4</v>
      </c>
      <c r="B831" s="6">
        <v>4.4000000000000004</v>
      </c>
      <c r="C831" s="1">
        <f t="shared" si="91"/>
        <v>825</v>
      </c>
      <c r="D831" s="1">
        <f>VLOOKUP(B831,rq_evidence_review!$B$1:$L$55,7,FALSE)</f>
        <v>111</v>
      </c>
      <c r="E831" s="8" t="s">
        <v>1402</v>
      </c>
      <c r="H831" s="1" t="str">
        <f t="shared" si="92"/>
        <v>Rautio K.</v>
      </c>
      <c r="I831" s="1" t="str">
        <f t="shared" si="95"/>
        <v>2005</v>
      </c>
      <c r="J831" s="1" t="str">
        <f t="shared" si="93"/>
        <v>Rautio K. et al., 2005</v>
      </c>
      <c r="K831" s="9" t="s">
        <v>1738</v>
      </c>
      <c r="L831" s="1" t="str">
        <f t="shared" si="94"/>
        <v/>
      </c>
    </row>
    <row r="832" spans="1:14" ht="30" hidden="1" x14ac:dyDescent="0.25">
      <c r="A832" s="1">
        <f>INDEX(rq_evidence_review!A:A, MATCH(B832, rq_evidence_review!B:B, 0))</f>
        <v>4</v>
      </c>
      <c r="B832" s="6">
        <v>4.4000000000000004</v>
      </c>
      <c r="C832" s="1">
        <f t="shared" si="91"/>
        <v>826</v>
      </c>
      <c r="D832" s="1">
        <f>VLOOKUP(B832,rq_evidence_review!$B$1:$L$55,7,FALSE)</f>
        <v>111</v>
      </c>
      <c r="E832" s="8" t="s">
        <v>1403</v>
      </c>
      <c r="H832" s="1" t="str">
        <f t="shared" si="92"/>
        <v>Al-Zubeidi H</v>
      </c>
      <c r="I832" s="1" t="str">
        <f t="shared" si="95"/>
        <v>2015</v>
      </c>
      <c r="J832" s="1" t="str">
        <f t="shared" si="93"/>
        <v>Al-Zubeidi H et al., 2015</v>
      </c>
      <c r="K832" s="1" t="s">
        <v>1677</v>
      </c>
      <c r="L832" s="1" t="str">
        <f t="shared" si="94"/>
        <v/>
      </c>
    </row>
    <row r="833" spans="1:15" ht="30" hidden="1" x14ac:dyDescent="0.25">
      <c r="A833" s="1">
        <f>INDEX(rq_evidence_review!A:A, MATCH(B833, rq_evidence_review!B:B, 0))</f>
        <v>4</v>
      </c>
      <c r="B833" s="6">
        <v>4.4000000000000004</v>
      </c>
      <c r="C833" s="1">
        <f t="shared" si="91"/>
        <v>827</v>
      </c>
      <c r="D833" s="1">
        <f>VLOOKUP(B833,rq_evidence_review!$B$1:$L$55,7,FALSE)</f>
        <v>111</v>
      </c>
      <c r="E833" s="8" t="s">
        <v>1404</v>
      </c>
      <c r="H833" s="1" t="str">
        <f t="shared" si="92"/>
        <v>Christakou C</v>
      </c>
      <c r="I833" s="1" t="str">
        <f t="shared" si="95"/>
        <v>2014</v>
      </c>
      <c r="J833" s="1" t="str">
        <f t="shared" si="93"/>
        <v>Christakou C et al., 2014</v>
      </c>
      <c r="K833" s="9" t="s">
        <v>1781</v>
      </c>
      <c r="L833" s="1" t="str">
        <f t="shared" si="94"/>
        <v/>
      </c>
    </row>
    <row r="834" spans="1:15" ht="30" hidden="1" x14ac:dyDescent="0.25">
      <c r="A834" s="1">
        <f>INDEX(rq_evidence_review!A:A, MATCH(B834, rq_evidence_review!B:B, 0))</f>
        <v>4</v>
      </c>
      <c r="B834" s="6">
        <v>4.4000000000000004</v>
      </c>
      <c r="C834" s="1">
        <f t="shared" si="91"/>
        <v>828</v>
      </c>
      <c r="D834" s="1">
        <f>VLOOKUP(B834,rq_evidence_review!$B$1:$L$55,7,FALSE)</f>
        <v>111</v>
      </c>
      <c r="E834" s="8" t="s">
        <v>1990</v>
      </c>
      <c r="H834" s="1" t="str">
        <f t="shared" si="92"/>
        <v>Aghamohammadzadeh N</v>
      </c>
      <c r="I834" s="1" t="str">
        <f t="shared" si="95"/>
        <v>2010</v>
      </c>
      <c r="J834" s="1" t="str">
        <f t="shared" si="93"/>
        <v>Aghamohammadzadeh N et al., 2010</v>
      </c>
      <c r="K834" s="1" t="str">
        <f>ExtractDOI(E834)</f>
        <v/>
      </c>
      <c r="L834" s="1" t="str">
        <f t="shared" si="94"/>
        <v/>
      </c>
      <c r="N834" s="1">
        <v>54806151</v>
      </c>
      <c r="O834" s="1" t="s">
        <v>1993</v>
      </c>
    </row>
    <row r="835" spans="1:15" ht="45" hidden="1" x14ac:dyDescent="0.25">
      <c r="A835" s="1">
        <f>INDEX(rq_evidence_review!A:A, MATCH(B835, rq_evidence_review!B:B, 0))</f>
        <v>4</v>
      </c>
      <c r="B835" s="6">
        <v>4.4000000000000004</v>
      </c>
      <c r="C835" s="1">
        <f t="shared" si="91"/>
        <v>829</v>
      </c>
      <c r="D835" s="1">
        <f>VLOOKUP(B835,rq_evidence_review!$B$1:$L$55,7,FALSE)</f>
        <v>111</v>
      </c>
      <c r="E835" s="8" t="s">
        <v>1405</v>
      </c>
      <c r="H835" s="1" t="str">
        <f t="shared" si="92"/>
        <v>El Maghraby HA</v>
      </c>
      <c r="I835" s="1" t="str">
        <f t="shared" si="95"/>
        <v>2015</v>
      </c>
      <c r="J835" s="1" t="str">
        <f t="shared" si="93"/>
        <v>El Maghraby HA et al., 2015</v>
      </c>
      <c r="K835" s="9" t="s">
        <v>1692</v>
      </c>
      <c r="L835" s="1" t="str">
        <f t="shared" si="94"/>
        <v/>
      </c>
    </row>
    <row r="836" spans="1:15" ht="30" hidden="1" x14ac:dyDescent="0.25">
      <c r="A836" s="1">
        <f>INDEX(rq_evidence_review!A:A, MATCH(B836, rq_evidence_review!B:B, 0))</f>
        <v>4</v>
      </c>
      <c r="B836" s="6">
        <v>4.4000000000000004</v>
      </c>
      <c r="C836" s="1">
        <f t="shared" si="91"/>
        <v>830</v>
      </c>
      <c r="D836" s="1">
        <f>VLOOKUP(B836,rq_evidence_review!$B$1:$L$55,7,FALSE)</f>
        <v>111</v>
      </c>
      <c r="E836" s="8" t="s">
        <v>1406</v>
      </c>
      <c r="H836" s="1" t="str">
        <f t="shared" si="92"/>
        <v>Elter K</v>
      </c>
      <c r="I836" s="1" t="str">
        <f t="shared" si="95"/>
        <v>2002</v>
      </c>
      <c r="J836" s="1" t="str">
        <f t="shared" si="93"/>
        <v>Elter K et al., 2002</v>
      </c>
      <c r="K836" s="9" t="s">
        <v>1693</v>
      </c>
      <c r="L836" s="1" t="str">
        <f t="shared" si="94"/>
        <v/>
      </c>
    </row>
    <row r="837" spans="1:15" ht="30" hidden="1" x14ac:dyDescent="0.25">
      <c r="A837" s="1">
        <f>INDEX(rq_evidence_review!A:A, MATCH(B837, rq_evidence_review!B:B, 0))</f>
        <v>4</v>
      </c>
      <c r="B837" s="6">
        <v>4.4000000000000004</v>
      </c>
      <c r="C837" s="1">
        <f t="shared" si="91"/>
        <v>831</v>
      </c>
      <c r="D837" s="1">
        <f>VLOOKUP(B837,rq_evidence_review!$B$1:$L$55,7,FALSE)</f>
        <v>111</v>
      </c>
      <c r="E837" s="8" t="s">
        <v>1407</v>
      </c>
      <c r="H837" s="1" t="str">
        <f t="shared" si="92"/>
        <v>Harborne L</v>
      </c>
      <c r="I837" s="1" t="str">
        <f t="shared" si="95"/>
        <v>2003</v>
      </c>
      <c r="J837" s="1" t="str">
        <f t="shared" si="93"/>
        <v>Harborne L et al., 2003</v>
      </c>
      <c r="K837" s="9" t="s">
        <v>1703</v>
      </c>
      <c r="L837" s="1" t="str">
        <f t="shared" si="94"/>
        <v/>
      </c>
    </row>
    <row r="838" spans="1:15" ht="30" hidden="1" x14ac:dyDescent="0.25">
      <c r="A838" s="1">
        <f>INDEX(rq_evidence_review!A:A, MATCH(B838, rq_evidence_review!B:B, 0))</f>
        <v>4</v>
      </c>
      <c r="B838" s="6">
        <v>4.4000000000000004</v>
      </c>
      <c r="C838" s="1">
        <f t="shared" si="91"/>
        <v>832</v>
      </c>
      <c r="D838" s="1">
        <f>VLOOKUP(B838,rq_evidence_review!$B$1:$L$55,7,FALSE)</f>
        <v>111</v>
      </c>
      <c r="E838" s="8" t="s">
        <v>1408</v>
      </c>
      <c r="H838" s="1" t="str">
        <f t="shared" si="92"/>
        <v>Bilgir O</v>
      </c>
      <c r="I838" s="1" t="str">
        <f t="shared" si="95"/>
        <v>2009</v>
      </c>
      <c r="J838" s="1" t="str">
        <f t="shared" si="93"/>
        <v>Bilgir O et al., 2009</v>
      </c>
      <c r="K838" s="9" t="s">
        <v>1682</v>
      </c>
      <c r="L838" s="1" t="str">
        <f t="shared" si="94"/>
        <v/>
      </c>
    </row>
    <row r="839" spans="1:15" ht="30" hidden="1" x14ac:dyDescent="0.25">
      <c r="A839" s="1">
        <f>INDEX(rq_evidence_review!A:A, MATCH(B839, rq_evidence_review!B:B, 0))</f>
        <v>4</v>
      </c>
      <c r="B839" s="6">
        <v>4.4000000000000004</v>
      </c>
      <c r="C839" s="1">
        <f t="shared" si="91"/>
        <v>833</v>
      </c>
      <c r="D839" s="1">
        <f>VLOOKUP(B839,rq_evidence_review!$B$1:$L$55,7,FALSE)</f>
        <v>111</v>
      </c>
      <c r="E839" s="8" t="s">
        <v>1409</v>
      </c>
      <c r="H839" s="1" t="str">
        <f t="shared" si="92"/>
        <v>Kilic S</v>
      </c>
      <c r="I839" s="1" t="str">
        <f t="shared" si="95"/>
        <v>2011</v>
      </c>
      <c r="J839" s="1" t="str">
        <f t="shared" si="93"/>
        <v>Kilic S et al., 2011</v>
      </c>
      <c r="K839" s="9" t="s">
        <v>1715</v>
      </c>
      <c r="L839" s="1" t="str">
        <f t="shared" si="94"/>
        <v/>
      </c>
    </row>
    <row r="840" spans="1:15" ht="30" hidden="1" x14ac:dyDescent="0.25">
      <c r="A840" s="1">
        <f>INDEX(rq_evidence_review!A:A, MATCH(B840, rq_evidence_review!B:B, 0))</f>
        <v>4</v>
      </c>
      <c r="B840" s="6">
        <v>4.4000000000000004</v>
      </c>
      <c r="C840" s="1">
        <f t="shared" si="91"/>
        <v>834</v>
      </c>
      <c r="D840" s="1">
        <f>VLOOKUP(B840,rq_evidence_review!$B$1:$L$55,7,FALSE)</f>
        <v>111</v>
      </c>
      <c r="E840" s="8" t="s">
        <v>1410</v>
      </c>
      <c r="H840" s="1" t="str">
        <f t="shared" si="92"/>
        <v>Kumar Y</v>
      </c>
      <c r="I840" s="1" t="str">
        <f t="shared" si="95"/>
        <v>2018</v>
      </c>
      <c r="J840" s="1" t="str">
        <f t="shared" si="93"/>
        <v>Kumar Y et al., 2018</v>
      </c>
      <c r="K840" s="9" t="s">
        <v>1717</v>
      </c>
      <c r="L840" s="1" t="str">
        <f t="shared" si="94"/>
        <v/>
      </c>
    </row>
    <row r="841" spans="1:15" ht="30" hidden="1" x14ac:dyDescent="0.25">
      <c r="A841" s="1">
        <f>INDEX(rq_evidence_review!A:A, MATCH(B841, rq_evidence_review!B:B, 0))</f>
        <v>4</v>
      </c>
      <c r="B841" s="6">
        <v>4.4000000000000004</v>
      </c>
      <c r="C841" s="1">
        <f t="shared" si="91"/>
        <v>835</v>
      </c>
      <c r="D841" s="1">
        <f>VLOOKUP(B841,rq_evidence_review!$B$1:$L$55,7,FALSE)</f>
        <v>111</v>
      </c>
      <c r="E841" s="8" t="s">
        <v>1411</v>
      </c>
      <c r="H841" s="1" t="str">
        <f t="shared" si="92"/>
        <v>Lv L</v>
      </c>
      <c r="I841" s="1" t="str">
        <f t="shared" si="95"/>
        <v>2005</v>
      </c>
      <c r="J841" s="1" t="str">
        <f t="shared" si="93"/>
        <v>Lv L et al., 2005</v>
      </c>
      <c r="K841" s="9" t="s">
        <v>1724</v>
      </c>
      <c r="L841" s="1" t="str">
        <f t="shared" si="94"/>
        <v/>
      </c>
    </row>
    <row r="842" spans="1:15" ht="30" hidden="1" x14ac:dyDescent="0.25">
      <c r="A842" s="1">
        <f>INDEX(rq_evidence_review!A:A, MATCH(B842, rq_evidence_review!B:B, 0))</f>
        <v>4</v>
      </c>
      <c r="B842" s="6">
        <v>4.4000000000000004</v>
      </c>
      <c r="C842" s="1">
        <f t="shared" si="91"/>
        <v>836</v>
      </c>
      <c r="D842" s="1">
        <f>VLOOKUP(B842,rq_evidence_review!$B$1:$L$55,7,FALSE)</f>
        <v>111</v>
      </c>
      <c r="E842" s="8" t="s">
        <v>1412</v>
      </c>
      <c r="H842" s="1" t="str">
        <f t="shared" si="92"/>
        <v>Meyer C</v>
      </c>
      <c r="I842" s="1" t="str">
        <f t="shared" si="95"/>
        <v>2007</v>
      </c>
      <c r="J842" s="1" t="str">
        <f t="shared" si="93"/>
        <v>Meyer C et al., 2007</v>
      </c>
      <c r="K842" s="9" t="s">
        <v>1728</v>
      </c>
      <c r="L842" s="1" t="str">
        <f t="shared" si="94"/>
        <v/>
      </c>
    </row>
    <row r="843" spans="1:15" ht="30" hidden="1" x14ac:dyDescent="0.25">
      <c r="A843" s="1">
        <f>INDEX(rq_evidence_review!A:A, MATCH(B843, rq_evidence_review!B:B, 0))</f>
        <v>4</v>
      </c>
      <c r="B843" s="6">
        <v>4.4000000000000004</v>
      </c>
      <c r="C843" s="1">
        <f t="shared" si="91"/>
        <v>837</v>
      </c>
      <c r="D843" s="1">
        <f>VLOOKUP(B843,rq_evidence_review!$B$1:$L$55,7,FALSE)</f>
        <v>111</v>
      </c>
      <c r="E843" s="8" t="s">
        <v>1413</v>
      </c>
      <c r="H843" s="1" t="str">
        <f t="shared" si="92"/>
        <v>Mhao NS</v>
      </c>
      <c r="I843" s="1" t="str">
        <f t="shared" si="95"/>
        <v>2015</v>
      </c>
      <c r="J843" s="1" t="str">
        <f t="shared" si="93"/>
        <v>Mhao NS et al., 2015</v>
      </c>
      <c r="K843" s="9" t="s">
        <v>1732</v>
      </c>
      <c r="L843" s="1" t="str">
        <f t="shared" si="94"/>
        <v/>
      </c>
    </row>
    <row r="844" spans="1:15" ht="30" hidden="1" x14ac:dyDescent="0.25">
      <c r="A844" s="1">
        <f>INDEX(rq_evidence_review!A:A, MATCH(B844, rq_evidence_review!B:B, 0))</f>
        <v>4</v>
      </c>
      <c r="B844" s="6">
        <v>4.4000000000000004</v>
      </c>
      <c r="C844" s="1">
        <f t="shared" si="91"/>
        <v>838</v>
      </c>
      <c r="D844" s="1">
        <f>VLOOKUP(B844,rq_evidence_review!$B$1:$L$55,7,FALSE)</f>
        <v>111</v>
      </c>
      <c r="E844" s="8" t="s">
        <v>1414</v>
      </c>
      <c r="H844" s="1" t="str">
        <f t="shared" si="92"/>
        <v>Moran LJ</v>
      </c>
      <c r="I844" s="1" t="str">
        <f t="shared" si="95"/>
        <v>2010</v>
      </c>
      <c r="J844" s="1" t="str">
        <f t="shared" si="93"/>
        <v>Moran LJ et al., 2010</v>
      </c>
      <c r="K844" s="9" t="s">
        <v>1731</v>
      </c>
      <c r="L844" s="1" t="str">
        <f t="shared" si="94"/>
        <v/>
      </c>
    </row>
    <row r="845" spans="1:15" ht="45" hidden="1" x14ac:dyDescent="0.25">
      <c r="A845" s="1">
        <f>INDEX(rq_evidence_review!A:A, MATCH(B845, rq_evidence_review!B:B, 0))</f>
        <v>4</v>
      </c>
      <c r="B845" s="6">
        <v>4.4000000000000004</v>
      </c>
      <c r="C845" s="1">
        <f t="shared" si="91"/>
        <v>839</v>
      </c>
      <c r="D845" s="1">
        <f>VLOOKUP(B845,rq_evidence_review!$B$1:$L$55,7,FALSE)</f>
        <v>111</v>
      </c>
      <c r="E845" s="8" t="s">
        <v>1415</v>
      </c>
      <c r="H845" s="1" t="str">
        <f t="shared" si="92"/>
        <v>Morin-Papunen (2) L</v>
      </c>
      <c r="I845" s="1" t="str">
        <f t="shared" si="95"/>
        <v>2003</v>
      </c>
      <c r="J845" s="1" t="str">
        <f t="shared" si="93"/>
        <v>Morin-Papunen (2) L et al., 2003</v>
      </c>
      <c r="K845" s="9" t="s">
        <v>1735</v>
      </c>
      <c r="L845" s="1" t="str">
        <f t="shared" si="94"/>
        <v/>
      </c>
    </row>
    <row r="846" spans="1:15" ht="30" hidden="1" x14ac:dyDescent="0.25">
      <c r="A846" s="1">
        <f>INDEX(rq_evidence_review!A:A, MATCH(B846, rq_evidence_review!B:B, 0))</f>
        <v>4</v>
      </c>
      <c r="B846" s="6">
        <v>4.4000000000000004</v>
      </c>
      <c r="C846" s="1">
        <f t="shared" si="91"/>
        <v>840</v>
      </c>
      <c r="D846" s="1">
        <f>VLOOKUP(B846,rq_evidence_review!$B$1:$L$55,7,FALSE)</f>
        <v>111</v>
      </c>
      <c r="E846" s="8" t="s">
        <v>1416</v>
      </c>
      <c r="H846" s="1" t="str">
        <f t="shared" si="92"/>
        <v>Ozgurtas T</v>
      </c>
      <c r="I846" s="1" t="str">
        <f t="shared" si="95"/>
        <v>2008</v>
      </c>
      <c r="J846" s="1" t="str">
        <f t="shared" si="93"/>
        <v>Ozgurtas T et al., 2008</v>
      </c>
      <c r="K846" s="9" t="s">
        <v>1741</v>
      </c>
      <c r="L846" s="1" t="str">
        <f t="shared" si="94"/>
        <v/>
      </c>
    </row>
    <row r="847" spans="1:15" ht="30" hidden="1" x14ac:dyDescent="0.25">
      <c r="A847" s="1">
        <f>INDEX(rq_evidence_review!A:A, MATCH(B847, rq_evidence_review!B:B, 0))</f>
        <v>4</v>
      </c>
      <c r="B847" s="6">
        <v>4.4000000000000004</v>
      </c>
      <c r="C847" s="1">
        <f t="shared" si="91"/>
        <v>841</v>
      </c>
      <c r="D847" s="1">
        <f>VLOOKUP(B847,rq_evidence_review!$B$1:$L$55,7,FALSE)</f>
        <v>111</v>
      </c>
      <c r="E847" s="8" t="s">
        <v>1417</v>
      </c>
      <c r="H847" s="1" t="str">
        <f t="shared" si="92"/>
        <v>Wu J</v>
      </c>
      <c r="I847" s="1" t="str">
        <f t="shared" si="95"/>
        <v>2008</v>
      </c>
      <c r="J847" s="1" t="str">
        <f t="shared" si="93"/>
        <v>Wu J et al., 2008</v>
      </c>
      <c r="K847" s="9" t="s">
        <v>1754</v>
      </c>
      <c r="L847" s="1" t="str">
        <f t="shared" si="94"/>
        <v/>
      </c>
    </row>
    <row r="848" spans="1:15" ht="30" hidden="1" x14ac:dyDescent="0.25">
      <c r="A848" s="1">
        <f>INDEX(rq_evidence_review!A:A, MATCH(B848, rq_evidence_review!B:B, 0))</f>
        <v>4</v>
      </c>
      <c r="B848" s="6">
        <v>4.4000000000000004</v>
      </c>
      <c r="C848" s="1">
        <f t="shared" si="91"/>
        <v>842</v>
      </c>
      <c r="D848" s="1">
        <f>VLOOKUP(B848,rq_evidence_review!$B$1:$L$55,7,FALSE)</f>
        <v>111</v>
      </c>
      <c r="E848" s="8" t="s">
        <v>1418</v>
      </c>
      <c r="H848" s="1" t="str">
        <f t="shared" si="92"/>
        <v>Morin-Papunen L</v>
      </c>
      <c r="I848" s="1" t="str">
        <f t="shared" si="95"/>
        <v>2000</v>
      </c>
      <c r="J848" s="1" t="str">
        <f t="shared" si="93"/>
        <v>Morin-Papunen L et al., 2000</v>
      </c>
      <c r="K848" s="9" t="s">
        <v>1736</v>
      </c>
      <c r="L848" s="1" t="str">
        <f t="shared" si="94"/>
        <v/>
      </c>
    </row>
    <row r="849" spans="1:12" ht="45" hidden="1" x14ac:dyDescent="0.25">
      <c r="A849" s="1">
        <f>INDEX(rq_evidence_review!A:A, MATCH(B849, rq_evidence_review!B:B, 0))</f>
        <v>4</v>
      </c>
      <c r="B849" s="6">
        <v>4.4000000000000004</v>
      </c>
      <c r="C849" s="1">
        <f t="shared" si="91"/>
        <v>843</v>
      </c>
      <c r="D849" s="1">
        <f>VLOOKUP(B849,rq_evidence_review!$B$1:$L$55,7,FALSE)</f>
        <v>111</v>
      </c>
      <c r="E849" s="8" t="s">
        <v>1419</v>
      </c>
      <c r="H849" s="1" t="str">
        <f t="shared" si="92"/>
        <v>Panidis D</v>
      </c>
      <c r="I849" s="1" t="str">
        <f t="shared" si="95"/>
        <v>2011</v>
      </c>
      <c r="J849" s="1" t="str">
        <f t="shared" si="93"/>
        <v>Panidis D et al., 2011</v>
      </c>
      <c r="K849" s="9" t="s">
        <v>1742</v>
      </c>
      <c r="L849" s="1" t="str">
        <f t="shared" si="94"/>
        <v/>
      </c>
    </row>
    <row r="850" spans="1:12" ht="30" hidden="1" x14ac:dyDescent="0.25">
      <c r="A850" s="1">
        <f>INDEX(rq_evidence_review!A:A, MATCH(B850, rq_evidence_review!B:B, 0))</f>
        <v>4</v>
      </c>
      <c r="B850" s="6">
        <v>4.4000000000000004</v>
      </c>
      <c r="C850" s="1">
        <f t="shared" si="91"/>
        <v>844</v>
      </c>
      <c r="D850" s="1">
        <f>VLOOKUP(B850,rq_evidence_review!$B$1:$L$55,7,FALSE)</f>
        <v>111</v>
      </c>
      <c r="E850" s="8" t="s">
        <v>1420</v>
      </c>
      <c r="H850" s="1" t="str">
        <f t="shared" si="92"/>
        <v>Hutchison</v>
      </c>
      <c r="I850" s="1" t="str">
        <f t="shared" si="95"/>
        <v>2008</v>
      </c>
      <c r="J850" s="1" t="str">
        <f t="shared" si="93"/>
        <v>Hutchison et al., 2008</v>
      </c>
      <c r="K850" s="9" t="s">
        <v>1730</v>
      </c>
      <c r="L850" s="1" t="str">
        <f t="shared" si="94"/>
        <v/>
      </c>
    </row>
    <row r="851" spans="1:12" ht="45" hidden="1" x14ac:dyDescent="0.25">
      <c r="A851" s="1">
        <f>INDEX(rq_evidence_review!A:A, MATCH(B851, rq_evidence_review!B:B, 0))</f>
        <v>4</v>
      </c>
      <c r="B851" s="6">
        <v>4.4000000000000004</v>
      </c>
      <c r="C851" s="1">
        <f t="shared" si="91"/>
        <v>845</v>
      </c>
      <c r="D851" s="1">
        <f>VLOOKUP(B851,rq_evidence_review!$B$1:$L$55,7,FALSE)</f>
        <v>111</v>
      </c>
      <c r="E851" s="8" t="s">
        <v>1421</v>
      </c>
      <c r="H851" s="1" t="str">
        <f t="shared" si="92"/>
        <v>Kebapcilar</v>
      </c>
      <c r="I851" s="1" t="str">
        <f t="shared" si="95"/>
        <v>2009</v>
      </c>
      <c r="J851" s="1" t="str">
        <f t="shared" si="93"/>
        <v>Kebapcilar et al., 2009</v>
      </c>
      <c r="K851" s="9" t="s">
        <v>1713</v>
      </c>
      <c r="L851" s="1" t="str">
        <f t="shared" si="94"/>
        <v/>
      </c>
    </row>
    <row r="852" spans="1:12" ht="45" hidden="1" x14ac:dyDescent="0.25">
      <c r="A852" s="1">
        <f>INDEX(rq_evidence_review!A:A, MATCH(B852, rq_evidence_review!B:B, 0))</f>
        <v>4</v>
      </c>
      <c r="B852" s="6">
        <v>4.4000000000000004</v>
      </c>
      <c r="C852" s="1">
        <f t="shared" si="91"/>
        <v>846</v>
      </c>
      <c r="D852" s="1">
        <f>VLOOKUP(B852,rq_evidence_review!$B$1:$L$55,7,FALSE)</f>
        <v>111</v>
      </c>
      <c r="E852" s="8" t="s">
        <v>1422</v>
      </c>
      <c r="H852" s="1" t="str">
        <f t="shared" si="92"/>
        <v>Luque-Ramírez</v>
      </c>
      <c r="I852" s="1" t="str">
        <f t="shared" si="95"/>
        <v>2009</v>
      </c>
      <c r="J852" s="1" t="str">
        <f t="shared" si="93"/>
        <v>Luque-Ramírez et al., 2009</v>
      </c>
      <c r="K852" s="9" t="s">
        <v>1723</v>
      </c>
      <c r="L852" s="1" t="str">
        <f t="shared" si="94"/>
        <v/>
      </c>
    </row>
    <row r="853" spans="1:12" ht="30" hidden="1" x14ac:dyDescent="0.25">
      <c r="A853" s="1">
        <f>INDEX(rq_evidence_review!A:A, MATCH(B853, rq_evidence_review!B:B, 0))</f>
        <v>4</v>
      </c>
      <c r="B853" s="6">
        <v>4.4000000000000004</v>
      </c>
      <c r="C853" s="1">
        <f t="shared" si="91"/>
        <v>847</v>
      </c>
      <c r="D853" s="1">
        <f>VLOOKUP(B853,rq_evidence_review!$B$1:$L$55,7,FALSE)</f>
        <v>111</v>
      </c>
      <c r="E853" s="8" t="s">
        <v>1423</v>
      </c>
      <c r="H853" s="1" t="str">
        <f t="shared" si="92"/>
        <v>Mehrabian</v>
      </c>
      <c r="I853" s="1" t="str">
        <f t="shared" si="95"/>
        <v>2016</v>
      </c>
      <c r="J853" s="1" t="str">
        <f t="shared" si="93"/>
        <v>Mehrabian et al., 2016</v>
      </c>
      <c r="K853" s="9" t="s">
        <v>1727</v>
      </c>
      <c r="L853" s="1" t="str">
        <f t="shared" si="94"/>
        <v/>
      </c>
    </row>
    <row r="854" spans="1:12" ht="45" hidden="1" x14ac:dyDescent="0.25">
      <c r="A854" s="1">
        <f>INDEX(rq_evidence_review!A:A, MATCH(B854, rq_evidence_review!B:B, 0))</f>
        <v>4</v>
      </c>
      <c r="B854" s="6">
        <v>4.4000000000000004</v>
      </c>
      <c r="C854" s="1">
        <f t="shared" si="91"/>
        <v>848</v>
      </c>
      <c r="D854" s="1">
        <f>VLOOKUP(B854,rq_evidence_review!$B$1:$L$55,7,FALSE)</f>
        <v>111</v>
      </c>
      <c r="E854" s="8" t="s">
        <v>1424</v>
      </c>
      <c r="H854" s="1" t="str">
        <f t="shared" si="92"/>
        <v>Cibula D</v>
      </c>
      <c r="I854" s="1" t="str">
        <f t="shared" si="95"/>
        <v>2005</v>
      </c>
      <c r="J854" s="1" t="str">
        <f t="shared" si="93"/>
        <v>Cibula D et al., 2005</v>
      </c>
      <c r="K854" s="1" t="s">
        <v>1687</v>
      </c>
      <c r="L854" s="1" t="str">
        <f t="shared" si="94"/>
        <v/>
      </c>
    </row>
    <row r="855" spans="1:12" ht="30" hidden="1" x14ac:dyDescent="0.25">
      <c r="A855" s="1">
        <f>INDEX(rq_evidence_review!A:A, MATCH(B855, rq_evidence_review!B:B, 0))</f>
        <v>4</v>
      </c>
      <c r="B855" s="6">
        <v>4.4000000000000004</v>
      </c>
      <c r="C855" s="1">
        <f t="shared" si="91"/>
        <v>849</v>
      </c>
      <c r="D855" s="1">
        <f>VLOOKUP(B855,rq_evidence_review!$B$1:$L$55,7,FALSE)</f>
        <v>111</v>
      </c>
      <c r="E855" s="8" t="s">
        <v>1425</v>
      </c>
      <c r="H855" s="1" t="str">
        <f t="shared" si="92"/>
        <v>Wei</v>
      </c>
      <c r="I855" s="1" t="str">
        <f t="shared" si="95"/>
        <v>2012</v>
      </c>
      <c r="J855" s="1" t="str">
        <f t="shared" si="93"/>
        <v>Wei et al., 2012</v>
      </c>
      <c r="K855" s="9" t="s">
        <v>1753</v>
      </c>
      <c r="L855" s="1" t="str">
        <f t="shared" si="94"/>
        <v/>
      </c>
    </row>
    <row r="856" spans="1:12" ht="45" hidden="1" x14ac:dyDescent="0.25">
      <c r="A856" s="1">
        <f>INDEX(rq_evidence_review!A:A, MATCH(B856, rq_evidence_review!B:B, 0))</f>
        <v>4</v>
      </c>
      <c r="B856" s="6">
        <v>4.4000000000000004</v>
      </c>
      <c r="C856" s="1">
        <f t="shared" si="91"/>
        <v>850</v>
      </c>
      <c r="D856" s="1">
        <f>VLOOKUP(B856,rq_evidence_review!$B$1:$L$55,7,FALSE)</f>
        <v>111</v>
      </c>
      <c r="E856" s="8" t="s">
        <v>1426</v>
      </c>
      <c r="H856" s="1" t="str">
        <f t="shared" si="92"/>
        <v>Dardzinska</v>
      </c>
      <c r="I856" s="1" t="str">
        <f t="shared" si="95"/>
        <v>2014</v>
      </c>
      <c r="J856" s="1" t="str">
        <f t="shared" si="93"/>
        <v>Dardzinska et al., 2014</v>
      </c>
      <c r="K856" s="9" t="s">
        <v>1689</v>
      </c>
      <c r="L856" s="1" t="str">
        <f t="shared" si="94"/>
        <v/>
      </c>
    </row>
    <row r="857" spans="1:12" ht="30" hidden="1" x14ac:dyDescent="0.25">
      <c r="A857" s="1">
        <f>INDEX(rq_evidence_review!A:A, MATCH(B857, rq_evidence_review!B:B, 0))</f>
        <v>4</v>
      </c>
      <c r="B857" s="6">
        <v>4.4000000000000004</v>
      </c>
      <c r="C857" s="1">
        <f t="shared" si="91"/>
        <v>851</v>
      </c>
      <c r="D857" s="1">
        <f>VLOOKUP(B857,rq_evidence_review!$B$1:$L$55,7,FALSE)</f>
        <v>111</v>
      </c>
      <c r="E857" s="8" t="s">
        <v>1427</v>
      </c>
      <c r="H857" s="1" t="str">
        <f t="shared" si="92"/>
        <v>Hoeger</v>
      </c>
      <c r="I857" s="1" t="str">
        <f t="shared" si="95"/>
        <v>2004</v>
      </c>
      <c r="J857" s="1" t="str">
        <f t="shared" si="93"/>
        <v>Hoeger et al., 2004</v>
      </c>
      <c r="K857" s="1" t="s">
        <v>1650</v>
      </c>
      <c r="L857" s="1" t="str">
        <f t="shared" si="94"/>
        <v/>
      </c>
    </row>
    <row r="858" spans="1:12" ht="30" hidden="1" x14ac:dyDescent="0.25">
      <c r="A858" s="1">
        <f>INDEX(rq_evidence_review!A:A, MATCH(B858, rq_evidence_review!B:B, 0))</f>
        <v>4</v>
      </c>
      <c r="B858" s="6">
        <v>4.4000000000000004</v>
      </c>
      <c r="C858" s="1">
        <f t="shared" si="91"/>
        <v>852</v>
      </c>
      <c r="D858" s="1">
        <f>VLOOKUP(B858,rq_evidence_review!$B$1:$L$55,7,FALSE)</f>
        <v>111</v>
      </c>
      <c r="E858" s="8" t="s">
        <v>1428</v>
      </c>
      <c r="H858" s="1" t="str">
        <f t="shared" si="92"/>
        <v>Allen</v>
      </c>
      <c r="I858" s="1" t="str">
        <f t="shared" si="95"/>
        <v>2005</v>
      </c>
      <c r="J858" s="1" t="str">
        <f t="shared" si="93"/>
        <v>Allen et al., 2005</v>
      </c>
      <c r="K858" s="9" t="s">
        <v>1675</v>
      </c>
      <c r="L858" s="1" t="str">
        <f t="shared" si="94"/>
        <v/>
      </c>
    </row>
    <row r="859" spans="1:12" ht="30" hidden="1" x14ac:dyDescent="0.25">
      <c r="A859" s="1">
        <f>INDEX(rq_evidence_review!A:A, MATCH(B859, rq_evidence_review!B:B, 0))</f>
        <v>4</v>
      </c>
      <c r="B859" s="6">
        <v>4.4000000000000004</v>
      </c>
      <c r="C859" s="1">
        <f t="shared" si="91"/>
        <v>853</v>
      </c>
      <c r="D859" s="1">
        <f>VLOOKUP(B859,rq_evidence_review!$B$1:$L$55,7,FALSE)</f>
        <v>111</v>
      </c>
      <c r="E859" s="8" t="s">
        <v>1429</v>
      </c>
      <c r="H859" s="1" t="str">
        <f t="shared" si="92"/>
        <v>Elbandrawy</v>
      </c>
      <c r="I859" s="1" t="str">
        <f t="shared" si="95"/>
        <v>2022</v>
      </c>
      <c r="J859" s="1" t="str">
        <f t="shared" si="93"/>
        <v>Elbandrawy et al., 2022</v>
      </c>
      <c r="K859" s="1" t="s">
        <v>1782</v>
      </c>
      <c r="L859" s="1" t="str">
        <f t="shared" si="94"/>
        <v/>
      </c>
    </row>
    <row r="860" spans="1:12" ht="30" hidden="1" x14ac:dyDescent="0.25">
      <c r="A860" s="1">
        <f>INDEX(rq_evidence_review!A:A, MATCH(B860, rq_evidence_review!B:B, 0))</f>
        <v>4</v>
      </c>
      <c r="B860" s="6">
        <v>4.4000000000000004</v>
      </c>
      <c r="C860" s="1">
        <f t="shared" si="91"/>
        <v>854</v>
      </c>
      <c r="D860" s="1">
        <f>VLOOKUP(B860,rq_evidence_review!$B$1:$L$55,7,FALSE)</f>
        <v>111</v>
      </c>
      <c r="E860" s="8" t="s">
        <v>1430</v>
      </c>
      <c r="H860" s="1" t="str">
        <f t="shared" si="92"/>
        <v>Tiwari</v>
      </c>
      <c r="I860" s="1" t="str">
        <f t="shared" si="95"/>
        <v>2019</v>
      </c>
      <c r="J860" s="1" t="str">
        <f t="shared" si="93"/>
        <v>Tiwari et al., 2019</v>
      </c>
      <c r="K860" s="9" t="s">
        <v>1783</v>
      </c>
      <c r="L860" s="1" t="str">
        <f t="shared" si="94"/>
        <v/>
      </c>
    </row>
    <row r="861" spans="1:12" ht="30" hidden="1" x14ac:dyDescent="0.25">
      <c r="A861" s="1">
        <f>INDEX(rq_evidence_review!A:A, MATCH(B861, rq_evidence_review!B:B, 0))</f>
        <v>4</v>
      </c>
      <c r="B861" s="6">
        <v>4.4000000000000004</v>
      </c>
      <c r="C861" s="1">
        <f t="shared" si="91"/>
        <v>855</v>
      </c>
      <c r="D861" s="1">
        <f>VLOOKUP(B861,rq_evidence_review!$B$1:$L$55,7,FALSE)</f>
        <v>111</v>
      </c>
      <c r="E861" s="8" t="s">
        <v>1431</v>
      </c>
      <c r="H861" s="1" t="str">
        <f t="shared" si="92"/>
        <v>Tang T</v>
      </c>
      <c r="I861" s="1" t="str">
        <f t="shared" si="95"/>
        <v>2006</v>
      </c>
      <c r="J861" s="1" t="str">
        <f t="shared" si="93"/>
        <v>Tang T et al., 2006</v>
      </c>
      <c r="K861" s="9" t="s">
        <v>1784</v>
      </c>
      <c r="L861" s="1" t="str">
        <f t="shared" si="94"/>
        <v/>
      </c>
    </row>
    <row r="862" spans="1:12" ht="30" hidden="1" x14ac:dyDescent="0.25">
      <c r="A862" s="1">
        <f>INDEX(rq_evidence_review!A:A, MATCH(B862, rq_evidence_review!B:B, 0))</f>
        <v>4</v>
      </c>
      <c r="B862" s="6">
        <v>4.4000000000000004</v>
      </c>
      <c r="C862" s="1">
        <f t="shared" si="91"/>
        <v>856</v>
      </c>
      <c r="D862" s="1">
        <f>VLOOKUP(B862,rq_evidence_review!$B$1:$L$55,7,FALSE)</f>
        <v>111</v>
      </c>
      <c r="E862" s="8" t="s">
        <v>1432</v>
      </c>
      <c r="H862" s="1" t="str">
        <f t="shared" si="92"/>
        <v>Ladson</v>
      </c>
      <c r="I862" s="1" t="str">
        <f t="shared" si="95"/>
        <v>2011</v>
      </c>
      <c r="J862" s="1" t="str">
        <f t="shared" si="93"/>
        <v>Ladson et al., 2011</v>
      </c>
      <c r="K862" s="9" t="s">
        <v>1785</v>
      </c>
      <c r="L862" s="1" t="str">
        <f t="shared" si="94"/>
        <v/>
      </c>
    </row>
    <row r="863" spans="1:12" ht="45" hidden="1" x14ac:dyDescent="0.25">
      <c r="A863" s="1">
        <f>INDEX(rq_evidence_review!A:A, MATCH(B863, rq_evidence_review!B:B, 0))</f>
        <v>4</v>
      </c>
      <c r="B863" s="6">
        <v>4.4000000000000004</v>
      </c>
      <c r="C863" s="1">
        <f t="shared" si="91"/>
        <v>857</v>
      </c>
      <c r="D863" s="1">
        <f>VLOOKUP(B863,rq_evidence_review!$B$1:$L$55,7,FALSE)</f>
        <v>111</v>
      </c>
      <c r="E863" s="8" t="s">
        <v>1433</v>
      </c>
      <c r="H863" s="1" t="str">
        <f t="shared" si="92"/>
        <v>Pasquali R</v>
      </c>
      <c r="I863" s="1" t="str">
        <f t="shared" si="95"/>
        <v>2000</v>
      </c>
      <c r="J863" s="1" t="str">
        <f t="shared" si="93"/>
        <v>Pasquali R et al., 2000</v>
      </c>
      <c r="K863" s="9" t="s">
        <v>1786</v>
      </c>
      <c r="L863" s="1" t="str">
        <f t="shared" si="94"/>
        <v/>
      </c>
    </row>
    <row r="864" spans="1:12" ht="45" hidden="1" x14ac:dyDescent="0.25">
      <c r="A864" s="1">
        <f>INDEX(rq_evidence_review!A:A, MATCH(B864, rq_evidence_review!B:B, 0))</f>
        <v>4</v>
      </c>
      <c r="B864" s="6">
        <v>4.4000000000000004</v>
      </c>
      <c r="C864" s="1">
        <f t="shared" ref="C864:C927" si="96">C863+1</f>
        <v>858</v>
      </c>
      <c r="D864" s="1">
        <f>VLOOKUP(B864,rq_evidence_review!$B$1:$L$55,7,FALSE)</f>
        <v>111</v>
      </c>
      <c r="E864" s="8" t="s">
        <v>1434</v>
      </c>
      <c r="H864" s="1" t="str">
        <f t="shared" si="92"/>
        <v>Alpanes</v>
      </c>
      <c r="I864" s="1" t="str">
        <f t="shared" si="95"/>
        <v>2017</v>
      </c>
      <c r="J864" s="1" t="str">
        <f t="shared" si="93"/>
        <v>Alpanes et al., 2017</v>
      </c>
      <c r="K864" s="9" t="s">
        <v>1676</v>
      </c>
      <c r="L864" s="1" t="str">
        <f t="shared" si="94"/>
        <v/>
      </c>
    </row>
    <row r="865" spans="1:14" ht="30" hidden="1" x14ac:dyDescent="0.25">
      <c r="A865" s="1">
        <f>INDEX(rq_evidence_review!A:A, MATCH(B865, rq_evidence_review!B:B, 0))</f>
        <v>4</v>
      </c>
      <c r="B865" s="6">
        <v>4.4000000000000004</v>
      </c>
      <c r="C865" s="1">
        <f t="shared" si="96"/>
        <v>859</v>
      </c>
      <c r="D865" s="1">
        <f>VLOOKUP(B865,rq_evidence_review!$B$1:$L$55,7,FALSE)</f>
        <v>111</v>
      </c>
      <c r="E865" s="8" t="s">
        <v>1107</v>
      </c>
      <c r="H865" s="1" t="str">
        <f t="shared" si="92"/>
        <v>Ibáñez L</v>
      </c>
      <c r="I865" s="1" t="str">
        <f t="shared" si="95"/>
        <v>2004</v>
      </c>
      <c r="J865" s="1" t="str">
        <f t="shared" si="93"/>
        <v>Ibáñez L et al., 2004</v>
      </c>
      <c r="K865" s="9" t="s">
        <v>1704</v>
      </c>
      <c r="L865" s="1" t="str">
        <f t="shared" si="94"/>
        <v/>
      </c>
    </row>
    <row r="866" spans="1:14" ht="45" hidden="1" x14ac:dyDescent="0.25">
      <c r="A866" s="1">
        <f>INDEX(rq_evidence_review!A:A, MATCH(B866, rq_evidence_review!B:B, 0))</f>
        <v>4</v>
      </c>
      <c r="B866" s="6">
        <v>4.4000000000000004</v>
      </c>
      <c r="C866" s="1">
        <f t="shared" si="96"/>
        <v>860</v>
      </c>
      <c r="D866" s="1">
        <f>VLOOKUP(B866,rq_evidence_review!$B$1:$L$55,7,FALSE)</f>
        <v>111</v>
      </c>
      <c r="E866" s="8" t="s">
        <v>1108</v>
      </c>
      <c r="H866" s="1" t="str">
        <f t="shared" si="92"/>
        <v>Ibáñez L</v>
      </c>
      <c r="I866" s="1" t="str">
        <f t="shared" si="95"/>
        <v>2005</v>
      </c>
      <c r="J866" s="1" t="str">
        <f t="shared" si="93"/>
        <v>Ibáñez L et al., 2005</v>
      </c>
      <c r="K866" s="9" t="s">
        <v>1787</v>
      </c>
      <c r="L866" s="1" t="str">
        <f t="shared" si="94"/>
        <v/>
      </c>
    </row>
    <row r="867" spans="1:14" ht="30" hidden="1" x14ac:dyDescent="0.25">
      <c r="A867" s="1">
        <f>INDEX(rq_evidence_review!A:A, MATCH(B867, rq_evidence_review!B:B, 0))</f>
        <v>4</v>
      </c>
      <c r="B867" s="6">
        <v>4.4000000000000004</v>
      </c>
      <c r="C867" s="1">
        <f t="shared" si="96"/>
        <v>861</v>
      </c>
      <c r="D867" s="1">
        <f>VLOOKUP(B867,rq_evidence_review!$B$1:$L$55,7,FALSE)</f>
        <v>111</v>
      </c>
      <c r="E867" s="8" t="s">
        <v>1435</v>
      </c>
      <c r="H867" s="1" t="str">
        <f t="shared" ref="H867:H898" si="97">LEFT(E867, FIND(",", E867) - 1)</f>
        <v>Burchall</v>
      </c>
      <c r="I867" s="1" t="str">
        <f t="shared" si="95"/>
        <v>2017</v>
      </c>
      <c r="J867" s="1" t="str">
        <f t="shared" ref="J867:J929" si="98">H867 &amp; " et al., " &amp; I867</f>
        <v>Burchall et al., 2017</v>
      </c>
      <c r="K867" s="9" t="s">
        <v>1729</v>
      </c>
      <c r="L867" s="1" t="str">
        <f t="shared" ref="L867:L930" si="99">ExtractPMID(E867)</f>
        <v/>
      </c>
    </row>
    <row r="868" spans="1:14" ht="45" hidden="1" x14ac:dyDescent="0.25">
      <c r="A868" s="1">
        <f>INDEX(rq_evidence_review!A:A, MATCH(B868, rq_evidence_review!B:B, 0))</f>
        <v>4</v>
      </c>
      <c r="B868" s="6">
        <v>4.4000000000000004</v>
      </c>
      <c r="C868" s="1">
        <f t="shared" si="96"/>
        <v>862</v>
      </c>
      <c r="D868" s="1">
        <f>VLOOKUP(B868,rq_evidence_review!$B$1:$L$55,7,FALSE)</f>
        <v>111</v>
      </c>
      <c r="E868" s="8" t="s">
        <v>1436</v>
      </c>
      <c r="H868" s="1" t="str">
        <f t="shared" si="97"/>
        <v>Kebapcilar</v>
      </c>
      <c r="I868" s="1" t="str">
        <f t="shared" ref="I868:I899" si="100">ExtractYear(E868)</f>
        <v>2010</v>
      </c>
      <c r="J868" s="1" t="str">
        <f t="shared" si="98"/>
        <v>Kebapcilar et al., 2010</v>
      </c>
      <c r="K868" s="9" t="s">
        <v>1714</v>
      </c>
      <c r="L868" s="1" t="str">
        <f t="shared" si="99"/>
        <v/>
      </c>
    </row>
    <row r="869" spans="1:14" ht="30" hidden="1" x14ac:dyDescent="0.25">
      <c r="A869" s="1">
        <f>INDEX(rq_evidence_review!A:A, MATCH(B869, rq_evidence_review!B:B, 0))</f>
        <v>4</v>
      </c>
      <c r="B869" s="6">
        <v>4.4000000000000004</v>
      </c>
      <c r="C869" s="1">
        <f t="shared" si="96"/>
        <v>863</v>
      </c>
      <c r="D869" s="1">
        <f>VLOOKUP(B869,rq_evidence_review!$B$1:$L$55,7,FALSE)</f>
        <v>111</v>
      </c>
      <c r="E869" s="8" t="s">
        <v>1437</v>
      </c>
      <c r="H869" s="1" t="str">
        <f t="shared" si="97"/>
        <v>de Zegher</v>
      </c>
      <c r="I869" s="1" t="str">
        <f t="shared" si="100"/>
        <v>2021</v>
      </c>
      <c r="J869" s="1" t="str">
        <f t="shared" si="98"/>
        <v>de Zegher et al., 2021</v>
      </c>
      <c r="K869" s="9" t="s">
        <v>1706</v>
      </c>
      <c r="L869" s="1" t="str">
        <f t="shared" si="99"/>
        <v/>
      </c>
    </row>
    <row r="870" spans="1:14" ht="30" hidden="1" x14ac:dyDescent="0.25">
      <c r="A870" s="1">
        <f>INDEX(rq_evidence_review!A:A, MATCH(B870, rq_evidence_review!B:B, 0))</f>
        <v>4</v>
      </c>
      <c r="B870" s="6">
        <v>4.4000000000000004</v>
      </c>
      <c r="C870" s="1">
        <f t="shared" si="96"/>
        <v>864</v>
      </c>
      <c r="D870" s="1">
        <f>VLOOKUP(B870,rq_evidence_review!$B$1:$L$55,7,FALSE)</f>
        <v>111</v>
      </c>
      <c r="E870" s="8" t="s">
        <v>1438</v>
      </c>
      <c r="H870" s="1" t="str">
        <f t="shared" si="97"/>
        <v>Ibáñez</v>
      </c>
      <c r="I870" s="1" t="str">
        <f t="shared" si="100"/>
        <v>2020</v>
      </c>
      <c r="J870" s="1" t="str">
        <f t="shared" si="98"/>
        <v>Ibáñez et al., 2020</v>
      </c>
      <c r="K870" s="9" t="s">
        <v>1705</v>
      </c>
      <c r="L870" s="1" t="str">
        <f t="shared" si="99"/>
        <v/>
      </c>
    </row>
    <row r="871" spans="1:14" ht="45" hidden="1" x14ac:dyDescent="0.25">
      <c r="A871" s="1">
        <f>INDEX(rq_evidence_review!A:A, MATCH(B871, rq_evidence_review!B:B, 0))</f>
        <v>4</v>
      </c>
      <c r="B871" s="6">
        <v>4.4000000000000004</v>
      </c>
      <c r="C871" s="1">
        <f t="shared" si="96"/>
        <v>865</v>
      </c>
      <c r="D871" s="1">
        <f>VLOOKUP(B871,rq_evidence_review!$B$1:$L$55,7,FALSE)</f>
        <v>111</v>
      </c>
      <c r="E871" s="8" t="s">
        <v>1439</v>
      </c>
      <c r="H871" s="1" t="str">
        <f t="shared" si="97"/>
        <v>Díaz</v>
      </c>
      <c r="I871" s="1" t="str">
        <f t="shared" si="100"/>
        <v>2018</v>
      </c>
      <c r="J871" s="1" t="str">
        <f t="shared" si="98"/>
        <v>Díaz et al., 2018</v>
      </c>
      <c r="K871" s="9" t="s">
        <v>1709</v>
      </c>
      <c r="L871" s="1" t="str">
        <f t="shared" si="99"/>
        <v/>
      </c>
    </row>
    <row r="872" spans="1:14" ht="30" hidden="1" x14ac:dyDescent="0.25">
      <c r="A872" s="1">
        <f>INDEX(rq_evidence_review!A:A, MATCH(B872, rq_evidence_review!B:B, 0))</f>
        <v>4</v>
      </c>
      <c r="B872" s="6">
        <v>4.4000000000000004</v>
      </c>
      <c r="C872" s="1">
        <f t="shared" si="96"/>
        <v>866</v>
      </c>
      <c r="D872" s="1">
        <f>VLOOKUP(B872,rq_evidence_review!$B$1:$L$55,7,FALSE)</f>
        <v>111</v>
      </c>
      <c r="E872" s="8" t="s">
        <v>1440</v>
      </c>
      <c r="H872" s="1" t="str">
        <f t="shared" si="97"/>
        <v>Ibáñez</v>
      </c>
      <c r="I872" s="1" t="str">
        <f t="shared" si="100"/>
        <v>2017</v>
      </c>
      <c r="J872" s="1" t="str">
        <f t="shared" si="98"/>
        <v>Ibáñez et al., 2017</v>
      </c>
      <c r="K872" s="9" t="s">
        <v>1708</v>
      </c>
      <c r="L872" s="1" t="str">
        <f t="shared" si="99"/>
        <v/>
      </c>
    </row>
    <row r="873" spans="1:14" ht="30" hidden="1" x14ac:dyDescent="0.25">
      <c r="A873" s="1">
        <f>INDEX(rq_evidence_review!A:A, MATCH(B873, rq_evidence_review!B:B, 0))</f>
        <v>4</v>
      </c>
      <c r="B873" s="6">
        <v>4.4000000000000004</v>
      </c>
      <c r="C873" s="1">
        <f t="shared" si="96"/>
        <v>867</v>
      </c>
      <c r="D873" s="1">
        <f>VLOOKUP(B873,rq_evidence_review!$B$1:$L$55,7,FALSE)</f>
        <v>111</v>
      </c>
      <c r="E873" s="8" t="s">
        <v>1441</v>
      </c>
      <c r="H873" s="1" t="str">
        <f t="shared" si="97"/>
        <v>Malpique</v>
      </c>
      <c r="I873" s="1" t="str">
        <f t="shared" si="100"/>
        <v>2019</v>
      </c>
      <c r="J873" s="1" t="str">
        <f t="shared" si="98"/>
        <v>Malpique et al., 2019</v>
      </c>
      <c r="K873" s="9" t="s">
        <v>1707</v>
      </c>
      <c r="L873" s="1" t="str">
        <f t="shared" si="99"/>
        <v/>
      </c>
    </row>
    <row r="874" spans="1:14" ht="30" hidden="1" x14ac:dyDescent="0.25">
      <c r="A874" s="1">
        <f>INDEX(rq_evidence_review!A:A, MATCH(B874, rq_evidence_review!B:B, 0))</f>
        <v>4</v>
      </c>
      <c r="B874" s="6">
        <v>4.4000000000000004</v>
      </c>
      <c r="C874" s="1">
        <f t="shared" si="96"/>
        <v>868</v>
      </c>
      <c r="D874" s="1">
        <f>VLOOKUP(B874,rq_evidence_review!$B$1:$L$55,7,FALSE)</f>
        <v>111</v>
      </c>
      <c r="E874" s="8" t="s">
        <v>1442</v>
      </c>
      <c r="H874" s="1" t="str">
        <f t="shared" si="97"/>
        <v>Dorgham</v>
      </c>
      <c r="I874" s="1" t="str">
        <f t="shared" si="100"/>
        <v>2021</v>
      </c>
      <c r="J874" s="1" t="str">
        <f t="shared" si="98"/>
        <v>Dorgham et al., 2021</v>
      </c>
      <c r="K874" s="9" t="s">
        <v>1691</v>
      </c>
      <c r="L874" s="10">
        <v>33683076</v>
      </c>
    </row>
    <row r="875" spans="1:14" ht="30" hidden="1" x14ac:dyDescent="0.25">
      <c r="A875" s="1">
        <f>INDEX(rq_evidence_review!A:A, MATCH(B875, rq_evidence_review!B:B, 0))</f>
        <v>4</v>
      </c>
      <c r="B875" s="6">
        <v>4.4000000000000004</v>
      </c>
      <c r="C875" s="1">
        <f t="shared" si="96"/>
        <v>869</v>
      </c>
      <c r="D875" s="1">
        <f>VLOOKUP(B875,rq_evidence_review!$B$1:$L$55,7,FALSE)</f>
        <v>111</v>
      </c>
      <c r="E875" s="8" t="s">
        <v>1443</v>
      </c>
      <c r="H875" s="1" t="str">
        <f t="shared" si="97"/>
        <v>Ruan</v>
      </c>
      <c r="I875" s="1" t="str">
        <f t="shared" si="100"/>
        <v>2018</v>
      </c>
      <c r="J875" s="1" t="str">
        <f t="shared" si="98"/>
        <v>Ruan et al., 2018</v>
      </c>
      <c r="K875" s="9" t="s">
        <v>1747</v>
      </c>
      <c r="L875" s="1" t="str">
        <f t="shared" si="99"/>
        <v/>
      </c>
    </row>
    <row r="876" spans="1:14" ht="45" hidden="1" x14ac:dyDescent="0.25">
      <c r="A876" s="1">
        <f>INDEX(rq_evidence_review!A:A, MATCH(B876, rq_evidence_review!B:B, 0))</f>
        <v>4</v>
      </c>
      <c r="B876" s="6">
        <v>4.4000000000000004</v>
      </c>
      <c r="C876" s="1">
        <f t="shared" si="96"/>
        <v>870</v>
      </c>
      <c r="D876" s="1">
        <f>VLOOKUP(B876,rq_evidence_review!$B$1:$L$55,7,FALSE)</f>
        <v>111</v>
      </c>
      <c r="E876" s="8" t="s">
        <v>1444</v>
      </c>
      <c r="H876" s="1" t="str">
        <f t="shared" si="97"/>
        <v>Song</v>
      </c>
      <c r="I876" s="1" t="str">
        <f t="shared" si="100"/>
        <v>2018</v>
      </c>
      <c r="J876" s="1" t="str">
        <f t="shared" si="98"/>
        <v>Song et al., 2018</v>
      </c>
      <c r="K876" s="9" t="s">
        <v>1746</v>
      </c>
      <c r="L876" s="1" t="str">
        <f t="shared" si="99"/>
        <v/>
      </c>
    </row>
    <row r="877" spans="1:14" ht="30" hidden="1" x14ac:dyDescent="0.25">
      <c r="A877" s="1">
        <f>INDEX(rq_evidence_review!A:A, MATCH(B877, rq_evidence_review!B:B, 0))</f>
        <v>4</v>
      </c>
      <c r="B877" s="6">
        <v>4.4000000000000004</v>
      </c>
      <c r="C877" s="1">
        <f t="shared" si="96"/>
        <v>871</v>
      </c>
      <c r="D877" s="1">
        <f>VLOOKUP(B877,rq_evidence_review!$B$1:$L$55,7,FALSE)</f>
        <v>111</v>
      </c>
      <c r="E877" s="8" t="s">
        <v>1445</v>
      </c>
      <c r="H877" s="1" t="str">
        <f t="shared" si="97"/>
        <v>Long</v>
      </c>
      <c r="I877" s="1" t="str">
        <f t="shared" si="100"/>
        <v>2022</v>
      </c>
      <c r="J877" s="1" t="str">
        <f t="shared" si="98"/>
        <v>Long et al., 2022</v>
      </c>
      <c r="K877" s="9" t="s">
        <v>1788</v>
      </c>
      <c r="L877" s="1" t="str">
        <f t="shared" si="99"/>
        <v/>
      </c>
    </row>
    <row r="878" spans="1:14" ht="30" hidden="1" x14ac:dyDescent="0.25">
      <c r="A878" s="1">
        <f>INDEX(rq_evidence_review!A:A, MATCH(B878, rq_evidence_review!B:B, 0))</f>
        <v>4</v>
      </c>
      <c r="B878" s="6">
        <v>4.4000000000000004</v>
      </c>
      <c r="C878" s="1">
        <f t="shared" si="96"/>
        <v>872</v>
      </c>
      <c r="D878" s="1">
        <f>VLOOKUP(B878,rq_evidence_review!$B$1:$L$55,7,FALSE)</f>
        <v>111</v>
      </c>
      <c r="E878" s="8" t="s">
        <v>1446</v>
      </c>
      <c r="H878" s="1" t="str">
        <f t="shared" si="97"/>
        <v>Gambineri</v>
      </c>
      <c r="I878" s="1" t="str">
        <f t="shared" si="100"/>
        <v>2004</v>
      </c>
      <c r="J878" s="1" t="str">
        <f t="shared" si="98"/>
        <v>Gambineri et al., 2004</v>
      </c>
      <c r="K878" s="9" t="s">
        <v>1789</v>
      </c>
      <c r="L878" s="1" t="str">
        <f t="shared" si="99"/>
        <v/>
      </c>
    </row>
    <row r="879" spans="1:14" ht="30" hidden="1" x14ac:dyDescent="0.25">
      <c r="A879" s="1">
        <f>INDEX(rq_evidence_review!A:A, MATCH(B879, rq_evidence_review!B:B, 0))</f>
        <v>4</v>
      </c>
      <c r="B879" s="6">
        <v>4.4000000000000004</v>
      </c>
      <c r="C879" s="1">
        <f t="shared" si="96"/>
        <v>873</v>
      </c>
      <c r="D879" s="1">
        <f>VLOOKUP(B879,rq_evidence_review!$B$1:$L$55,7,FALSE)</f>
        <v>111</v>
      </c>
      <c r="E879" s="8" t="s">
        <v>1447</v>
      </c>
      <c r="H879" s="1" t="str">
        <f t="shared" si="97"/>
        <v>Amiri</v>
      </c>
      <c r="I879" s="1" t="str">
        <f t="shared" si="100"/>
        <v>2014</v>
      </c>
      <c r="J879" s="1" t="str">
        <f t="shared" si="98"/>
        <v>Amiri et al., 2014</v>
      </c>
      <c r="K879" s="1" t="str">
        <f t="shared" ref="K879:K930" si="101">ExtractDOI(E879)</f>
        <v/>
      </c>
      <c r="L879" s="9">
        <v>25473629</v>
      </c>
      <c r="M879" s="1" t="s">
        <v>1790</v>
      </c>
      <c r="N879" s="1">
        <v>2675980</v>
      </c>
    </row>
    <row r="880" spans="1:14" ht="45" hidden="1" x14ac:dyDescent="0.25">
      <c r="A880" s="1">
        <f>INDEX(rq_evidence_review!A:A, MATCH(B880, rq_evidence_review!B:B, 0))</f>
        <v>4</v>
      </c>
      <c r="B880" s="6">
        <v>4.4000000000000004</v>
      </c>
      <c r="C880" s="1">
        <f t="shared" si="96"/>
        <v>874</v>
      </c>
      <c r="D880" s="1">
        <f>VLOOKUP(B880,rq_evidence_review!$B$1:$L$55,7,FALSE)</f>
        <v>111</v>
      </c>
      <c r="E880" s="8" t="s">
        <v>1448</v>
      </c>
      <c r="H880" s="1" t="str">
        <f t="shared" si="97"/>
        <v>Gambineri</v>
      </c>
      <c r="I880" s="1" t="str">
        <f t="shared" si="100"/>
        <v>2006</v>
      </c>
      <c r="J880" s="1" t="str">
        <f t="shared" si="98"/>
        <v>Gambineri et al., 2006</v>
      </c>
      <c r="K880" s="9" t="s">
        <v>1791</v>
      </c>
      <c r="L880" s="1" t="str">
        <f t="shared" si="99"/>
        <v/>
      </c>
    </row>
    <row r="881" spans="1:12" ht="30" hidden="1" x14ac:dyDescent="0.25">
      <c r="A881" s="1">
        <f>INDEX(rq_evidence_review!A:A, MATCH(B881, rq_evidence_review!B:B, 0))</f>
        <v>4</v>
      </c>
      <c r="B881" s="6">
        <v>4.4000000000000004</v>
      </c>
      <c r="C881" s="1">
        <f t="shared" si="96"/>
        <v>875</v>
      </c>
      <c r="D881" s="1">
        <f>VLOOKUP(B881,rq_evidence_review!$B$1:$L$55,7,FALSE)</f>
        <v>111</v>
      </c>
      <c r="E881" s="8" t="s">
        <v>1449</v>
      </c>
      <c r="H881" s="1" t="str">
        <f t="shared" si="97"/>
        <v>Ganie</v>
      </c>
      <c r="I881" s="1" t="str">
        <f t="shared" si="100"/>
        <v>2004</v>
      </c>
      <c r="J881" s="1" t="str">
        <f t="shared" si="98"/>
        <v>Ganie et al., 2004</v>
      </c>
      <c r="K881" s="9" t="s">
        <v>1792</v>
      </c>
      <c r="L881" s="1" t="str">
        <f t="shared" si="99"/>
        <v/>
      </c>
    </row>
    <row r="882" spans="1:12" ht="45" hidden="1" x14ac:dyDescent="0.25">
      <c r="A882" s="1">
        <f>INDEX(rq_evidence_review!A:A, MATCH(B882, rq_evidence_review!B:B, 0))</f>
        <v>4</v>
      </c>
      <c r="B882" s="6">
        <v>4.4000000000000004</v>
      </c>
      <c r="C882" s="1">
        <f t="shared" si="96"/>
        <v>876</v>
      </c>
      <c r="D882" s="1">
        <f>VLOOKUP(B882,rq_evidence_review!$B$1:$L$55,7,FALSE)</f>
        <v>111</v>
      </c>
      <c r="E882" s="8" t="s">
        <v>1450</v>
      </c>
      <c r="H882" s="1" t="str">
        <f t="shared" si="97"/>
        <v>Ganie</v>
      </c>
      <c r="I882" s="1" t="str">
        <f t="shared" si="100"/>
        <v>2013</v>
      </c>
      <c r="J882" s="1" t="str">
        <f t="shared" si="98"/>
        <v>Ganie et al., 2013</v>
      </c>
      <c r="K882" s="9" t="s">
        <v>1793</v>
      </c>
      <c r="L882" s="1" t="str">
        <f t="shared" si="99"/>
        <v/>
      </c>
    </row>
    <row r="883" spans="1:12" ht="30" hidden="1" x14ac:dyDescent="0.25">
      <c r="A883" s="1">
        <f>INDEX(rq_evidence_review!A:A, MATCH(B883, rq_evidence_review!B:B, 0))</f>
        <v>4</v>
      </c>
      <c r="B883" s="6">
        <v>4.4000000000000004</v>
      </c>
      <c r="C883" s="1">
        <f t="shared" si="96"/>
        <v>877</v>
      </c>
      <c r="D883" s="1">
        <f>VLOOKUP(B883,rq_evidence_review!$B$1:$L$55,7,FALSE)</f>
        <v>111</v>
      </c>
      <c r="E883" s="8" t="s">
        <v>1451</v>
      </c>
      <c r="H883" s="1" t="str">
        <f t="shared" si="97"/>
        <v>Mazza</v>
      </c>
      <c r="I883" s="1" t="str">
        <f t="shared" si="100"/>
        <v>2014</v>
      </c>
      <c r="J883" s="1" t="str">
        <f t="shared" si="98"/>
        <v>Mazza et al., 2014</v>
      </c>
      <c r="K883" s="9" t="s">
        <v>1794</v>
      </c>
      <c r="L883" s="1" t="str">
        <f t="shared" si="99"/>
        <v/>
      </c>
    </row>
    <row r="884" spans="1:12" ht="30" hidden="1" x14ac:dyDescent="0.25">
      <c r="A884" s="1">
        <f>INDEX(rq_evidence_review!A:A, MATCH(B884, rq_evidence_review!B:B, 0))</f>
        <v>4</v>
      </c>
      <c r="B884" s="6">
        <v>4.4000000000000004</v>
      </c>
      <c r="C884" s="1">
        <f t="shared" si="96"/>
        <v>878</v>
      </c>
      <c r="D884" s="1">
        <f>VLOOKUP(B884,rq_evidence_review!$B$1:$L$55,7,FALSE)</f>
        <v>111</v>
      </c>
      <c r="E884" s="8" t="s">
        <v>1452</v>
      </c>
      <c r="H884" s="1" t="str">
        <f t="shared" si="97"/>
        <v>Diri</v>
      </c>
      <c r="I884" s="1" t="str">
        <f t="shared" si="100"/>
        <v>2017</v>
      </c>
      <c r="J884" s="1" t="str">
        <f t="shared" si="98"/>
        <v>Diri et al., 2017</v>
      </c>
      <c r="K884" s="9" t="s">
        <v>1795</v>
      </c>
      <c r="L884" s="1" t="str">
        <f t="shared" si="99"/>
        <v/>
      </c>
    </row>
    <row r="885" spans="1:12" ht="45" hidden="1" x14ac:dyDescent="0.25">
      <c r="A885" s="1">
        <f>INDEX(rq_evidence_review!A:A, MATCH(B885, rq_evidence_review!B:B, 0))</f>
        <v>4</v>
      </c>
      <c r="B885" s="6">
        <v>4.4000000000000004</v>
      </c>
      <c r="C885" s="1">
        <f t="shared" si="96"/>
        <v>879</v>
      </c>
      <c r="D885" s="1">
        <f>VLOOKUP(B885,rq_evidence_review!$B$1:$L$55,7,FALSE)</f>
        <v>111</v>
      </c>
      <c r="E885" s="8" t="s">
        <v>1453</v>
      </c>
      <c r="H885" s="1" t="str">
        <f t="shared" si="97"/>
        <v>Prabhakar</v>
      </c>
      <c r="I885" s="1" t="str">
        <f t="shared" si="100"/>
        <v>2021</v>
      </c>
      <c r="J885" s="1" t="str">
        <f t="shared" si="98"/>
        <v>Prabhakar et al., 2021</v>
      </c>
      <c r="K885" s="9" t="s">
        <v>1796</v>
      </c>
      <c r="L885" s="1" t="str">
        <f t="shared" si="99"/>
        <v/>
      </c>
    </row>
    <row r="886" spans="1:12" ht="30" hidden="1" x14ac:dyDescent="0.25">
      <c r="A886" s="1">
        <f>INDEX(rq_evidence_review!A:A, MATCH(B886, rq_evidence_review!B:B, 0))</f>
        <v>4</v>
      </c>
      <c r="B886" s="6">
        <v>4.4000000000000004</v>
      </c>
      <c r="C886" s="1">
        <f t="shared" si="96"/>
        <v>880</v>
      </c>
      <c r="D886" s="1">
        <f>VLOOKUP(B886,rq_evidence_review!$B$1:$L$55,7,FALSE)</f>
        <v>111</v>
      </c>
      <c r="E886" s="8" t="s">
        <v>1454</v>
      </c>
      <c r="H886" s="1" t="str">
        <f t="shared" si="97"/>
        <v>Jensterle M</v>
      </c>
      <c r="I886" s="1" t="str">
        <f t="shared" si="100"/>
        <v>2017</v>
      </c>
      <c r="J886" s="1" t="str">
        <f t="shared" si="98"/>
        <v>Jensterle M et al., 2017</v>
      </c>
      <c r="K886" s="9" t="s">
        <v>1797</v>
      </c>
      <c r="L886" s="1" t="str">
        <f t="shared" si="99"/>
        <v/>
      </c>
    </row>
    <row r="887" spans="1:12" ht="45" hidden="1" x14ac:dyDescent="0.25">
      <c r="A887" s="1">
        <f>INDEX(rq_evidence_review!A:A, MATCH(B887, rq_evidence_review!B:B, 0))</f>
        <v>4</v>
      </c>
      <c r="B887" s="6">
        <v>4.4000000000000004</v>
      </c>
      <c r="C887" s="1">
        <f t="shared" si="96"/>
        <v>881</v>
      </c>
      <c r="D887" s="1">
        <f>VLOOKUP(B887,rq_evidence_review!$B$1:$L$55,7,FALSE)</f>
        <v>111</v>
      </c>
      <c r="E887" s="8" t="s">
        <v>1455</v>
      </c>
      <c r="H887" s="1" t="str">
        <f t="shared" si="97"/>
        <v>Cai</v>
      </c>
      <c r="I887" s="1" t="str">
        <f t="shared" si="100"/>
        <v>2022</v>
      </c>
      <c r="J887" s="1" t="str">
        <f t="shared" si="98"/>
        <v>Cai et al., 2022</v>
      </c>
      <c r="K887" s="9" t="s">
        <v>1798</v>
      </c>
      <c r="L887" s="1" t="str">
        <f t="shared" si="99"/>
        <v/>
      </c>
    </row>
    <row r="888" spans="1:12" ht="45" hidden="1" x14ac:dyDescent="0.25">
      <c r="A888" s="1">
        <f>INDEX(rq_evidence_review!A:A, MATCH(B888, rq_evidence_review!B:B, 0))</f>
        <v>4</v>
      </c>
      <c r="B888" s="6">
        <v>4.4000000000000004</v>
      </c>
      <c r="C888" s="1">
        <f t="shared" si="96"/>
        <v>882</v>
      </c>
      <c r="D888" s="1">
        <f>VLOOKUP(B888,rq_evidence_review!$B$1:$L$55,7,FALSE)</f>
        <v>111</v>
      </c>
      <c r="E888" s="8" t="s">
        <v>1456</v>
      </c>
      <c r="H888" s="1" t="str">
        <f t="shared" si="97"/>
        <v>Elkind-Hirsch</v>
      </c>
      <c r="I888" s="1" t="str">
        <f t="shared" si="100"/>
        <v>2017</v>
      </c>
      <c r="J888" s="1" t="str">
        <f t="shared" si="98"/>
        <v>Elkind-Hirsch et al., 2017</v>
      </c>
      <c r="K888" s="9" t="s">
        <v>1799</v>
      </c>
      <c r="L888" s="1" t="str">
        <f t="shared" si="99"/>
        <v/>
      </c>
    </row>
    <row r="889" spans="1:12" ht="30" hidden="1" x14ac:dyDescent="0.25">
      <c r="A889" s="1">
        <f>INDEX(rq_evidence_review!A:A, MATCH(B889, rq_evidence_review!B:B, 0))</f>
        <v>4</v>
      </c>
      <c r="B889" s="6">
        <v>4.4000000000000004</v>
      </c>
      <c r="C889" s="1">
        <f t="shared" si="96"/>
        <v>883</v>
      </c>
      <c r="D889" s="1">
        <f>VLOOKUP(B889,rq_evidence_review!$B$1:$L$55,7,FALSE)</f>
        <v>111</v>
      </c>
      <c r="E889" s="8" t="s">
        <v>1457</v>
      </c>
      <c r="H889" s="1" t="str">
        <f t="shared" si="97"/>
        <v>Javed</v>
      </c>
      <c r="I889" s="1" t="str">
        <f t="shared" si="100"/>
        <v>2019</v>
      </c>
      <c r="J889" s="1" t="str">
        <f t="shared" si="98"/>
        <v>Javed et al., 2019</v>
      </c>
      <c r="K889" s="9" t="s">
        <v>1800</v>
      </c>
      <c r="L889" s="1" t="str">
        <f t="shared" si="99"/>
        <v/>
      </c>
    </row>
    <row r="890" spans="1:12" ht="30" hidden="1" x14ac:dyDescent="0.25">
      <c r="A890" s="1">
        <f>INDEX(rq_evidence_review!A:A, MATCH(B890, rq_evidence_review!B:B, 0))</f>
        <v>4</v>
      </c>
      <c r="B890" s="6">
        <v>4.4000000000000004</v>
      </c>
      <c r="C890" s="1">
        <f t="shared" si="96"/>
        <v>884</v>
      </c>
      <c r="D890" s="1">
        <f>VLOOKUP(B890,rq_evidence_review!$B$1:$L$55,7,FALSE)</f>
        <v>111</v>
      </c>
      <c r="E890" s="8" t="s">
        <v>1458</v>
      </c>
      <c r="H890" s="1" t="str">
        <f t="shared" si="97"/>
        <v>Li</v>
      </c>
      <c r="I890" s="1" t="str">
        <f t="shared" si="100"/>
        <v>2020</v>
      </c>
      <c r="J890" s="1" t="str">
        <f t="shared" si="98"/>
        <v>Li et al., 2020</v>
      </c>
      <c r="K890" s="9" t="s">
        <v>1801</v>
      </c>
      <c r="L890" s="1" t="str">
        <f t="shared" si="99"/>
        <v/>
      </c>
    </row>
    <row r="891" spans="1:12" ht="30" hidden="1" x14ac:dyDescent="0.25">
      <c r="A891" s="1">
        <f>INDEX(rq_evidence_review!A:A, MATCH(B891, rq_evidence_review!B:B, 0))</f>
        <v>4</v>
      </c>
      <c r="B891" s="6">
        <v>4.4000000000000004</v>
      </c>
      <c r="C891" s="1">
        <f t="shared" si="96"/>
        <v>885</v>
      </c>
      <c r="D891" s="1">
        <f>VLOOKUP(B891,rq_evidence_review!$B$1:$L$55,7,FALSE)</f>
        <v>111</v>
      </c>
      <c r="E891" s="8" t="s">
        <v>1459</v>
      </c>
      <c r="H891" s="1" t="str">
        <f t="shared" si="97"/>
        <v>Cetinkalp</v>
      </c>
      <c r="I891" s="1" t="str">
        <f t="shared" si="100"/>
        <v>2009</v>
      </c>
      <c r="J891" s="1" t="str">
        <f t="shared" si="98"/>
        <v>Cetinkalp et al., 2009</v>
      </c>
      <c r="K891" s="9" t="s">
        <v>1685</v>
      </c>
      <c r="L891" s="1" t="str">
        <f t="shared" si="99"/>
        <v/>
      </c>
    </row>
    <row r="892" spans="1:12" hidden="1" x14ac:dyDescent="0.25">
      <c r="A892" s="1">
        <f>INDEX(rq_evidence_review!A:A, MATCH(B892, rq_evidence_review!B:B, 0))</f>
        <v>4</v>
      </c>
      <c r="B892" s="6">
        <v>4.4000000000000004</v>
      </c>
      <c r="C892" s="1">
        <f t="shared" si="96"/>
        <v>886</v>
      </c>
      <c r="D892" s="1">
        <f>VLOOKUP(B892,rq_evidence_review!$B$1:$L$55,7,FALSE)</f>
        <v>111</v>
      </c>
      <c r="E892" s="8" t="s">
        <v>1460</v>
      </c>
      <c r="H892" s="1" t="str">
        <f t="shared" si="97"/>
        <v>Sangeeta</v>
      </c>
      <c r="I892" s="1" t="str">
        <f t="shared" si="100"/>
        <v>2012</v>
      </c>
      <c r="J892" s="1" t="str">
        <f t="shared" si="98"/>
        <v>Sangeeta et al., 2012</v>
      </c>
      <c r="K892" s="9" t="s">
        <v>1802</v>
      </c>
      <c r="L892" s="1" t="str">
        <f t="shared" si="99"/>
        <v/>
      </c>
    </row>
    <row r="893" spans="1:12" ht="30" hidden="1" x14ac:dyDescent="0.25">
      <c r="A893" s="1">
        <f>INDEX(rq_evidence_review!A:A, MATCH(B893, rq_evidence_review!B:B, 0))</f>
        <v>4</v>
      </c>
      <c r="B893" s="6">
        <v>4.4000000000000004</v>
      </c>
      <c r="C893" s="1">
        <f t="shared" si="96"/>
        <v>887</v>
      </c>
      <c r="D893" s="1">
        <f>VLOOKUP(B893,rq_evidence_review!$B$1:$L$55,7,FALSE)</f>
        <v>111</v>
      </c>
      <c r="E893" s="8" t="s">
        <v>1461</v>
      </c>
      <c r="H893" s="1" t="str">
        <f t="shared" si="97"/>
        <v>Mohiyiddeen L</v>
      </c>
      <c r="I893" s="1" t="str">
        <f t="shared" si="100"/>
        <v>2013</v>
      </c>
      <c r="J893" s="1" t="str">
        <f t="shared" si="98"/>
        <v>Mohiyiddeen L et al., 2013</v>
      </c>
      <c r="K893" s="9" t="s">
        <v>1803</v>
      </c>
      <c r="L893" s="1" t="str">
        <f t="shared" si="99"/>
        <v/>
      </c>
    </row>
    <row r="894" spans="1:12" ht="30" hidden="1" x14ac:dyDescent="0.25">
      <c r="A894" s="1">
        <f>INDEX(rq_evidence_review!A:A, MATCH(B894, rq_evidence_review!B:B, 0))</f>
        <v>4</v>
      </c>
      <c r="B894" s="6">
        <v>4.4000000000000004</v>
      </c>
      <c r="C894" s="1">
        <f t="shared" si="96"/>
        <v>888</v>
      </c>
      <c r="D894" s="1">
        <f>VLOOKUP(B894,rq_evidence_review!$B$1:$L$55,7,FALSE)</f>
        <v>111</v>
      </c>
      <c r="E894" s="8" t="s">
        <v>1462</v>
      </c>
      <c r="H894" s="1" t="str">
        <f t="shared" si="97"/>
        <v>Naka KK</v>
      </c>
      <c r="I894" s="1" t="str">
        <f t="shared" si="100"/>
        <v>2011</v>
      </c>
      <c r="J894" s="1" t="str">
        <f t="shared" si="98"/>
        <v>Naka KK et al., 2011</v>
      </c>
      <c r="K894" s="9" t="s">
        <v>1804</v>
      </c>
      <c r="L894" s="1" t="str">
        <f t="shared" si="99"/>
        <v/>
      </c>
    </row>
    <row r="895" spans="1:12" ht="30" hidden="1" x14ac:dyDescent="0.25">
      <c r="A895" s="1">
        <f>INDEX(rq_evidence_review!A:A, MATCH(B895, rq_evidence_review!B:B, 0))</f>
        <v>4</v>
      </c>
      <c r="B895" s="6">
        <v>4.4000000000000004</v>
      </c>
      <c r="C895" s="1">
        <f t="shared" si="96"/>
        <v>889</v>
      </c>
      <c r="D895" s="1">
        <f>VLOOKUP(B895,rq_evidence_review!$B$1:$L$55,7,FALSE)</f>
        <v>111</v>
      </c>
      <c r="E895" s="8" t="s">
        <v>1463</v>
      </c>
      <c r="H895" s="1" t="str">
        <f t="shared" si="97"/>
        <v>Ortega-González C</v>
      </c>
      <c r="I895" s="1" t="str">
        <f t="shared" si="100"/>
        <v>2005</v>
      </c>
      <c r="J895" s="1" t="str">
        <f t="shared" si="98"/>
        <v>Ortega-González C et al., 2005</v>
      </c>
      <c r="K895" s="9" t="s">
        <v>1805</v>
      </c>
      <c r="L895" s="1" t="str">
        <f t="shared" si="99"/>
        <v/>
      </c>
    </row>
    <row r="896" spans="1:12" ht="30" hidden="1" x14ac:dyDescent="0.25">
      <c r="A896" s="1">
        <f>INDEX(rq_evidence_review!A:A, MATCH(B896, rq_evidence_review!B:B, 0))</f>
        <v>4</v>
      </c>
      <c r="B896" s="6">
        <v>4.4000000000000004</v>
      </c>
      <c r="C896" s="1">
        <f t="shared" si="96"/>
        <v>890</v>
      </c>
      <c r="D896" s="1">
        <f>VLOOKUP(B896,rq_evidence_review!$B$1:$L$55,7,FALSE)</f>
        <v>111</v>
      </c>
      <c r="E896" s="8" t="s">
        <v>1464</v>
      </c>
      <c r="H896" s="1" t="str">
        <f t="shared" si="97"/>
        <v>Shahebrahimi K</v>
      </c>
      <c r="I896" s="1" t="str">
        <f t="shared" si="100"/>
        <v>2016</v>
      </c>
      <c r="J896" s="1" t="str">
        <f t="shared" si="98"/>
        <v>Shahebrahimi K et al., 2016</v>
      </c>
      <c r="K896" s="9" t="s">
        <v>1806</v>
      </c>
      <c r="L896" s="1" t="str">
        <f t="shared" si="99"/>
        <v/>
      </c>
    </row>
    <row r="897" spans="1:12" ht="30" hidden="1" x14ac:dyDescent="0.25">
      <c r="A897" s="1">
        <f>INDEX(rq_evidence_review!A:A, MATCH(B897, rq_evidence_review!B:B, 0))</f>
        <v>4</v>
      </c>
      <c r="B897" s="6">
        <v>4.4000000000000004</v>
      </c>
      <c r="C897" s="1">
        <f t="shared" si="96"/>
        <v>891</v>
      </c>
      <c r="D897" s="1">
        <f>VLOOKUP(B897,rq_evidence_review!$B$1:$L$55,7,FALSE)</f>
        <v>111</v>
      </c>
      <c r="E897" s="8" t="s">
        <v>1465</v>
      </c>
      <c r="H897" s="1" t="str">
        <f t="shared" si="97"/>
        <v>Sohrevardi SM</v>
      </c>
      <c r="I897" s="1" t="str">
        <f t="shared" si="100"/>
        <v>2016</v>
      </c>
      <c r="J897" s="1" t="str">
        <f t="shared" si="98"/>
        <v>Sohrevardi SM et al., 2016</v>
      </c>
      <c r="K897" s="9" t="s">
        <v>1807</v>
      </c>
      <c r="L897" s="1" t="str">
        <f t="shared" si="99"/>
        <v/>
      </c>
    </row>
    <row r="898" spans="1:12" ht="30" hidden="1" x14ac:dyDescent="0.25">
      <c r="A898" s="1">
        <f>INDEX(rq_evidence_review!A:A, MATCH(B898, rq_evidence_review!B:B, 0))</f>
        <v>4</v>
      </c>
      <c r="B898" s="6">
        <v>4.4000000000000004</v>
      </c>
      <c r="C898" s="1">
        <f t="shared" si="96"/>
        <v>892</v>
      </c>
      <c r="D898" s="1">
        <f>VLOOKUP(B898,rq_evidence_review!$B$1:$L$55,7,FALSE)</f>
        <v>111</v>
      </c>
      <c r="E898" s="8" t="s">
        <v>1466</v>
      </c>
      <c r="H898" s="1" t="str">
        <f t="shared" si="97"/>
        <v>Ahmad J</v>
      </c>
      <c r="I898" s="1" t="str">
        <f t="shared" si="100"/>
        <v>2008</v>
      </c>
      <c r="J898" s="1" t="str">
        <f t="shared" si="98"/>
        <v>Ahmad J et al., 2008</v>
      </c>
      <c r="K898" s="9" t="s">
        <v>1808</v>
      </c>
      <c r="L898" s="1" t="str">
        <f t="shared" si="99"/>
        <v/>
      </c>
    </row>
    <row r="899" spans="1:12" ht="30" hidden="1" x14ac:dyDescent="0.25">
      <c r="A899" s="1">
        <f>INDEX(rq_evidence_review!A:A, MATCH(B899, rq_evidence_review!B:B, 0))</f>
        <v>4</v>
      </c>
      <c r="B899" s="6">
        <v>4.4000000000000004</v>
      </c>
      <c r="C899" s="1">
        <f t="shared" si="96"/>
        <v>893</v>
      </c>
      <c r="D899" s="1">
        <f>VLOOKUP(B899,rq_evidence_review!$B$1:$L$55,7,FALSE)</f>
        <v>111</v>
      </c>
      <c r="E899" s="8" t="s">
        <v>1467</v>
      </c>
      <c r="H899" s="1" t="str">
        <f t="shared" ref="H899:H929" si="102">LEFT(E899, FIND(",", E899) - 1)</f>
        <v>Cho LW</v>
      </c>
      <c r="I899" s="1" t="str">
        <f t="shared" si="100"/>
        <v>2009</v>
      </c>
      <c r="J899" s="1" t="str">
        <f t="shared" si="98"/>
        <v>Cho LW et al., 2009</v>
      </c>
      <c r="K899" s="9" t="s">
        <v>1809</v>
      </c>
      <c r="L899" s="1" t="str">
        <f t="shared" si="99"/>
        <v/>
      </c>
    </row>
    <row r="900" spans="1:12" ht="30" hidden="1" x14ac:dyDescent="0.25">
      <c r="A900" s="1">
        <f>INDEX(rq_evidence_review!A:A, MATCH(B900, rq_evidence_review!B:B, 0))</f>
        <v>4</v>
      </c>
      <c r="B900" s="6">
        <v>4.4000000000000004</v>
      </c>
      <c r="C900" s="1">
        <f t="shared" si="96"/>
        <v>894</v>
      </c>
      <c r="D900" s="1">
        <f>VLOOKUP(B900,rq_evidence_review!$B$1:$L$55,7,FALSE)</f>
        <v>111</v>
      </c>
      <c r="E900" s="8" t="s">
        <v>1468</v>
      </c>
      <c r="H900" s="1" t="str">
        <f t="shared" si="102"/>
        <v>Jensterle (1) M</v>
      </c>
      <c r="I900" s="1" t="str">
        <f t="shared" ref="I900:I930" si="103">ExtractYear(E900)</f>
        <v>2008</v>
      </c>
      <c r="J900" s="1" t="str">
        <f t="shared" si="98"/>
        <v>Jensterle (1) M et al., 2008</v>
      </c>
      <c r="K900" s="9" t="s">
        <v>1810</v>
      </c>
      <c r="L900" s="1" t="str">
        <f t="shared" si="99"/>
        <v/>
      </c>
    </row>
    <row r="901" spans="1:12" ht="30" hidden="1" x14ac:dyDescent="0.25">
      <c r="A901" s="1">
        <f>INDEX(rq_evidence_review!A:A, MATCH(B901, rq_evidence_review!B:B, 0))</f>
        <v>4</v>
      </c>
      <c r="B901" s="6">
        <v>4.4000000000000004</v>
      </c>
      <c r="C901" s="1">
        <f t="shared" si="96"/>
        <v>895</v>
      </c>
      <c r="D901" s="1">
        <f>VLOOKUP(B901,rq_evidence_review!$B$1:$L$55,7,FALSE)</f>
        <v>111</v>
      </c>
      <c r="E901" s="8" t="s">
        <v>1469</v>
      </c>
      <c r="H901" s="1" t="str">
        <f t="shared" si="102"/>
        <v>Jensterle (2) M</v>
      </c>
      <c r="I901" s="1" t="str">
        <f t="shared" si="103"/>
        <v>2008</v>
      </c>
      <c r="J901" s="1" t="str">
        <f t="shared" si="98"/>
        <v>Jensterle (2) M et al., 2008</v>
      </c>
      <c r="K901" s="9" t="s">
        <v>1811</v>
      </c>
      <c r="L901" s="1" t="str">
        <f t="shared" si="99"/>
        <v/>
      </c>
    </row>
    <row r="902" spans="1:12" ht="30" hidden="1" x14ac:dyDescent="0.25">
      <c r="A902" s="1">
        <f>INDEX(rq_evidence_review!A:A, MATCH(B902, rq_evidence_review!B:B, 0))</f>
        <v>4</v>
      </c>
      <c r="B902" s="6">
        <v>4.4000000000000004</v>
      </c>
      <c r="C902" s="1">
        <f t="shared" si="96"/>
        <v>896</v>
      </c>
      <c r="D902" s="1">
        <f>VLOOKUP(B902,rq_evidence_review!$B$1:$L$55,7,FALSE)</f>
        <v>111</v>
      </c>
      <c r="E902" s="8" t="s">
        <v>1471</v>
      </c>
      <c r="H902" s="1" t="str">
        <f t="shared" si="102"/>
        <v>Kilicdag EB</v>
      </c>
      <c r="I902" s="1" t="str">
        <f t="shared" si="103"/>
        <v>2005</v>
      </c>
      <c r="J902" s="1" t="str">
        <f t="shared" si="98"/>
        <v>Kilicdag EB et al., 2005</v>
      </c>
      <c r="K902" s="9" t="s">
        <v>1812</v>
      </c>
      <c r="L902" s="1" t="str">
        <f t="shared" si="99"/>
        <v/>
      </c>
    </row>
    <row r="903" spans="1:12" ht="30" hidden="1" x14ac:dyDescent="0.25">
      <c r="A903" s="1">
        <f>INDEX(rq_evidence_review!A:A, MATCH(B903, rq_evidence_review!B:B, 0))</f>
        <v>4</v>
      </c>
      <c r="B903" s="6">
        <v>4.4000000000000004</v>
      </c>
      <c r="C903" s="1">
        <f t="shared" si="96"/>
        <v>897</v>
      </c>
      <c r="D903" s="1">
        <f>VLOOKUP(B903,rq_evidence_review!$B$1:$L$55,7,FALSE)</f>
        <v>111</v>
      </c>
      <c r="E903" s="8" t="s">
        <v>1470</v>
      </c>
      <c r="H903" s="1" t="str">
        <f t="shared" si="102"/>
        <v>Steiner CA</v>
      </c>
      <c r="I903" s="1" t="str">
        <f t="shared" si="103"/>
        <v>2007</v>
      </c>
      <c r="J903" s="1" t="str">
        <f t="shared" si="98"/>
        <v>Steiner CA et al., 2007</v>
      </c>
      <c r="K903" s="9" t="s">
        <v>1813</v>
      </c>
      <c r="L903" s="1" t="str">
        <f t="shared" si="99"/>
        <v/>
      </c>
    </row>
    <row r="904" spans="1:12" ht="60" hidden="1" x14ac:dyDescent="0.25">
      <c r="A904" s="1">
        <f>INDEX(rq_evidence_review!A:A, MATCH(B904, rq_evidence_review!B:B, 0))</f>
        <v>4</v>
      </c>
      <c r="B904" s="6">
        <f>rq_evidence_review!B34</f>
        <v>4.5</v>
      </c>
      <c r="C904" s="1">
        <f t="shared" si="96"/>
        <v>898</v>
      </c>
      <c r="D904" s="1">
        <f>VLOOKUP(B904,rq_evidence_review!$B$1:$L$55,7,FALSE)</f>
        <v>17</v>
      </c>
      <c r="E904" s="8" t="s">
        <v>1161</v>
      </c>
      <c r="H904" s="1" t="str">
        <f t="shared" si="102"/>
        <v>Elkind-Hirsch</v>
      </c>
      <c r="I904" s="1" t="str">
        <f t="shared" si="103"/>
        <v>2021</v>
      </c>
      <c r="J904" s="1" t="str">
        <f t="shared" si="98"/>
        <v>Elkind-Hirsch et al., 2021</v>
      </c>
      <c r="K904" s="1" t="str">
        <f t="shared" si="101"/>
        <v>10.1210/clinem/dgab408</v>
      </c>
      <c r="L904" s="1" t="str">
        <f t="shared" si="99"/>
        <v/>
      </c>
    </row>
    <row r="905" spans="1:12" ht="45" hidden="1" x14ac:dyDescent="0.25">
      <c r="A905" s="1">
        <f>INDEX(rq_evidence_review!A:A, MATCH(B905, rq_evidence_review!B:B, 0))</f>
        <v>4</v>
      </c>
      <c r="B905" s="6">
        <v>4.5</v>
      </c>
      <c r="C905" s="1">
        <f t="shared" si="96"/>
        <v>899</v>
      </c>
      <c r="D905" s="1">
        <f>VLOOKUP(B905,rq_evidence_review!$B$1:$L$55,7,FALSE)</f>
        <v>17</v>
      </c>
      <c r="E905" s="8" t="s">
        <v>1162</v>
      </c>
      <c r="H905" s="1" t="str">
        <f t="shared" si="102"/>
        <v>Elkind-Hirsch</v>
      </c>
      <c r="I905" s="1" t="str">
        <f t="shared" si="103"/>
        <v>2022</v>
      </c>
      <c r="J905" s="1" t="str">
        <f t="shared" si="98"/>
        <v>Elkind-Hirsch et al., 2022</v>
      </c>
      <c r="K905" s="1" t="str">
        <f t="shared" si="101"/>
        <v>10.1016/j.fertnstert.2022.04.027</v>
      </c>
      <c r="L905" s="1" t="str">
        <f t="shared" si="99"/>
        <v/>
      </c>
    </row>
    <row r="906" spans="1:12" ht="45" hidden="1" x14ac:dyDescent="0.25">
      <c r="A906" s="1">
        <f>INDEX(rq_evidence_review!A:A, MATCH(B906, rq_evidence_review!B:B, 0))</f>
        <v>4</v>
      </c>
      <c r="B906" s="6">
        <v>4.5</v>
      </c>
      <c r="C906" s="1">
        <f t="shared" si="96"/>
        <v>900</v>
      </c>
      <c r="D906" s="1">
        <f>VLOOKUP(B906,rq_evidence_review!$B$1:$L$55,7,FALSE)</f>
        <v>17</v>
      </c>
      <c r="E906" s="8" t="s">
        <v>1163</v>
      </c>
      <c r="H906" s="1" t="str">
        <f t="shared" si="102"/>
        <v>Gu</v>
      </c>
      <c r="I906" s="1" t="str">
        <f t="shared" si="103"/>
        <v>2022</v>
      </c>
      <c r="J906" s="1" t="str">
        <f t="shared" si="98"/>
        <v>Gu et al., 2022</v>
      </c>
      <c r="K906" s="1" t="str">
        <f t="shared" si="101"/>
        <v>10.1080/09513590.2022.2078805</v>
      </c>
      <c r="L906" s="1" t="str">
        <f t="shared" si="99"/>
        <v/>
      </c>
    </row>
    <row r="907" spans="1:12" ht="30" hidden="1" x14ac:dyDescent="0.25">
      <c r="A907" s="1">
        <f>INDEX(rq_evidence_review!A:A, MATCH(B907, rq_evidence_review!B:B, 0))</f>
        <v>4</v>
      </c>
      <c r="B907" s="6">
        <v>4.5</v>
      </c>
      <c r="C907" s="1">
        <f t="shared" si="96"/>
        <v>901</v>
      </c>
      <c r="D907" s="1">
        <f>VLOOKUP(B907,rq_evidence_review!$B$1:$L$55,7,FALSE)</f>
        <v>17</v>
      </c>
      <c r="E907" s="8" t="s">
        <v>1164</v>
      </c>
      <c r="H907" s="1" t="str">
        <f t="shared" si="102"/>
        <v>Jensterle</v>
      </c>
      <c r="I907" s="1" t="str">
        <f t="shared" si="103"/>
        <v>2021</v>
      </c>
      <c r="J907" s="1" t="str">
        <f t="shared" si="98"/>
        <v>Jensterle et al., 2021</v>
      </c>
      <c r="K907" s="1" t="str">
        <f t="shared" si="101"/>
        <v>10.1016/j.diabres.2021.108935</v>
      </c>
      <c r="L907" s="1" t="str">
        <f t="shared" si="99"/>
        <v/>
      </c>
    </row>
    <row r="908" spans="1:12" ht="45" hidden="1" x14ac:dyDescent="0.25">
      <c r="A908" s="1">
        <f>INDEX(rq_evidence_review!A:A, MATCH(B908, rq_evidence_review!B:B, 0))</f>
        <v>4</v>
      </c>
      <c r="B908" s="6">
        <v>4.5</v>
      </c>
      <c r="C908" s="1">
        <f t="shared" si="96"/>
        <v>902</v>
      </c>
      <c r="D908" s="1">
        <f>VLOOKUP(B908,rq_evidence_review!$B$1:$L$55,7,FALSE)</f>
        <v>17</v>
      </c>
      <c r="E908" s="8" t="s">
        <v>1165</v>
      </c>
      <c r="H908" s="1" t="str">
        <f t="shared" si="102"/>
        <v>Ma</v>
      </c>
      <c r="I908" s="1" t="str">
        <f t="shared" si="103"/>
        <v>2021</v>
      </c>
      <c r="J908" s="1" t="str">
        <f t="shared" si="98"/>
        <v>Ma et al., 2021</v>
      </c>
      <c r="K908" s="1" t="str">
        <f t="shared" si="101"/>
        <v>10.1097/CM9.0000000000001712</v>
      </c>
      <c r="L908" s="1" t="str">
        <f t="shared" si="99"/>
        <v/>
      </c>
    </row>
    <row r="909" spans="1:12" ht="45" hidden="1" x14ac:dyDescent="0.25">
      <c r="A909" s="1">
        <f>INDEX(rq_evidence_review!A:A, MATCH(B909, rq_evidence_review!B:B, 0))</f>
        <v>4</v>
      </c>
      <c r="B909" s="6">
        <v>4.5</v>
      </c>
      <c r="C909" s="1">
        <f t="shared" si="96"/>
        <v>903</v>
      </c>
      <c r="D909" s="1">
        <f>VLOOKUP(B909,rq_evidence_review!$B$1:$L$55,7,FALSE)</f>
        <v>17</v>
      </c>
      <c r="E909" s="8" t="s">
        <v>1166</v>
      </c>
      <c r="H909" s="1" t="str">
        <f t="shared" si="102"/>
        <v>Moini</v>
      </c>
      <c r="I909" s="1" t="str">
        <f t="shared" si="103"/>
        <v>2015</v>
      </c>
      <c r="J909" s="1" t="str">
        <f t="shared" si="98"/>
        <v>Moini et al., 2015</v>
      </c>
      <c r="K909" s="1" t="str">
        <f t="shared" si="101"/>
        <v>10.1007/s12020-014-0426-4</v>
      </c>
      <c r="L909" s="1" t="str">
        <f t="shared" si="99"/>
        <v/>
      </c>
    </row>
    <row r="910" spans="1:12" ht="45" hidden="1" x14ac:dyDescent="0.25">
      <c r="A910" s="1">
        <f>INDEX(rq_evidence_review!A:A, MATCH(B910, rq_evidence_review!B:B, 0))</f>
        <v>4</v>
      </c>
      <c r="B910" s="6">
        <v>4.5</v>
      </c>
      <c r="C910" s="1">
        <f t="shared" si="96"/>
        <v>904</v>
      </c>
      <c r="D910" s="1">
        <f>VLOOKUP(B910,rq_evidence_review!$B$1:$L$55,7,FALSE)</f>
        <v>17</v>
      </c>
      <c r="E910" s="8" t="s">
        <v>1167</v>
      </c>
      <c r="H910" s="1" t="str">
        <f t="shared" si="102"/>
        <v>Tao</v>
      </c>
      <c r="I910" s="1" t="str">
        <f t="shared" si="103"/>
        <v>2021</v>
      </c>
      <c r="J910" s="1" t="str">
        <f t="shared" si="98"/>
        <v>Tao et al., 2021</v>
      </c>
      <c r="K910" s="1" t="str">
        <f t="shared" si="101"/>
        <v>10.1210/clinem/dgaa692</v>
      </c>
      <c r="L910" s="1" t="str">
        <f t="shared" si="99"/>
        <v/>
      </c>
    </row>
    <row r="911" spans="1:12" ht="45" hidden="1" x14ac:dyDescent="0.25">
      <c r="A911" s="1">
        <f>INDEX(rq_evidence_review!A:A, MATCH(B911, rq_evidence_review!B:B, 0))</f>
        <v>4</v>
      </c>
      <c r="B911" s="6">
        <v>4.5</v>
      </c>
      <c r="C911" s="1">
        <f t="shared" si="96"/>
        <v>905</v>
      </c>
      <c r="D911" s="1">
        <f>VLOOKUP(B911,rq_evidence_review!$B$1:$L$55,7,FALSE)</f>
        <v>17</v>
      </c>
      <c r="E911" s="8" t="s">
        <v>1979</v>
      </c>
      <c r="F911" s="1" t="str">
        <f>IF(ISNUMBER(SEARCH("primary citation", E911)), "primary_citation", "")</f>
        <v>primary_citation</v>
      </c>
      <c r="H911" s="1" t="str">
        <f t="shared" si="102"/>
        <v>Liu</v>
      </c>
      <c r="I911" s="1" t="str">
        <f t="shared" si="103"/>
        <v>2017</v>
      </c>
      <c r="J911" s="1" t="str">
        <f t="shared" si="98"/>
        <v>Liu et al., 2017</v>
      </c>
      <c r="K911" s="1" t="str">
        <f t="shared" si="101"/>
        <v>10.1111/cen.13454</v>
      </c>
      <c r="L911" s="1" t="str">
        <f t="shared" si="99"/>
        <v/>
      </c>
    </row>
    <row r="912" spans="1:12" ht="45" hidden="1" x14ac:dyDescent="0.25">
      <c r="A912" s="1">
        <f>INDEX(rq_evidence_review!A:A, MATCH(B912, rq_evidence_review!B:B, 0))</f>
        <v>4</v>
      </c>
      <c r="B912" s="6">
        <v>4.5</v>
      </c>
      <c r="C912" s="1">
        <f t="shared" si="96"/>
        <v>906</v>
      </c>
      <c r="D912" s="1">
        <f>VLOOKUP(B912,rq_evidence_review!$B$1:$L$55,7,FALSE)</f>
        <v>17</v>
      </c>
      <c r="E912" s="8" t="s">
        <v>1168</v>
      </c>
      <c r="F912" s="1" t="str">
        <f>_xlfn.CONCAT("samestudy_",C$911)</f>
        <v>samestudy_905</v>
      </c>
      <c r="H912" s="1" t="str">
        <f t="shared" si="102"/>
        <v>Li</v>
      </c>
      <c r="I912" s="1" t="str">
        <f t="shared" si="103"/>
        <v>2022</v>
      </c>
      <c r="J912" s="1" t="str">
        <f t="shared" si="98"/>
        <v>Li et al., 2022</v>
      </c>
      <c r="K912" s="1" t="str">
        <f t="shared" si="101"/>
        <v>10.1007/s00404-022-06700-3</v>
      </c>
      <c r="L912" s="1" t="str">
        <f t="shared" si="99"/>
        <v/>
      </c>
    </row>
    <row r="913" spans="1:14" ht="30" hidden="1" x14ac:dyDescent="0.25">
      <c r="A913" s="1">
        <f>INDEX(rq_evidence_review!A:A, MATCH(B913, rq_evidence_review!B:B, 0))</f>
        <v>4</v>
      </c>
      <c r="B913" s="6">
        <v>4.5</v>
      </c>
      <c r="C913" s="1">
        <f t="shared" si="96"/>
        <v>907</v>
      </c>
      <c r="D913" s="1">
        <f>VLOOKUP(B913,rq_evidence_review!$B$1:$L$55,7,FALSE)</f>
        <v>17</v>
      </c>
      <c r="E913" s="8" t="s">
        <v>1980</v>
      </c>
      <c r="F913" s="1" t="str">
        <f>IF(ISNUMBER(SEARCH("primary citation", E913)), "primary_citation", "")</f>
        <v>primary_citation</v>
      </c>
      <c r="H913" s="1" t="str">
        <f t="shared" si="102"/>
        <v>Nylander</v>
      </c>
      <c r="I913" s="1" t="str">
        <f t="shared" si="103"/>
        <v>2017</v>
      </c>
      <c r="J913" s="1" t="str">
        <f t="shared" si="98"/>
        <v>Nylander et al., 2017</v>
      </c>
      <c r="K913" s="1" t="str">
        <f t="shared" si="101"/>
        <v>10.1530/EC-16-0113</v>
      </c>
      <c r="L913" s="1" t="str">
        <f t="shared" si="99"/>
        <v/>
      </c>
    </row>
    <row r="914" spans="1:14" ht="30" hidden="1" x14ac:dyDescent="0.25">
      <c r="A914" s="1">
        <f>INDEX(rq_evidence_review!A:A, MATCH(B914, rq_evidence_review!B:B, 0))</f>
        <v>4</v>
      </c>
      <c r="B914" s="6">
        <v>4.5</v>
      </c>
      <c r="C914" s="1">
        <f t="shared" si="96"/>
        <v>908</v>
      </c>
      <c r="D914" s="1">
        <f>VLOOKUP(B914,rq_evidence_review!$B$1:$L$55,7,FALSE)</f>
        <v>17</v>
      </c>
      <c r="E914" s="8" t="s">
        <v>1169</v>
      </c>
      <c r="F914" s="1" t="str">
        <f>_xlfn.CONCAT("samestudy_",C$913)</f>
        <v>samestudy_907</v>
      </c>
      <c r="H914" s="1" t="str">
        <f t="shared" si="102"/>
        <v>Nylander</v>
      </c>
      <c r="I914" s="1" t="str">
        <f t="shared" si="103"/>
        <v>2017</v>
      </c>
      <c r="J914" s="1" t="str">
        <f t="shared" si="98"/>
        <v>Nylander et al., 2017</v>
      </c>
      <c r="K914" s="1" t="str">
        <f t="shared" si="101"/>
        <v>10.1016/j.rbmo.2017.03.023</v>
      </c>
      <c r="L914" s="1" t="str">
        <f t="shared" si="99"/>
        <v/>
      </c>
    </row>
    <row r="915" spans="1:14" ht="30" hidden="1" x14ac:dyDescent="0.25">
      <c r="A915" s="1">
        <f>INDEX(rq_evidence_review!A:A, MATCH(B915, rq_evidence_review!B:B, 0))</f>
        <v>4</v>
      </c>
      <c r="B915" s="6">
        <v>4.5</v>
      </c>
      <c r="C915" s="1">
        <f t="shared" si="96"/>
        <v>909</v>
      </c>
      <c r="D915" s="1">
        <f>VLOOKUP(B915,rq_evidence_review!$B$1:$L$55,7,FALSE)</f>
        <v>17</v>
      </c>
      <c r="E915" s="8" t="s">
        <v>1170</v>
      </c>
      <c r="F915" s="1" t="str">
        <f>_xlfn.CONCAT("samestudy_",C$913)</f>
        <v>samestudy_907</v>
      </c>
      <c r="H915" s="1" t="str">
        <f t="shared" si="102"/>
        <v>Frossing</v>
      </c>
      <c r="I915" s="1" t="str">
        <f t="shared" si="103"/>
        <v>2018</v>
      </c>
      <c r="J915" s="1" t="str">
        <f t="shared" si="98"/>
        <v>Frossing et al., 2018</v>
      </c>
      <c r="K915" s="1" t="str">
        <f t="shared" si="101"/>
        <v>10.1111/dom.13053</v>
      </c>
      <c r="L915" s="1" t="str">
        <f t="shared" si="99"/>
        <v/>
      </c>
    </row>
    <row r="916" spans="1:14" ht="30" hidden="1" x14ac:dyDescent="0.25">
      <c r="A916" s="1">
        <f>INDEX(rq_evidence_review!A:A, MATCH(B916, rq_evidence_review!B:B, 0))</f>
        <v>4</v>
      </c>
      <c r="B916" s="6">
        <v>4.5</v>
      </c>
      <c r="C916" s="1">
        <f t="shared" si="96"/>
        <v>910</v>
      </c>
      <c r="D916" s="1">
        <f>VLOOKUP(B916,rq_evidence_review!$B$1:$L$55,7,FALSE)</f>
        <v>17</v>
      </c>
      <c r="E916" s="8" t="s">
        <v>1171</v>
      </c>
      <c r="F916" s="1" t="str">
        <f>_xlfn.CONCAT("samestudy_",C$913)</f>
        <v>samestudy_907</v>
      </c>
      <c r="H916" s="1" t="str">
        <f t="shared" si="102"/>
        <v>Frossing</v>
      </c>
      <c r="I916" s="1" t="str">
        <f t="shared" si="103"/>
        <v>2018</v>
      </c>
      <c r="J916" s="1" t="str">
        <f t="shared" si="98"/>
        <v>Frossing et al., 2018</v>
      </c>
      <c r="K916" s="1" t="str">
        <f t="shared" si="101"/>
        <v>10.1530/EC-17-0327</v>
      </c>
      <c r="L916" s="1" t="str">
        <f t="shared" si="99"/>
        <v/>
      </c>
    </row>
    <row r="917" spans="1:14" ht="45" hidden="1" x14ac:dyDescent="0.25">
      <c r="A917" s="1">
        <f>INDEX(rq_evidence_review!A:A, MATCH(B917, rq_evidence_review!B:B, 0))</f>
        <v>4</v>
      </c>
      <c r="B917" s="6">
        <v>4.5</v>
      </c>
      <c r="C917" s="1">
        <f t="shared" si="96"/>
        <v>911</v>
      </c>
      <c r="D917" s="1">
        <f>VLOOKUP(B917,rq_evidence_review!$B$1:$L$55,7,FALSE)</f>
        <v>17</v>
      </c>
      <c r="E917" s="8" t="s">
        <v>1981</v>
      </c>
      <c r="F917" s="1" t="str">
        <f>IF(ISNUMBER(SEARCH("primary citation", E917)), "primary_citation", "")</f>
        <v>primary_citation</v>
      </c>
      <c r="H917" s="1" t="str">
        <f t="shared" si="102"/>
        <v>Song</v>
      </c>
      <c r="I917" s="1" t="str">
        <f t="shared" si="103"/>
        <v>2018</v>
      </c>
      <c r="J917" s="1" t="str">
        <f t="shared" si="98"/>
        <v>Song et al., 2018</v>
      </c>
      <c r="K917" s="1" t="str">
        <f t="shared" si="101"/>
        <v>10.1080/09513590.2017.1407752</v>
      </c>
      <c r="L917" s="1" t="str">
        <f t="shared" si="99"/>
        <v/>
      </c>
    </row>
    <row r="918" spans="1:14" ht="30" hidden="1" x14ac:dyDescent="0.25">
      <c r="A918" s="1">
        <f>INDEX(rq_evidence_review!A:A, MATCH(B918, rq_evidence_review!B:B, 0))</f>
        <v>4</v>
      </c>
      <c r="B918" s="6">
        <v>4.5</v>
      </c>
      <c r="C918" s="1">
        <f t="shared" si="96"/>
        <v>912</v>
      </c>
      <c r="D918" s="1">
        <f>VLOOKUP(B918,rq_evidence_review!$B$1:$L$55,7,FALSE)</f>
        <v>17</v>
      </c>
      <c r="E918" s="8" t="s">
        <v>1172</v>
      </c>
      <c r="F918" s="1" t="str">
        <f>_xlfn.CONCAT("samestudy_",C$917)</f>
        <v>samestudy_911</v>
      </c>
      <c r="H918" s="1" t="str">
        <f t="shared" si="102"/>
        <v>Ruan</v>
      </c>
      <c r="I918" s="1" t="str">
        <f t="shared" si="103"/>
        <v>2018</v>
      </c>
      <c r="J918" s="1" t="str">
        <f t="shared" si="98"/>
        <v>Ruan et al., 2018</v>
      </c>
      <c r="K918" s="1" t="str">
        <f t="shared" si="101"/>
        <v>10.1007/s00404-018-4762-0</v>
      </c>
      <c r="L918" s="1" t="str">
        <f t="shared" si="99"/>
        <v/>
      </c>
    </row>
    <row r="919" spans="1:14" ht="45" hidden="1" x14ac:dyDescent="0.25">
      <c r="A919" s="1">
        <f>INDEX(rq_evidence_review!A:A, MATCH(B919, rq_evidence_review!B:B, 0))</f>
        <v>4</v>
      </c>
      <c r="B919" s="6">
        <v>4.5</v>
      </c>
      <c r="C919" s="1">
        <f t="shared" si="96"/>
        <v>913</v>
      </c>
      <c r="D919" s="1">
        <f>VLOOKUP(B919,rq_evidence_review!$B$1:$L$55,7,FALSE)</f>
        <v>17</v>
      </c>
      <c r="E919" s="8" t="s">
        <v>1982</v>
      </c>
      <c r="F919" s="1" t="str">
        <f>IF(ISNUMBER(SEARCH("primary citation", E919)), "primary_citation", "")</f>
        <v>primary_citation</v>
      </c>
      <c r="H919" s="1" t="str">
        <f t="shared" si="102"/>
        <v>Zheng</v>
      </c>
      <c r="I919" s="1" t="str">
        <f t="shared" si="103"/>
        <v>2017</v>
      </c>
      <c r="J919" s="1" t="str">
        <f t="shared" si="98"/>
        <v>Zheng et al., 2017</v>
      </c>
      <c r="K919" s="1" t="str">
        <f t="shared" si="101"/>
        <v>10.1016/j.obmed.2017.06.003</v>
      </c>
      <c r="L919" s="1" t="str">
        <f t="shared" si="99"/>
        <v/>
      </c>
    </row>
    <row r="920" spans="1:14" ht="45" hidden="1" x14ac:dyDescent="0.25">
      <c r="A920" s="1">
        <f>INDEX(rq_evidence_review!A:A, MATCH(B920, rq_evidence_review!B:B, 0))</f>
        <v>4</v>
      </c>
      <c r="B920" s="6">
        <v>4.5</v>
      </c>
      <c r="C920" s="1">
        <f t="shared" si="96"/>
        <v>914</v>
      </c>
      <c r="D920" s="1">
        <f>VLOOKUP(B920,rq_evidence_review!$B$1:$L$55,7,FALSE)</f>
        <v>17</v>
      </c>
      <c r="E920" s="8" t="s">
        <v>1173</v>
      </c>
      <c r="F920" s="1" t="str">
        <f>_xlfn.CONCAT("samestudy_",C$919)</f>
        <v>samestudy_913</v>
      </c>
      <c r="H920" s="1" t="str">
        <f t="shared" si="102"/>
        <v>Zheng</v>
      </c>
      <c r="I920" s="1" t="str">
        <f t="shared" si="103"/>
        <v>2019</v>
      </c>
      <c r="J920" s="1" t="str">
        <f t="shared" si="98"/>
        <v>Zheng et al., 2019</v>
      </c>
      <c r="K920" s="1" t="str">
        <f t="shared" si="101"/>
        <v>10.1507/endocrj.EJ18-0153</v>
      </c>
      <c r="L920" s="1" t="str">
        <f t="shared" si="99"/>
        <v/>
      </c>
    </row>
    <row r="921" spans="1:14" ht="45" hidden="1" x14ac:dyDescent="0.25">
      <c r="A921" s="1">
        <f>INDEX(rq_evidence_review!A:A, MATCH(B921, rq_evidence_review!B:B, 0))</f>
        <v>4</v>
      </c>
      <c r="B921" s="6">
        <f>rq_evidence_review!B35</f>
        <v>4.5999999999999996</v>
      </c>
      <c r="C921" s="1">
        <f t="shared" si="96"/>
        <v>915</v>
      </c>
      <c r="D921" s="1">
        <f>VLOOKUP(B921,rq_evidence_review!$B$1:$L$55,7,FALSE)</f>
        <v>26</v>
      </c>
      <c r="E921" s="8" t="s">
        <v>1174</v>
      </c>
      <c r="H921" s="1" t="str">
        <f t="shared" si="102"/>
        <v>Alpañés M</v>
      </c>
      <c r="I921" s="1" t="str">
        <f t="shared" si="103"/>
        <v>2017</v>
      </c>
      <c r="J921" s="1" t="str">
        <f t="shared" si="98"/>
        <v>Alpañés M et al., 2017</v>
      </c>
      <c r="K921" s="1" t="str">
        <f t="shared" si="101"/>
        <v>10.1530/EJE-17-0516</v>
      </c>
      <c r="L921" s="1" t="str">
        <f t="shared" si="99"/>
        <v/>
      </c>
    </row>
    <row r="922" spans="1:14" ht="30" hidden="1" x14ac:dyDescent="0.25">
      <c r="A922" s="1">
        <f>INDEX(rq_evidence_review!A:A, MATCH(B922, rq_evidence_review!B:B, 0))</f>
        <v>4</v>
      </c>
      <c r="B922" s="6">
        <v>4.5999999999999996</v>
      </c>
      <c r="C922" s="1">
        <f t="shared" si="96"/>
        <v>916</v>
      </c>
      <c r="D922" s="1">
        <f>VLOOKUP(B922,rq_evidence_review!$B$1:$L$55,7,FALSE)</f>
        <v>26</v>
      </c>
      <c r="E922" s="8" t="s">
        <v>1175</v>
      </c>
      <c r="H922" s="1" t="str">
        <f t="shared" si="102"/>
        <v>Amiri M</v>
      </c>
      <c r="I922" s="1" t="str">
        <f t="shared" si="103"/>
        <v>2014</v>
      </c>
      <c r="J922" s="1" t="str">
        <f t="shared" si="98"/>
        <v>Amiri M et al., 2014</v>
      </c>
      <c r="K922" s="1" t="str">
        <f t="shared" si="101"/>
        <v/>
      </c>
      <c r="L922" s="9">
        <v>25473629</v>
      </c>
      <c r="M922" s="1" t="s">
        <v>1790</v>
      </c>
      <c r="N922" s="1">
        <v>2675980</v>
      </c>
    </row>
    <row r="923" spans="1:14" ht="30" hidden="1" x14ac:dyDescent="0.25">
      <c r="A923" s="1">
        <f>INDEX(rq_evidence_review!A:A, MATCH(B923, rq_evidence_review!B:B, 0))</f>
        <v>4</v>
      </c>
      <c r="B923" s="6">
        <v>4.5999999999999996</v>
      </c>
      <c r="C923" s="1">
        <f t="shared" si="96"/>
        <v>917</v>
      </c>
      <c r="D923" s="1">
        <f>VLOOKUP(B923,rq_evidence_review!$B$1:$L$55,7,FALSE)</f>
        <v>26</v>
      </c>
      <c r="E923" s="8" t="s">
        <v>1176</v>
      </c>
      <c r="H923" s="1" t="str">
        <f t="shared" si="102"/>
        <v>Burchall GF</v>
      </c>
      <c r="I923" s="1" t="str">
        <f t="shared" si="103"/>
        <v>2017</v>
      </c>
      <c r="J923" s="1" t="str">
        <f t="shared" si="98"/>
        <v>Burchall GF et al., 2017</v>
      </c>
      <c r="K923" s="1" t="str">
        <f t="shared" si="101"/>
        <v>10.1160/TH17-04-0248</v>
      </c>
      <c r="L923" s="1" t="str">
        <f t="shared" si="99"/>
        <v/>
      </c>
    </row>
    <row r="924" spans="1:14" ht="30" hidden="1" x14ac:dyDescent="0.25">
      <c r="A924" s="1">
        <f>INDEX(rq_evidence_review!A:A, MATCH(B924, rq_evidence_review!B:B, 0))</f>
        <v>4</v>
      </c>
      <c r="B924" s="6">
        <v>4.5999999999999996</v>
      </c>
      <c r="C924" s="1">
        <f t="shared" si="96"/>
        <v>918</v>
      </c>
      <c r="D924" s="1">
        <f>VLOOKUP(B924,rq_evidence_review!$B$1:$L$55,7,FALSE)</f>
        <v>26</v>
      </c>
      <c r="E924" s="8" t="s">
        <v>1177</v>
      </c>
      <c r="H924" s="1" t="str">
        <f t="shared" si="102"/>
        <v>de Zegher F</v>
      </c>
      <c r="I924" s="1" t="str">
        <f t="shared" si="103"/>
        <v>2021</v>
      </c>
      <c r="J924" s="1" t="str">
        <f t="shared" si="98"/>
        <v>de Zegher F et al., 2021</v>
      </c>
      <c r="K924" s="1" t="str">
        <f t="shared" si="101"/>
        <v>10.1038/s41598-021-86317-9</v>
      </c>
      <c r="L924" s="1" t="str">
        <f t="shared" si="99"/>
        <v/>
      </c>
    </row>
    <row r="925" spans="1:14" ht="45" hidden="1" x14ac:dyDescent="0.25">
      <c r="A925" s="1">
        <f>INDEX(rq_evidence_review!A:A, MATCH(B925, rq_evidence_review!B:B, 0))</f>
        <v>4</v>
      </c>
      <c r="B925" s="6">
        <v>4.5999999999999996</v>
      </c>
      <c r="C925" s="1">
        <f t="shared" si="96"/>
        <v>919</v>
      </c>
      <c r="D925" s="1">
        <f>VLOOKUP(B925,rq_evidence_review!$B$1:$L$55,7,FALSE)</f>
        <v>26</v>
      </c>
      <c r="E925" s="8" t="s">
        <v>1178</v>
      </c>
      <c r="H925" s="1" t="str">
        <f t="shared" si="102"/>
        <v>Diaz M</v>
      </c>
      <c r="I925" s="1" t="str">
        <f t="shared" si="103"/>
        <v>2018</v>
      </c>
      <c r="J925" s="1" t="str">
        <f t="shared" si="98"/>
        <v>Diaz M et al., 2018</v>
      </c>
      <c r="K925" s="1" t="str">
        <f t="shared" si="101"/>
        <v>10.1155/2018/4192940</v>
      </c>
      <c r="L925" s="1" t="str">
        <f t="shared" si="99"/>
        <v/>
      </c>
    </row>
    <row r="926" spans="1:14" ht="30" hidden="1" x14ac:dyDescent="0.25">
      <c r="A926" s="1">
        <f>INDEX(rq_evidence_review!A:A, MATCH(B926, rq_evidence_review!B:B, 0))</f>
        <v>4</v>
      </c>
      <c r="B926" s="6">
        <v>4.5999999999999996</v>
      </c>
      <c r="C926" s="1">
        <f t="shared" si="96"/>
        <v>920</v>
      </c>
      <c r="D926" s="1">
        <f>VLOOKUP(B926,rq_evidence_review!$B$1:$L$55,7,FALSE)</f>
        <v>26</v>
      </c>
      <c r="E926" s="8" t="s">
        <v>1179</v>
      </c>
      <c r="H926" s="1" t="str">
        <f t="shared" si="102"/>
        <v>Falsetti L</v>
      </c>
      <c r="I926" s="1" t="str">
        <f t="shared" si="103"/>
        <v>1997</v>
      </c>
      <c r="J926" s="1" t="str">
        <f t="shared" si="98"/>
        <v>Falsetti L et al., 1997</v>
      </c>
      <c r="K926" s="1" t="str">
        <f t="shared" si="101"/>
        <v>10.3109/09513599709152542</v>
      </c>
      <c r="L926" s="1" t="str">
        <f t="shared" si="99"/>
        <v/>
      </c>
    </row>
    <row r="927" spans="1:14" ht="30" hidden="1" x14ac:dyDescent="0.25">
      <c r="A927" s="1">
        <f>INDEX(rq_evidence_review!A:A, MATCH(B927, rq_evidence_review!B:B, 0))</f>
        <v>4</v>
      </c>
      <c r="B927" s="6">
        <v>4.5999999999999996</v>
      </c>
      <c r="C927" s="1">
        <f t="shared" si="96"/>
        <v>921</v>
      </c>
      <c r="D927" s="1">
        <f>VLOOKUP(B927,rq_evidence_review!$B$1:$L$55,7,FALSE)</f>
        <v>26</v>
      </c>
      <c r="E927" s="8" t="s">
        <v>1180</v>
      </c>
      <c r="H927" s="1" t="str">
        <f t="shared" si="102"/>
        <v>Falsetti L</v>
      </c>
      <c r="I927" s="1" t="str">
        <f t="shared" si="103"/>
        <v>1999</v>
      </c>
      <c r="J927" s="1" t="str">
        <f t="shared" si="98"/>
        <v>Falsetti L et al., 1999</v>
      </c>
      <c r="K927" s="1" t="str">
        <f t="shared" si="101"/>
        <v>10.1530/eje.0.1410361</v>
      </c>
      <c r="L927" s="1" t="str">
        <f t="shared" si="99"/>
        <v/>
      </c>
    </row>
    <row r="928" spans="1:14" ht="45" hidden="1" x14ac:dyDescent="0.25">
      <c r="A928" s="1">
        <f>INDEX(rq_evidence_review!A:A, MATCH(B928, rq_evidence_review!B:B, 0))</f>
        <v>4</v>
      </c>
      <c r="B928" s="6">
        <v>4.5999999999999996</v>
      </c>
      <c r="C928" s="1">
        <f t="shared" ref="C928:C946" si="104">C927+1</f>
        <v>922</v>
      </c>
      <c r="D928" s="1">
        <f>VLOOKUP(B928,rq_evidence_review!$B$1:$L$55,7,FALSE)</f>
        <v>26</v>
      </c>
      <c r="E928" s="8" t="s">
        <v>1181</v>
      </c>
      <c r="H928" s="1" t="str">
        <f t="shared" si="102"/>
        <v>Gambineri A</v>
      </c>
      <c r="I928" s="1" t="str">
        <f t="shared" si="103"/>
        <v>2006</v>
      </c>
      <c r="J928" s="1" t="str">
        <f t="shared" si="98"/>
        <v>Gambineri A et al., 2006</v>
      </c>
      <c r="K928" s="1" t="str">
        <f t="shared" si="101"/>
        <v>10.1210/jc.2005-2250</v>
      </c>
      <c r="L928" s="1" t="str">
        <f t="shared" si="99"/>
        <v/>
      </c>
    </row>
    <row r="929" spans="1:14" ht="45" hidden="1" x14ac:dyDescent="0.25">
      <c r="A929" s="1">
        <f>INDEX(rq_evidence_review!A:A, MATCH(B929, rq_evidence_review!B:B, 0))</f>
        <v>4</v>
      </c>
      <c r="B929" s="6">
        <v>4.5999999999999996</v>
      </c>
      <c r="C929" s="1">
        <f t="shared" si="104"/>
        <v>923</v>
      </c>
      <c r="D929" s="1">
        <f>VLOOKUP(B929,rq_evidence_review!$B$1:$L$55,7,FALSE)</f>
        <v>26</v>
      </c>
      <c r="E929" s="8" t="s">
        <v>1182</v>
      </c>
      <c r="H929" s="1" t="str">
        <f t="shared" si="102"/>
        <v>Gambineri</v>
      </c>
      <c r="I929" s="1" t="str">
        <f t="shared" si="103"/>
        <v>2004</v>
      </c>
      <c r="J929" s="1" t="str">
        <f t="shared" si="98"/>
        <v>Gambineri et al., 2004</v>
      </c>
      <c r="K929" s="1" t="str">
        <f t="shared" si="101"/>
        <v>10.1111/j.1365-2265.2004.01973.x</v>
      </c>
      <c r="L929" s="1" t="str">
        <f t="shared" si="99"/>
        <v/>
      </c>
    </row>
    <row r="930" spans="1:14" ht="30" hidden="1" x14ac:dyDescent="0.25">
      <c r="A930" s="1">
        <f>INDEX(rq_evidence_review!A:A, MATCH(B930, rq_evidence_review!B:B, 0))</f>
        <v>4</v>
      </c>
      <c r="B930" s="6">
        <v>4.5999999999999996</v>
      </c>
      <c r="C930" s="1">
        <f t="shared" si="104"/>
        <v>924</v>
      </c>
      <c r="D930" s="1">
        <f>VLOOKUP(B930,rq_evidence_review!$B$1:$L$55,7,FALSE)</f>
        <v>26</v>
      </c>
      <c r="E930" s="8" t="s">
        <v>1183</v>
      </c>
      <c r="H930" s="1" t="str">
        <f t="shared" ref="H930:H993" si="105">LEFT(E930, FIND(",", E930) - 1)</f>
        <v>Gambineri A</v>
      </c>
      <c r="I930" s="1" t="str">
        <f t="shared" si="103"/>
        <v>2004</v>
      </c>
      <c r="J930" s="1" t="str">
        <f t="shared" ref="J930:J993" si="106">H930 &amp; " et al., " &amp; I930</f>
        <v>Gambineri A et al., 2004</v>
      </c>
      <c r="K930" s="1" t="str">
        <f t="shared" si="101"/>
        <v>10.1111/j.1365-2265.2004.01973.x</v>
      </c>
      <c r="L930" s="1" t="str">
        <f t="shared" si="99"/>
        <v/>
      </c>
    </row>
    <row r="931" spans="1:14" ht="30" hidden="1" x14ac:dyDescent="0.25">
      <c r="A931" s="1">
        <f>INDEX(rq_evidence_review!A:A, MATCH(B931, rq_evidence_review!B:B, 0))</f>
        <v>4</v>
      </c>
      <c r="B931" s="6">
        <v>4.5999999999999996</v>
      </c>
      <c r="C931" s="1">
        <f t="shared" si="104"/>
        <v>925</v>
      </c>
      <c r="D931" s="1">
        <f>VLOOKUP(B931,rq_evidence_review!$B$1:$L$55,7,FALSE)</f>
        <v>26</v>
      </c>
      <c r="E931" s="8" t="s">
        <v>1184</v>
      </c>
      <c r="H931" s="1" t="str">
        <f t="shared" si="105"/>
        <v>Ganie MA</v>
      </c>
      <c r="I931" s="1" t="str">
        <f t="shared" ref="I931:I994" si="107">ExtractYear(E931)</f>
        <v>2004</v>
      </c>
      <c r="J931" s="1" t="str">
        <f t="shared" si="106"/>
        <v>Ganie MA et al., 2004</v>
      </c>
      <c r="K931" s="1" t="str">
        <f t="shared" ref="K931:K994" si="108">ExtractDOI(E931)</f>
        <v>10.1210/jc.2003-031780</v>
      </c>
      <c r="L931" s="1" t="str">
        <f t="shared" ref="L931:L994" si="109">ExtractPMID(E931)</f>
        <v/>
      </c>
    </row>
    <row r="932" spans="1:14" ht="45" hidden="1" x14ac:dyDescent="0.25">
      <c r="A932" s="1">
        <f>INDEX(rq_evidence_review!A:A, MATCH(B932, rq_evidence_review!B:B, 0))</f>
        <v>4</v>
      </c>
      <c r="B932" s="6">
        <v>4.5999999999999996</v>
      </c>
      <c r="C932" s="1">
        <f t="shared" si="104"/>
        <v>926</v>
      </c>
      <c r="D932" s="1">
        <f>VLOOKUP(B932,rq_evidence_review!$B$1:$L$55,7,FALSE)</f>
        <v>26</v>
      </c>
      <c r="E932" s="8" t="s">
        <v>1185</v>
      </c>
      <c r="H932" s="1" t="str">
        <f t="shared" si="105"/>
        <v>Ganie MA</v>
      </c>
      <c r="I932" s="1" t="str">
        <f t="shared" si="107"/>
        <v>2013</v>
      </c>
      <c r="J932" s="1" t="str">
        <f t="shared" si="106"/>
        <v>Ganie MA et al., 2013</v>
      </c>
      <c r="K932" s="1" t="str">
        <f t="shared" si="108"/>
        <v>10.1210/jc.2013-1040</v>
      </c>
      <c r="L932" s="1" t="str">
        <f t="shared" si="109"/>
        <v/>
      </c>
    </row>
    <row r="933" spans="1:14" ht="30" hidden="1" x14ac:dyDescent="0.25">
      <c r="A933" s="1">
        <f>INDEX(rq_evidence_review!A:A, MATCH(B933, rq_evidence_review!B:B, 0))</f>
        <v>4</v>
      </c>
      <c r="B933" s="6">
        <v>4.5999999999999996</v>
      </c>
      <c r="C933" s="1">
        <f t="shared" si="104"/>
        <v>927</v>
      </c>
      <c r="D933" s="1">
        <f>VLOOKUP(B933,rq_evidence_review!$B$1:$L$55,7,FALSE)</f>
        <v>26</v>
      </c>
      <c r="E933" s="8" t="s">
        <v>1186</v>
      </c>
      <c r="H933" s="1" t="str">
        <f t="shared" si="105"/>
        <v>Hagag P</v>
      </c>
      <c r="I933" s="1" t="str">
        <f t="shared" si="107"/>
        <v>2014</v>
      </c>
      <c r="J933" s="1" t="str">
        <f t="shared" si="106"/>
        <v>Hagag P et al., 2014</v>
      </c>
      <c r="K933" s="1" t="str">
        <f t="shared" si="108"/>
        <v/>
      </c>
      <c r="L933" s="1">
        <v>25330687</v>
      </c>
      <c r="M933" s="1" t="s">
        <v>1702</v>
      </c>
      <c r="N933" s="1">
        <v>22317157</v>
      </c>
    </row>
    <row r="934" spans="1:14" ht="30" hidden="1" x14ac:dyDescent="0.25">
      <c r="A934" s="1">
        <f>INDEX(rq_evidence_review!A:A, MATCH(B934, rq_evidence_review!B:B, 0))</f>
        <v>4</v>
      </c>
      <c r="B934" s="6">
        <v>4.5999999999999996</v>
      </c>
      <c r="C934" s="1">
        <f t="shared" si="104"/>
        <v>928</v>
      </c>
      <c r="D934" s="1">
        <f>VLOOKUP(B934,rq_evidence_review!$B$1:$L$55,7,FALSE)</f>
        <v>26</v>
      </c>
      <c r="E934" s="8" t="s">
        <v>1187</v>
      </c>
      <c r="H934" s="1" t="str">
        <f t="shared" si="105"/>
        <v>Ibanez L</v>
      </c>
      <c r="I934" s="1" t="str">
        <f t="shared" si="107"/>
        <v>2004</v>
      </c>
      <c r="J934" s="1" t="str">
        <f t="shared" si="106"/>
        <v>Ibanez L et al., 2004</v>
      </c>
      <c r="K934" s="1" t="str">
        <f t="shared" si="108"/>
        <v>10.1210/jc.2003-031281</v>
      </c>
      <c r="L934" s="1" t="str">
        <f t="shared" si="109"/>
        <v/>
      </c>
    </row>
    <row r="935" spans="1:14" ht="30" hidden="1" x14ac:dyDescent="0.25">
      <c r="A935" s="1">
        <f>INDEX(rq_evidence_review!A:A, MATCH(B935, rq_evidence_review!B:B, 0))</f>
        <v>4</v>
      </c>
      <c r="B935" s="6">
        <v>4.5999999999999996</v>
      </c>
      <c r="C935" s="1">
        <f t="shared" si="104"/>
        <v>929</v>
      </c>
      <c r="D935" s="1">
        <f>VLOOKUP(B935,rq_evidence_review!$B$1:$L$55,7,FALSE)</f>
        <v>26</v>
      </c>
      <c r="E935" s="8" t="s">
        <v>1188</v>
      </c>
      <c r="H935" s="1" t="str">
        <f t="shared" si="105"/>
        <v>Ibáñez L</v>
      </c>
      <c r="I935" s="1" t="str">
        <f t="shared" si="107"/>
        <v>2017</v>
      </c>
      <c r="J935" s="1" t="str">
        <f t="shared" si="106"/>
        <v>Ibáñez L et al., 2017</v>
      </c>
      <c r="K935" s="1" t="str">
        <f t="shared" si="108"/>
        <v>10.1016/j.jadohealth.2017.04.010</v>
      </c>
      <c r="L935" s="1" t="str">
        <f t="shared" si="109"/>
        <v/>
      </c>
    </row>
    <row r="936" spans="1:14" ht="30" hidden="1" x14ac:dyDescent="0.25">
      <c r="A936" s="1">
        <f>INDEX(rq_evidence_review!A:A, MATCH(B936, rq_evidence_review!B:B, 0))</f>
        <v>4</v>
      </c>
      <c r="B936" s="6">
        <v>4.5999999999999996</v>
      </c>
      <c r="C936" s="1">
        <f t="shared" si="104"/>
        <v>930</v>
      </c>
      <c r="D936" s="1">
        <f>VLOOKUP(B936,rq_evidence_review!$B$1:$L$55,7,FALSE)</f>
        <v>26</v>
      </c>
      <c r="E936" s="8" t="s">
        <v>1189</v>
      </c>
      <c r="H936" s="1" t="str">
        <f t="shared" si="105"/>
        <v>Ibanez L</v>
      </c>
      <c r="I936" s="1" t="str">
        <f t="shared" si="107"/>
        <v>2020</v>
      </c>
      <c r="J936" s="1" t="str">
        <f t="shared" si="106"/>
        <v>Ibanez L et al., 2020</v>
      </c>
      <c r="K936" s="1" t="str">
        <f t="shared" si="108"/>
        <v>10.1210/jendso/bvaa032</v>
      </c>
      <c r="L936" s="1" t="str">
        <f t="shared" si="109"/>
        <v/>
      </c>
    </row>
    <row r="937" spans="1:14" ht="45" hidden="1" x14ac:dyDescent="0.25">
      <c r="A937" s="1">
        <f>INDEX(rq_evidence_review!A:A, MATCH(B937, rq_evidence_review!B:B, 0))</f>
        <v>4</v>
      </c>
      <c r="B937" s="6">
        <v>4.5999999999999996</v>
      </c>
      <c r="C937" s="1">
        <f t="shared" si="104"/>
        <v>931</v>
      </c>
      <c r="D937" s="1">
        <f>VLOOKUP(B937,rq_evidence_review!$B$1:$L$55,7,FALSE)</f>
        <v>26</v>
      </c>
      <c r="E937" s="8" t="s">
        <v>1190</v>
      </c>
      <c r="H937" s="1" t="str">
        <f t="shared" si="105"/>
        <v>Malpique R</v>
      </c>
      <c r="I937" s="1" t="str">
        <f t="shared" si="107"/>
        <v>2019</v>
      </c>
      <c r="J937" s="1" t="str">
        <f t="shared" si="106"/>
        <v>Malpique R et al., 2019</v>
      </c>
      <c r="K937" s="1" t="str">
        <f t="shared" si="108"/>
        <v>10.1111/ijpo.12500</v>
      </c>
      <c r="L937" s="1" t="str">
        <f t="shared" si="109"/>
        <v/>
      </c>
    </row>
    <row r="938" spans="1:14" ht="45" hidden="1" x14ac:dyDescent="0.25">
      <c r="A938" s="1">
        <f>INDEX(rq_evidence_review!A:A, MATCH(B938, rq_evidence_review!B:B, 0))</f>
        <v>4</v>
      </c>
      <c r="B938" s="6">
        <v>4.5999999999999996</v>
      </c>
      <c r="C938" s="1">
        <f t="shared" si="104"/>
        <v>932</v>
      </c>
      <c r="D938" s="1">
        <f>VLOOKUP(B938,rq_evidence_review!$B$1:$L$55,7,FALSE)</f>
        <v>26</v>
      </c>
      <c r="E938" s="8" t="s">
        <v>1191</v>
      </c>
      <c r="H938" s="1" t="str">
        <f t="shared" si="105"/>
        <v>Mazza A</v>
      </c>
      <c r="I938" s="1" t="str">
        <f t="shared" si="107"/>
        <v>2014</v>
      </c>
      <c r="J938" s="1" t="str">
        <f t="shared" si="106"/>
        <v>Mazza A et al., 2014</v>
      </c>
      <c r="K938" s="1" t="str">
        <f t="shared" si="108"/>
        <v>10.1016/j.numecd.2013.04.016</v>
      </c>
      <c r="L938" s="1" t="str">
        <f t="shared" si="109"/>
        <v/>
      </c>
    </row>
    <row r="939" spans="1:14" ht="30" hidden="1" x14ac:dyDescent="0.25">
      <c r="A939" s="1">
        <f>INDEX(rq_evidence_review!A:A, MATCH(B939, rq_evidence_review!B:B, 0))</f>
        <v>4</v>
      </c>
      <c r="B939" s="6">
        <v>4.5999999999999996</v>
      </c>
      <c r="C939" s="1">
        <f t="shared" si="104"/>
        <v>933</v>
      </c>
      <c r="D939" s="1">
        <f>VLOOKUP(B939,rq_evidence_review!$B$1:$L$55,7,FALSE)</f>
        <v>26</v>
      </c>
      <c r="E939" s="8" t="s">
        <v>1192</v>
      </c>
      <c r="H939" s="1" t="str">
        <f t="shared" si="105"/>
        <v>Mehrabian F</v>
      </c>
      <c r="I939" s="1" t="str">
        <f t="shared" si="107"/>
        <v>2016</v>
      </c>
      <c r="J939" s="1" t="str">
        <f t="shared" si="106"/>
        <v>Mehrabian F et al., 2016</v>
      </c>
      <c r="K939" s="1" t="str">
        <f t="shared" si="108"/>
        <v>10.4103/1735-1995.177354</v>
      </c>
      <c r="L939" s="1" t="str">
        <f t="shared" si="109"/>
        <v/>
      </c>
    </row>
    <row r="940" spans="1:14" ht="30" hidden="1" x14ac:dyDescent="0.25">
      <c r="A940" s="1">
        <f>INDEX(rq_evidence_review!A:A, MATCH(B940, rq_evidence_review!B:B, 0))</f>
        <v>4</v>
      </c>
      <c r="B940" s="6">
        <v>4.5999999999999996</v>
      </c>
      <c r="C940" s="1">
        <f t="shared" si="104"/>
        <v>934</v>
      </c>
      <c r="D940" s="1">
        <f>VLOOKUP(B940,rq_evidence_review!$B$1:$L$55,7,FALSE)</f>
        <v>26</v>
      </c>
      <c r="E940" s="8" t="s">
        <v>1193</v>
      </c>
      <c r="H940" s="1" t="str">
        <f t="shared" si="105"/>
        <v>Meyer C</v>
      </c>
      <c r="I940" s="1" t="str">
        <f t="shared" si="107"/>
        <v>2007</v>
      </c>
      <c r="J940" s="1" t="str">
        <f t="shared" si="106"/>
        <v>Meyer C et al., 2007</v>
      </c>
      <c r="K940" s="1" t="str">
        <f t="shared" si="108"/>
        <v>10.2337/dc06-0618</v>
      </c>
      <c r="L940" s="1" t="str">
        <f t="shared" si="109"/>
        <v/>
      </c>
    </row>
    <row r="941" spans="1:14" ht="45" hidden="1" x14ac:dyDescent="0.25">
      <c r="A941" s="1">
        <f>INDEX(rq_evidence_review!A:A, MATCH(B941, rq_evidence_review!B:B, 0))</f>
        <v>4</v>
      </c>
      <c r="B941" s="6">
        <v>4.5999999999999996</v>
      </c>
      <c r="C941" s="1">
        <f t="shared" si="104"/>
        <v>935</v>
      </c>
      <c r="D941" s="1">
        <f>VLOOKUP(B941,rq_evidence_review!$B$1:$L$55,7,FALSE)</f>
        <v>26</v>
      </c>
      <c r="E941" s="8" t="s">
        <v>1194</v>
      </c>
      <c r="H941" s="1" t="str">
        <f t="shared" si="105"/>
        <v>Moretti C</v>
      </c>
      <c r="I941" s="1" t="str">
        <f t="shared" si="107"/>
        <v>2018</v>
      </c>
      <c r="J941" s="1" t="str">
        <f t="shared" si="106"/>
        <v>Moretti C et al., 2018</v>
      </c>
      <c r="K941" s="1" t="str">
        <f t="shared" si="108"/>
        <v>10.1210/jc.2017-01186</v>
      </c>
      <c r="L941" s="1" t="str">
        <f t="shared" si="109"/>
        <v/>
      </c>
    </row>
    <row r="942" spans="1:14" ht="30" hidden="1" x14ac:dyDescent="0.25">
      <c r="A942" s="1">
        <f>INDEX(rq_evidence_review!A:A, MATCH(B942, rq_evidence_review!B:B, 0))</f>
        <v>4</v>
      </c>
      <c r="B942" s="6">
        <v>4.5999999999999996</v>
      </c>
      <c r="C942" s="1">
        <f t="shared" si="104"/>
        <v>936</v>
      </c>
      <c r="D942" s="1">
        <f>VLOOKUP(B942,rq_evidence_review!$B$1:$L$55,7,FALSE)</f>
        <v>26</v>
      </c>
      <c r="E942" s="8" t="s">
        <v>1195</v>
      </c>
      <c r="H942" s="1" t="str">
        <f t="shared" si="105"/>
        <v>Spritzer PM</v>
      </c>
      <c r="I942" s="1" t="str">
        <f t="shared" si="107"/>
        <v>2000</v>
      </c>
      <c r="J942" s="1" t="str">
        <f t="shared" si="106"/>
        <v>Spritzer PM et al., 2000</v>
      </c>
      <c r="K942" s="1" t="str">
        <f t="shared" si="108"/>
        <v>10.1046/j.1365-2265.2000.00982.x</v>
      </c>
      <c r="L942" s="1" t="str">
        <f t="shared" si="109"/>
        <v/>
      </c>
    </row>
    <row r="943" spans="1:14" ht="30" hidden="1" x14ac:dyDescent="0.25">
      <c r="A943" s="1">
        <f>INDEX(rq_evidence_review!A:A, MATCH(B943, rq_evidence_review!B:B, 0))</f>
        <v>4</v>
      </c>
      <c r="B943" s="6">
        <v>4.5999999999999996</v>
      </c>
      <c r="C943" s="1">
        <f t="shared" si="104"/>
        <v>937</v>
      </c>
      <c r="D943" s="1">
        <f>VLOOKUP(B943,rq_evidence_review!$B$1:$L$55,7,FALSE)</f>
        <v>26</v>
      </c>
      <c r="E943" s="8" t="s">
        <v>1196</v>
      </c>
      <c r="H943" s="1" t="str">
        <f t="shared" si="105"/>
        <v>Tartagni M</v>
      </c>
      <c r="I943" s="1" t="str">
        <f t="shared" si="107"/>
        <v>2000</v>
      </c>
      <c r="J943" s="1" t="str">
        <f t="shared" si="106"/>
        <v>Tartagni M et al., 2000</v>
      </c>
      <c r="K943" s="1" t="str">
        <f t="shared" si="108"/>
        <v>10.1016/s0015-0282(99)00633-0</v>
      </c>
      <c r="L943" s="1" t="str">
        <f t="shared" si="109"/>
        <v/>
      </c>
    </row>
    <row r="944" spans="1:14" ht="45" hidden="1" x14ac:dyDescent="0.25">
      <c r="A944" s="1">
        <f>INDEX(rq_evidence_review!A:A, MATCH(B944, rq_evidence_review!B:B, 0))</f>
        <v>4</v>
      </c>
      <c r="B944" s="6">
        <v>4.5999999999999996</v>
      </c>
      <c r="C944" s="1">
        <f t="shared" si="104"/>
        <v>938</v>
      </c>
      <c r="D944" s="1">
        <f>VLOOKUP(B944,rq_evidence_review!$B$1:$L$55,7,FALSE)</f>
        <v>26</v>
      </c>
      <c r="E944" s="8" t="s">
        <v>1197</v>
      </c>
      <c r="H944" s="1" t="str">
        <f t="shared" si="105"/>
        <v>Tartagni MV</v>
      </c>
      <c r="I944" s="1" t="str">
        <f t="shared" si="107"/>
        <v>2014</v>
      </c>
      <c r="J944" s="1" t="str">
        <f t="shared" si="106"/>
        <v>Tartagni MV et al., 2014</v>
      </c>
      <c r="K944" s="1" t="str">
        <f t="shared" si="108"/>
        <v>10.1016/j.jpag.2013.09.010</v>
      </c>
      <c r="L944" s="1" t="str">
        <f t="shared" si="109"/>
        <v/>
      </c>
    </row>
    <row r="945" spans="1:14" ht="30" hidden="1" x14ac:dyDescent="0.25">
      <c r="A945" s="1">
        <f>INDEX(rq_evidence_review!A:A, MATCH(B945, rq_evidence_review!B:B, 0))</f>
        <v>4</v>
      </c>
      <c r="B945" s="6">
        <v>4.5999999999999996</v>
      </c>
      <c r="C945" s="1">
        <f t="shared" si="104"/>
        <v>939</v>
      </c>
      <c r="D945" s="1">
        <f>VLOOKUP(B945,rq_evidence_review!$B$1:$L$55,7,FALSE)</f>
        <v>26</v>
      </c>
      <c r="E945" s="8" t="s">
        <v>1198</v>
      </c>
      <c r="H945" s="1" t="str">
        <f t="shared" si="105"/>
        <v>Tartagni M</v>
      </c>
      <c r="I945" s="1" t="str">
        <f t="shared" si="107"/>
        <v>2004</v>
      </c>
      <c r="J945" s="1" t="str">
        <f t="shared" si="106"/>
        <v>Tartagni M et al., 2004</v>
      </c>
      <c r="K945" s="1" t="str">
        <f t="shared" si="108"/>
        <v>10.1016/j.fertnstert.2004.02.118</v>
      </c>
      <c r="L945" s="1" t="str">
        <f t="shared" si="109"/>
        <v/>
      </c>
    </row>
    <row r="946" spans="1:14" ht="45" hidden="1" x14ac:dyDescent="0.25">
      <c r="A946" s="1">
        <f>INDEX(rq_evidence_review!A:A, MATCH(B946, rq_evidence_review!B:B, 0))</f>
        <v>4</v>
      </c>
      <c r="B946" s="6">
        <v>4.5999999999999996</v>
      </c>
      <c r="C946" s="1">
        <f t="shared" si="104"/>
        <v>940</v>
      </c>
      <c r="D946" s="1">
        <f>VLOOKUP(B946,rq_evidence_review!$B$1:$L$55,7,FALSE)</f>
        <v>26</v>
      </c>
      <c r="E946" s="8" t="s">
        <v>1199</v>
      </c>
      <c r="H946" s="1" t="str">
        <f t="shared" si="105"/>
        <v>Vieira CS</v>
      </c>
      <c r="I946" s="1" t="str">
        <f t="shared" si="107"/>
        <v>2012</v>
      </c>
      <c r="J946" s="1" t="str">
        <f t="shared" si="106"/>
        <v>Vieira CS et al., 2012</v>
      </c>
      <c r="K946" s="1" t="str">
        <f t="shared" si="108"/>
        <v>10.1016/j.contraception.2011.12.011</v>
      </c>
      <c r="L946" s="1" t="str">
        <f t="shared" si="109"/>
        <v/>
      </c>
    </row>
    <row r="947" spans="1:14" ht="75" hidden="1" x14ac:dyDescent="0.25">
      <c r="A947" s="1">
        <f>INDEX(rq_evidence_review!A:A, MATCH(B947, rq_evidence_review!B:B, 0))</f>
        <v>4</v>
      </c>
      <c r="B947" s="6">
        <f>rq_evidence_review!B36</f>
        <v>4.7</v>
      </c>
      <c r="C947" s="1">
        <f t="shared" ref="C947:C1010" si="110">C946+1</f>
        <v>941</v>
      </c>
      <c r="D947" s="1">
        <f>VLOOKUP(B947,rq_evidence_review!$B$1:$L$55,7,FALSE)</f>
        <v>29</v>
      </c>
      <c r="E947" s="8" t="s">
        <v>1200</v>
      </c>
      <c r="H947" s="1" t="str">
        <f t="shared" si="105"/>
        <v>Akbari Sene</v>
      </c>
      <c r="I947" s="1" t="str">
        <f t="shared" si="107"/>
        <v>2019</v>
      </c>
      <c r="J947" s="1" t="str">
        <f t="shared" si="106"/>
        <v>Akbari Sene et al., 2019</v>
      </c>
      <c r="K947" s="1" t="str">
        <f t="shared" si="108"/>
        <v>10.1007/s00404-019-05111-1</v>
      </c>
      <c r="L947" s="1" t="str">
        <f t="shared" si="109"/>
        <v/>
      </c>
    </row>
    <row r="948" spans="1:14" ht="60" hidden="1" x14ac:dyDescent="0.25">
      <c r="A948" s="1">
        <f>INDEX(rq_evidence_review!A:A, MATCH(B948, rq_evidence_review!B:B, 0))</f>
        <v>4</v>
      </c>
      <c r="B948" s="6">
        <v>4.7</v>
      </c>
      <c r="C948" s="1">
        <f t="shared" si="110"/>
        <v>942</v>
      </c>
      <c r="D948" s="1">
        <f>VLOOKUP(B948,rq_evidence_review!$B$1:$L$55,7,FALSE)</f>
        <v>29</v>
      </c>
      <c r="E948" s="8" t="s">
        <v>1201</v>
      </c>
      <c r="H948" s="1" t="str">
        <f t="shared" si="105"/>
        <v>Angik</v>
      </c>
      <c r="I948" s="1" t="str">
        <f t="shared" si="107"/>
        <v>2017</v>
      </c>
      <c r="J948" s="1" t="str">
        <f t="shared" si="106"/>
        <v>Angik et al., 2017</v>
      </c>
      <c r="K948" s="9" t="s">
        <v>1814</v>
      </c>
      <c r="L948" s="1" t="str">
        <f t="shared" si="109"/>
        <v/>
      </c>
    </row>
    <row r="949" spans="1:14" ht="60" hidden="1" x14ac:dyDescent="0.25">
      <c r="A949" s="1">
        <f>INDEX(rq_evidence_review!A:A, MATCH(B949, rq_evidence_review!B:B, 0))</f>
        <v>4</v>
      </c>
      <c r="B949" s="6">
        <v>4.7</v>
      </c>
      <c r="C949" s="1">
        <f t="shared" si="110"/>
        <v>943</v>
      </c>
      <c r="D949" s="1">
        <f>VLOOKUP(B949,rq_evidence_review!$B$1:$L$55,7,FALSE)</f>
        <v>29</v>
      </c>
      <c r="E949" s="8" t="s">
        <v>1202</v>
      </c>
      <c r="H949" s="1" t="str">
        <f t="shared" si="105"/>
        <v>Artini</v>
      </c>
      <c r="I949" s="1" t="str">
        <f t="shared" si="107"/>
        <v>2013</v>
      </c>
      <c r="J949" s="1" t="str">
        <f t="shared" si="106"/>
        <v>Artini et al., 2013</v>
      </c>
      <c r="K949" s="1" t="str">
        <f t="shared" si="108"/>
        <v>10.3109/09513590.2012.743020</v>
      </c>
      <c r="L949" s="1" t="str">
        <f t="shared" si="109"/>
        <v/>
      </c>
    </row>
    <row r="950" spans="1:14" ht="75" hidden="1" x14ac:dyDescent="0.25">
      <c r="A950" s="1">
        <f>INDEX(rq_evidence_review!A:A, MATCH(B950, rq_evidence_review!B:B, 0))</f>
        <v>4</v>
      </c>
      <c r="B950" s="6">
        <v>4.7</v>
      </c>
      <c r="C950" s="1">
        <f t="shared" si="110"/>
        <v>944</v>
      </c>
      <c r="D950" s="1">
        <f>VLOOKUP(B950,rq_evidence_review!$B$1:$L$55,7,FALSE)</f>
        <v>29</v>
      </c>
      <c r="E950" s="8" t="s">
        <v>1203</v>
      </c>
      <c r="H950" s="1" t="str">
        <f t="shared" si="105"/>
        <v>Bahadur</v>
      </c>
      <c r="I950" s="1" t="str">
        <f t="shared" si="107"/>
        <v>2021</v>
      </c>
      <c r="J950" s="1" t="str">
        <f t="shared" si="106"/>
        <v>Bahadur et al., 2021</v>
      </c>
      <c r="K950" s="1" t="str">
        <f t="shared" si="108"/>
        <v>10.7759/cureus.15510</v>
      </c>
      <c r="L950" s="1" t="str">
        <f t="shared" si="109"/>
        <v/>
      </c>
    </row>
    <row r="951" spans="1:14" ht="75" hidden="1" x14ac:dyDescent="0.25">
      <c r="A951" s="1">
        <f>INDEX(rq_evidence_review!A:A, MATCH(B951, rq_evidence_review!B:B, 0))</f>
        <v>4</v>
      </c>
      <c r="B951" s="6">
        <v>4.7</v>
      </c>
      <c r="C951" s="1">
        <f t="shared" si="110"/>
        <v>945</v>
      </c>
      <c r="D951" s="1">
        <f>VLOOKUP(B951,rq_evidence_review!$B$1:$L$55,7,FALSE)</f>
        <v>29</v>
      </c>
      <c r="E951" s="8" t="s">
        <v>1204</v>
      </c>
      <c r="H951" s="1" t="str">
        <f t="shared" si="105"/>
        <v>Benelli</v>
      </c>
      <c r="I951" s="1" t="str">
        <f t="shared" si="107"/>
        <v>2016</v>
      </c>
      <c r="J951" s="1" t="str">
        <f t="shared" si="106"/>
        <v>Benelli et al., 2016</v>
      </c>
      <c r="K951" s="1" t="str">
        <f t="shared" si="108"/>
        <v>10.1155/2016/3204083</v>
      </c>
      <c r="L951" s="1" t="str">
        <f t="shared" si="109"/>
        <v/>
      </c>
    </row>
    <row r="952" spans="1:14" ht="60" hidden="1" x14ac:dyDescent="0.25">
      <c r="A952" s="1">
        <f>INDEX(rq_evidence_review!A:A, MATCH(B952, rq_evidence_review!B:B, 0))</f>
        <v>4</v>
      </c>
      <c r="B952" s="6">
        <v>4.7</v>
      </c>
      <c r="C952" s="1">
        <f t="shared" si="110"/>
        <v>946</v>
      </c>
      <c r="D952" s="1">
        <f>VLOOKUP(B952,rq_evidence_review!$B$1:$L$55,7,FALSE)</f>
        <v>29</v>
      </c>
      <c r="E952" s="8" t="s">
        <v>1205</v>
      </c>
      <c r="H952" s="1" t="str">
        <f t="shared" si="105"/>
        <v>Chirania</v>
      </c>
      <c r="I952" s="1" t="str">
        <f t="shared" si="107"/>
        <v>2017</v>
      </c>
      <c r="J952" s="1" t="str">
        <f t="shared" si="106"/>
        <v>Chirania et al., 2017</v>
      </c>
      <c r="K952" s="1" t="str">
        <f t="shared" si="108"/>
        <v>10.18203/2320-1770.Ijrcog20171563</v>
      </c>
      <c r="L952" s="1" t="str">
        <f t="shared" si="109"/>
        <v/>
      </c>
    </row>
    <row r="953" spans="1:14" ht="30" hidden="1" x14ac:dyDescent="0.25">
      <c r="A953" s="1">
        <f>INDEX(rq_evidence_review!A:A, MATCH(B953, rq_evidence_review!B:B, 0))</f>
        <v>4</v>
      </c>
      <c r="B953" s="6">
        <v>4.7</v>
      </c>
      <c r="C953" s="1">
        <f t="shared" si="110"/>
        <v>947</v>
      </c>
      <c r="D953" s="1">
        <f>VLOOKUP(B953,rq_evidence_review!$B$1:$L$55,7,FALSE)</f>
        <v>29</v>
      </c>
      <c r="E953" s="8" t="s">
        <v>1815</v>
      </c>
      <c r="H953" s="1" t="str">
        <f t="shared" si="105"/>
        <v>Constantino</v>
      </c>
      <c r="I953" s="1" t="str">
        <f t="shared" si="107"/>
        <v>2009</v>
      </c>
      <c r="J953" s="1" t="str">
        <f t="shared" si="106"/>
        <v>Constantino et al., 2009</v>
      </c>
      <c r="K953" s="1" t="str">
        <f t="shared" si="108"/>
        <v/>
      </c>
      <c r="L953" s="9">
        <v>19499845</v>
      </c>
      <c r="M953" s="1" t="s">
        <v>1816</v>
      </c>
      <c r="N953" s="1">
        <v>8423446</v>
      </c>
    </row>
    <row r="954" spans="1:14" ht="60" hidden="1" x14ac:dyDescent="0.25">
      <c r="A954" s="1">
        <f>INDEX(rq_evidence_review!A:A, MATCH(B954, rq_evidence_review!B:B, 0))</f>
        <v>4</v>
      </c>
      <c r="B954" s="6">
        <v>4.7</v>
      </c>
      <c r="C954" s="1">
        <f t="shared" si="110"/>
        <v>948</v>
      </c>
      <c r="D954" s="1">
        <f>VLOOKUP(B954,rq_evidence_review!$B$1:$L$55,7,FALSE)</f>
        <v>29</v>
      </c>
      <c r="E954" s="8" t="s">
        <v>1206</v>
      </c>
      <c r="H954" s="1" t="str">
        <f t="shared" si="105"/>
        <v>Donà</v>
      </c>
      <c r="I954" s="1" t="str">
        <f t="shared" si="107"/>
        <v>2012</v>
      </c>
      <c r="J954" s="1" t="str">
        <f t="shared" si="106"/>
        <v>Donà et al., 2012</v>
      </c>
      <c r="K954" s="1" t="str">
        <f t="shared" si="108"/>
        <v>10.1530/EJE-11-0840</v>
      </c>
      <c r="L954" s="1" t="str">
        <f t="shared" si="109"/>
        <v/>
      </c>
    </row>
    <row r="955" spans="1:14" ht="60" hidden="1" x14ac:dyDescent="0.25">
      <c r="A955" s="1">
        <f>INDEX(rq_evidence_review!A:A, MATCH(B955, rq_evidence_review!B:B, 0))</f>
        <v>4</v>
      </c>
      <c r="B955" s="6">
        <v>4.7</v>
      </c>
      <c r="C955" s="1">
        <f t="shared" si="110"/>
        <v>949</v>
      </c>
      <c r="D955" s="1">
        <f>VLOOKUP(B955,rq_evidence_review!$B$1:$L$55,7,FALSE)</f>
        <v>29</v>
      </c>
      <c r="E955" s="8" t="s">
        <v>1207</v>
      </c>
      <c r="H955" s="1" t="str">
        <f t="shared" si="105"/>
        <v>Donne</v>
      </c>
      <c r="I955" s="1" t="str">
        <f t="shared" si="107"/>
        <v>2019</v>
      </c>
      <c r="J955" s="1" t="str">
        <f t="shared" si="106"/>
        <v>Donne et al., 2019</v>
      </c>
      <c r="K955" s="1" t="str">
        <f t="shared" si="108"/>
        <v>10.26355/eurrev_201903_17278</v>
      </c>
      <c r="L955" s="1" t="str">
        <f t="shared" si="109"/>
        <v/>
      </c>
    </row>
    <row r="956" spans="1:14" ht="60" hidden="1" x14ac:dyDescent="0.25">
      <c r="A956" s="1">
        <f>INDEX(rq_evidence_review!A:A, MATCH(B956, rq_evidence_review!B:B, 0))</f>
        <v>4</v>
      </c>
      <c r="B956" s="6">
        <v>4.7</v>
      </c>
      <c r="C956" s="1">
        <f t="shared" si="110"/>
        <v>950</v>
      </c>
      <c r="D956" s="1">
        <f>VLOOKUP(B956,rq_evidence_review!$B$1:$L$55,7,FALSE)</f>
        <v>29</v>
      </c>
      <c r="E956" s="8" t="s">
        <v>1208</v>
      </c>
      <c r="H956" s="1" t="str">
        <f t="shared" si="105"/>
        <v>Emekçi Özay</v>
      </c>
      <c r="I956" s="1" t="str">
        <f t="shared" si="107"/>
        <v>2017</v>
      </c>
      <c r="J956" s="1" t="str">
        <f t="shared" si="106"/>
        <v>Emekçi Özay et al., 2017</v>
      </c>
      <c r="K956" s="1" t="str">
        <f t="shared" si="108"/>
        <v>10.1080/09513590.2017.1296127</v>
      </c>
      <c r="L956" s="1" t="str">
        <f t="shared" si="109"/>
        <v/>
      </c>
    </row>
    <row r="957" spans="1:14" ht="60" hidden="1" x14ac:dyDescent="0.25">
      <c r="A957" s="1">
        <f>INDEX(rq_evidence_review!A:A, MATCH(B957, rq_evidence_review!B:B, 0))</f>
        <v>4</v>
      </c>
      <c r="B957" s="6">
        <v>4.7</v>
      </c>
      <c r="C957" s="1">
        <f t="shared" si="110"/>
        <v>951</v>
      </c>
      <c r="D957" s="1">
        <f>VLOOKUP(B957,rq_evidence_review!$B$1:$L$55,7,FALSE)</f>
        <v>29</v>
      </c>
      <c r="E957" s="8" t="s">
        <v>1209</v>
      </c>
      <c r="H957" s="1" t="str">
        <f t="shared" si="105"/>
        <v>Genazzani</v>
      </c>
      <c r="I957" s="1" t="str">
        <f t="shared" si="107"/>
        <v>2008</v>
      </c>
      <c r="J957" s="1" t="str">
        <f t="shared" si="106"/>
        <v>Genazzani et al., 2008</v>
      </c>
      <c r="K957" s="1" t="str">
        <f t="shared" si="108"/>
        <v>10.1080/09513590801893232</v>
      </c>
      <c r="L957" s="1" t="str">
        <f t="shared" si="109"/>
        <v/>
      </c>
    </row>
    <row r="958" spans="1:14" ht="45" hidden="1" x14ac:dyDescent="0.25">
      <c r="A958" s="1">
        <f>INDEX(rq_evidence_review!A:A, MATCH(B958, rq_evidence_review!B:B, 0))</f>
        <v>4</v>
      </c>
      <c r="B958" s="6">
        <v>4.7</v>
      </c>
      <c r="C958" s="1">
        <f t="shared" si="110"/>
        <v>952</v>
      </c>
      <c r="D958" s="1">
        <f>VLOOKUP(B958,rq_evidence_review!$B$1:$L$55,7,FALSE)</f>
        <v>29</v>
      </c>
      <c r="E958" s="8" t="s">
        <v>1210</v>
      </c>
      <c r="H958" s="1" t="str">
        <f t="shared" si="105"/>
        <v>Iuorno</v>
      </c>
      <c r="I958" s="1" t="str">
        <f t="shared" si="107"/>
        <v>2002</v>
      </c>
      <c r="J958" s="1" t="str">
        <f t="shared" si="106"/>
        <v>Iuorno et al., 2002</v>
      </c>
      <c r="K958" s="1" t="str">
        <f t="shared" si="108"/>
        <v>10.4158/ep.8.6.417</v>
      </c>
      <c r="L958" s="1" t="str">
        <f t="shared" si="109"/>
        <v/>
      </c>
    </row>
    <row r="959" spans="1:14" ht="60" hidden="1" x14ac:dyDescent="0.25">
      <c r="A959" s="1">
        <f>INDEX(rq_evidence_review!A:A, MATCH(B959, rq_evidence_review!B:B, 0))</f>
        <v>4</v>
      </c>
      <c r="B959" s="6">
        <v>4.7</v>
      </c>
      <c r="C959" s="1">
        <f t="shared" si="110"/>
        <v>953</v>
      </c>
      <c r="D959" s="1">
        <f>VLOOKUP(B959,rq_evidence_review!$B$1:$L$55,7,FALSE)</f>
        <v>29</v>
      </c>
      <c r="E959" s="8" t="s">
        <v>1211</v>
      </c>
      <c r="H959" s="1" t="str">
        <f t="shared" si="105"/>
        <v>Khan</v>
      </c>
      <c r="I959" s="1" t="str">
        <f t="shared" si="107"/>
        <v>2022</v>
      </c>
      <c r="J959" s="1" t="str">
        <f t="shared" si="106"/>
        <v>Khan et al., 2022</v>
      </c>
      <c r="K959" s="1" t="str">
        <f t="shared" si="108"/>
        <v>10.53350/pjmhs2216121</v>
      </c>
      <c r="L959" s="1" t="str">
        <f t="shared" si="109"/>
        <v/>
      </c>
    </row>
    <row r="960" spans="1:14" ht="30" hidden="1" x14ac:dyDescent="0.25">
      <c r="A960" s="1">
        <f>INDEX(rq_evidence_review!A:A, MATCH(B960, rq_evidence_review!B:B, 0))</f>
        <v>4</v>
      </c>
      <c r="B960" s="6">
        <v>4.7</v>
      </c>
      <c r="C960" s="1">
        <f t="shared" si="110"/>
        <v>954</v>
      </c>
      <c r="D960" s="1">
        <f>VLOOKUP(B960,rq_evidence_review!$B$1:$L$55,7,FALSE)</f>
        <v>29</v>
      </c>
      <c r="E960" s="8" t="s">
        <v>1212</v>
      </c>
      <c r="H960" s="1" t="str">
        <f t="shared" si="105"/>
        <v>Maria Concetta Musacchio</v>
      </c>
      <c r="I960" s="1" t="str">
        <f t="shared" si="107"/>
        <v>2013</v>
      </c>
      <c r="J960" s="1" t="str">
        <f t="shared" si="106"/>
        <v>Maria Concetta Musacchio et al., 2013</v>
      </c>
      <c r="K960" s="1" t="str">
        <f t="shared" si="108"/>
        <v>10.4172/2167-0943.1000127</v>
      </c>
      <c r="L960" s="1" t="str">
        <f t="shared" si="109"/>
        <v/>
      </c>
    </row>
    <row r="961" spans="1:15" ht="45" hidden="1" x14ac:dyDescent="0.25">
      <c r="A961" s="1">
        <f>INDEX(rq_evidence_review!A:A, MATCH(B961, rq_evidence_review!B:B, 0))</f>
        <v>4</v>
      </c>
      <c r="B961" s="6">
        <v>4.7</v>
      </c>
      <c r="C961" s="1">
        <f t="shared" si="110"/>
        <v>955</v>
      </c>
      <c r="D961" s="1">
        <f>VLOOKUP(B961,rq_evidence_review!$B$1:$L$55,7,FALSE)</f>
        <v>29</v>
      </c>
      <c r="E961" s="8" t="s">
        <v>1213</v>
      </c>
      <c r="H961" s="1" t="str">
        <f t="shared" si="105"/>
        <v>Mendoza</v>
      </c>
      <c r="I961" s="1" t="str">
        <f t="shared" si="107"/>
        <v>2019</v>
      </c>
      <c r="J961" s="1" t="str">
        <f t="shared" si="106"/>
        <v>Mendoza et al., 2019</v>
      </c>
      <c r="K961" s="1" t="str">
        <f t="shared" si="108"/>
        <v>10.1080/09513590.2019.1576620</v>
      </c>
      <c r="L961" s="1" t="str">
        <f t="shared" si="109"/>
        <v/>
      </c>
    </row>
    <row r="962" spans="1:15" ht="45" hidden="1" x14ac:dyDescent="0.25">
      <c r="A962" s="1">
        <f>INDEX(rq_evidence_review!A:A, MATCH(B962, rq_evidence_review!B:B, 0))</f>
        <v>4</v>
      </c>
      <c r="B962" s="6">
        <v>4.7</v>
      </c>
      <c r="C962" s="1">
        <f t="shared" si="110"/>
        <v>956</v>
      </c>
      <c r="D962" s="1">
        <f>VLOOKUP(B962,rq_evidence_review!$B$1:$L$55,7,FALSE)</f>
        <v>29</v>
      </c>
      <c r="E962" s="8" t="s">
        <v>1983</v>
      </c>
      <c r="F962" s="1" t="str">
        <f>IF(ISNUMBER(SEARCH("primary citation", E962)), "primary_citation", "")</f>
        <v>primary_citation</v>
      </c>
      <c r="H962" s="1" t="str">
        <f t="shared" si="105"/>
        <v>Nehra</v>
      </c>
      <c r="I962" s="1" t="s">
        <v>1362</v>
      </c>
      <c r="J962" s="1" t="str">
        <f t="shared" si="106"/>
        <v>Nehra et al., 2017a</v>
      </c>
      <c r="K962" s="1" t="str">
        <f t="shared" si="108"/>
        <v>10.13040/IJPSR.0975-8232.8(4).1664-70</v>
      </c>
      <c r="L962" s="1" t="str">
        <f t="shared" si="109"/>
        <v/>
      </c>
      <c r="O962" s="1" t="s">
        <v>2008</v>
      </c>
    </row>
    <row r="963" spans="1:15" ht="45" hidden="1" x14ac:dyDescent="0.25">
      <c r="A963" s="1">
        <f>INDEX(rq_evidence_review!A:A, MATCH(B963, rq_evidence_review!B:B, 0))</f>
        <v>4</v>
      </c>
      <c r="B963" s="6">
        <v>4.7</v>
      </c>
      <c r="C963" s="1">
        <f t="shared" si="110"/>
        <v>957</v>
      </c>
      <c r="D963" s="1">
        <f>VLOOKUP(B963,rq_evidence_review!$B$1:$L$55,7,FALSE)</f>
        <v>29</v>
      </c>
      <c r="E963" s="8" t="s">
        <v>1227</v>
      </c>
      <c r="F963" s="1" t="str">
        <f>_xlfn.CONCAT("samestudy_",C$962)</f>
        <v>samestudy_956</v>
      </c>
      <c r="H963" s="1" t="str">
        <f t="shared" si="105"/>
        <v>Nehra</v>
      </c>
      <c r="I963" s="1" t="s">
        <v>1363</v>
      </c>
      <c r="J963" s="1" t="str">
        <f t="shared" si="106"/>
        <v>Nehra et al., 2017b</v>
      </c>
      <c r="K963" s="1" t="str">
        <f t="shared" si="108"/>
        <v>10.22159/ijpps.2017v9i4.16359</v>
      </c>
      <c r="L963" s="1" t="str">
        <f t="shared" si="109"/>
        <v/>
      </c>
    </row>
    <row r="964" spans="1:15" ht="45" hidden="1" x14ac:dyDescent="0.25">
      <c r="A964" s="1">
        <f>INDEX(rq_evidence_review!A:A, MATCH(B964, rq_evidence_review!B:B, 0))</f>
        <v>4</v>
      </c>
      <c r="B964" s="6">
        <v>4.7</v>
      </c>
      <c r="C964" s="1">
        <f t="shared" si="110"/>
        <v>958</v>
      </c>
      <c r="D964" s="1">
        <f>VLOOKUP(B964,rq_evidence_review!$B$1:$L$55,7,FALSE)</f>
        <v>29</v>
      </c>
      <c r="E964" s="8" t="s">
        <v>1214</v>
      </c>
      <c r="H964" s="1" t="str">
        <f t="shared" si="105"/>
        <v>Nestler</v>
      </c>
      <c r="I964" s="1" t="str">
        <f t="shared" si="107"/>
        <v>1999</v>
      </c>
      <c r="J964" s="1" t="str">
        <f t="shared" si="106"/>
        <v>Nestler et al., 1999</v>
      </c>
      <c r="K964" s="1" t="str">
        <f t="shared" si="108"/>
        <v>10.1056/NEJM199904293401703</v>
      </c>
      <c r="L964" s="1" t="str">
        <f t="shared" si="109"/>
        <v/>
      </c>
    </row>
    <row r="965" spans="1:15" ht="45" hidden="1" x14ac:dyDescent="0.25">
      <c r="A965" s="1">
        <f>INDEX(rq_evidence_review!A:A, MATCH(B965, rq_evidence_review!B:B, 0))</f>
        <v>4</v>
      </c>
      <c r="B965" s="6">
        <v>4.7</v>
      </c>
      <c r="C965" s="1">
        <f t="shared" si="110"/>
        <v>959</v>
      </c>
      <c r="D965" s="1">
        <f>VLOOKUP(B965,rq_evidence_review!$B$1:$L$55,7,FALSE)</f>
        <v>29</v>
      </c>
      <c r="E965" s="8" t="s">
        <v>1215</v>
      </c>
      <c r="H965" s="1" t="str">
        <f t="shared" si="105"/>
        <v>Nordio</v>
      </c>
      <c r="I965" s="1" t="str">
        <f t="shared" si="107"/>
        <v>2019</v>
      </c>
      <c r="J965" s="1" t="str">
        <f t="shared" si="106"/>
        <v>Nordio et al., 2019</v>
      </c>
      <c r="K965" s="1" t="str">
        <f t="shared" si="108"/>
        <v>10.26355/eurrev_201906_18223</v>
      </c>
      <c r="L965" s="1" t="str">
        <f t="shared" si="109"/>
        <v/>
      </c>
    </row>
    <row r="966" spans="1:15" ht="30" hidden="1" x14ac:dyDescent="0.25">
      <c r="A966" s="1">
        <f>INDEX(rq_evidence_review!A:A, MATCH(B966, rq_evidence_review!B:B, 0))</f>
        <v>4</v>
      </c>
      <c r="B966" s="6">
        <v>4.7</v>
      </c>
      <c r="C966" s="1">
        <f t="shared" si="110"/>
        <v>960</v>
      </c>
      <c r="D966" s="1">
        <f>VLOOKUP(B966,rq_evidence_review!$B$1:$L$55,7,FALSE)</f>
        <v>29</v>
      </c>
      <c r="E966" s="8" t="s">
        <v>1216</v>
      </c>
      <c r="H966" s="1" t="str">
        <f t="shared" si="105"/>
        <v>Nordio</v>
      </c>
      <c r="I966" s="1" t="str">
        <f t="shared" si="107"/>
        <v>2012</v>
      </c>
      <c r="J966" s="1" t="str">
        <f t="shared" si="106"/>
        <v>Nordio et al., 2012</v>
      </c>
      <c r="K966" s="1" t="str">
        <f t="shared" si="108"/>
        <v/>
      </c>
      <c r="L966" s="1">
        <v>22774396</v>
      </c>
      <c r="M966" s="1" t="s">
        <v>1817</v>
      </c>
      <c r="N966" s="1">
        <v>6082173</v>
      </c>
    </row>
    <row r="967" spans="1:15" ht="45" hidden="1" x14ac:dyDescent="0.25">
      <c r="A967" s="1">
        <f>INDEX(rq_evidence_review!A:A, MATCH(B967, rq_evidence_review!B:B, 0))</f>
        <v>4</v>
      </c>
      <c r="B967" s="6">
        <v>4.7</v>
      </c>
      <c r="C967" s="1">
        <f t="shared" si="110"/>
        <v>961</v>
      </c>
      <c r="D967" s="1">
        <f>VLOOKUP(B967,rq_evidence_review!$B$1:$L$55,7,FALSE)</f>
        <v>29</v>
      </c>
      <c r="E967" s="8" t="s">
        <v>1217</v>
      </c>
      <c r="H967" s="1" t="str">
        <f t="shared" si="105"/>
        <v>Pacchiarotti</v>
      </c>
      <c r="I967" s="1" t="str">
        <f t="shared" si="107"/>
        <v>2016</v>
      </c>
      <c r="J967" s="1" t="str">
        <f t="shared" si="106"/>
        <v>Pacchiarotti et al., 2016</v>
      </c>
      <c r="K967" s="1" t="str">
        <f t="shared" si="108"/>
        <v>10.3109/09513590.2015.1101444</v>
      </c>
      <c r="L967" s="1" t="str">
        <f t="shared" si="109"/>
        <v/>
      </c>
    </row>
    <row r="968" spans="1:15" ht="30" hidden="1" x14ac:dyDescent="0.25">
      <c r="A968" s="1">
        <f>INDEX(rq_evidence_review!A:A, MATCH(B968, rq_evidence_review!B:B, 0))</f>
        <v>4</v>
      </c>
      <c r="B968" s="6">
        <v>4.7</v>
      </c>
      <c r="C968" s="1">
        <f t="shared" si="110"/>
        <v>962</v>
      </c>
      <c r="D968" s="1">
        <f>VLOOKUP(B968,rq_evidence_review!$B$1:$L$55,7,FALSE)</f>
        <v>29</v>
      </c>
      <c r="E968" s="8" t="s">
        <v>1218</v>
      </c>
      <c r="H968" s="1" t="str">
        <f t="shared" si="105"/>
        <v>Papaleo</v>
      </c>
      <c r="I968" s="1" t="str">
        <f t="shared" si="107"/>
        <v>2009</v>
      </c>
      <c r="J968" s="1" t="str">
        <f t="shared" si="106"/>
        <v>Papaleo et al., 2009</v>
      </c>
      <c r="K968" s="1" t="str">
        <f t="shared" si="108"/>
        <v>10.1016/j.fertnstert.2008.01.088</v>
      </c>
      <c r="L968" s="1" t="str">
        <f t="shared" si="109"/>
        <v/>
      </c>
    </row>
    <row r="969" spans="1:15" ht="45" hidden="1" x14ac:dyDescent="0.25">
      <c r="A969" s="1">
        <f>INDEX(rq_evidence_review!A:A, MATCH(B969, rq_evidence_review!B:B, 0))</f>
        <v>4</v>
      </c>
      <c r="B969" s="6">
        <v>4.7</v>
      </c>
      <c r="C969" s="1">
        <f t="shared" si="110"/>
        <v>963</v>
      </c>
      <c r="D969" s="1">
        <f>VLOOKUP(B969,rq_evidence_review!$B$1:$L$55,7,FALSE)</f>
        <v>29</v>
      </c>
      <c r="E969" s="8" t="s">
        <v>1219</v>
      </c>
      <c r="H969" s="1" t="str">
        <f t="shared" si="105"/>
        <v>Pourghasem</v>
      </c>
      <c r="I969" s="1" t="str">
        <f t="shared" si="107"/>
        <v>2019</v>
      </c>
      <c r="J969" s="1" t="str">
        <f t="shared" si="106"/>
        <v>Pourghasem et al., 2019</v>
      </c>
      <c r="K969" s="1" t="str">
        <f t="shared" si="108"/>
        <v>10.1007/s00404-019-05064-5</v>
      </c>
      <c r="L969" s="1" t="str">
        <f t="shared" si="109"/>
        <v/>
      </c>
    </row>
    <row r="970" spans="1:15" ht="45" hidden="1" x14ac:dyDescent="0.25">
      <c r="A970" s="1">
        <f>INDEX(rq_evidence_review!A:A, MATCH(B970, rq_evidence_review!B:B, 0))</f>
        <v>4</v>
      </c>
      <c r="B970" s="6">
        <v>4.7</v>
      </c>
      <c r="C970" s="1">
        <f t="shared" si="110"/>
        <v>964</v>
      </c>
      <c r="D970" s="1">
        <f>VLOOKUP(B970,rq_evidence_review!$B$1:$L$55,7,FALSE)</f>
        <v>29</v>
      </c>
      <c r="E970" s="8" t="s">
        <v>1220</v>
      </c>
      <c r="H970" s="1" t="str">
        <f t="shared" si="105"/>
        <v>Rajasekaran</v>
      </c>
      <c r="I970" s="1" t="str">
        <f t="shared" si="107"/>
        <v>2022</v>
      </c>
      <c r="J970" s="1" t="str">
        <f t="shared" si="106"/>
        <v>Rajasekaran et al., 2022</v>
      </c>
      <c r="K970" s="1" t="str">
        <f t="shared" si="108"/>
        <v>10.1080/09513590.2021.1981282</v>
      </c>
      <c r="L970" s="1" t="str">
        <f t="shared" si="109"/>
        <v/>
      </c>
    </row>
    <row r="971" spans="1:15" ht="45" hidden="1" x14ac:dyDescent="0.25">
      <c r="A971" s="1">
        <f>INDEX(rq_evidence_review!A:A, MATCH(B971, rq_evidence_review!B:B, 0))</f>
        <v>4</v>
      </c>
      <c r="B971" s="6">
        <v>4.7</v>
      </c>
      <c r="C971" s="1">
        <f t="shared" si="110"/>
        <v>965</v>
      </c>
      <c r="D971" s="1">
        <f>VLOOKUP(B971,rq_evidence_review!$B$1:$L$55,7,FALSE)</f>
        <v>29</v>
      </c>
      <c r="E971" s="8" t="s">
        <v>1221</v>
      </c>
      <c r="H971" s="1" t="str">
        <f t="shared" si="105"/>
        <v>Tagliaferri</v>
      </c>
      <c r="I971" s="1" t="str">
        <f t="shared" si="107"/>
        <v>2017</v>
      </c>
      <c r="J971" s="1" t="str">
        <f t="shared" si="106"/>
        <v>Tagliaferri et al., 2017</v>
      </c>
      <c r="K971" s="1" t="str">
        <f t="shared" si="108"/>
        <v>10.1111/cen.13304</v>
      </c>
      <c r="L971" s="1" t="str">
        <f t="shared" si="109"/>
        <v/>
      </c>
    </row>
    <row r="972" spans="1:15" ht="45" hidden="1" x14ac:dyDescent="0.25">
      <c r="A972" s="1">
        <f>INDEX(rq_evidence_review!A:A, MATCH(B972, rq_evidence_review!B:B, 0))</f>
        <v>4</v>
      </c>
      <c r="B972" s="6">
        <v>4.7</v>
      </c>
      <c r="C972" s="1">
        <f t="shared" si="110"/>
        <v>966</v>
      </c>
      <c r="D972" s="1">
        <f>VLOOKUP(B972,rq_evidence_review!$B$1:$L$55,7,FALSE)</f>
        <v>29</v>
      </c>
      <c r="E972" s="8" t="s">
        <v>1222</v>
      </c>
      <c r="H972" s="1" t="str">
        <f t="shared" si="105"/>
        <v>Unfer</v>
      </c>
      <c r="I972" s="1" t="str">
        <f t="shared" si="107"/>
        <v>2011</v>
      </c>
      <c r="J972" s="1" t="str">
        <f t="shared" si="106"/>
        <v>Unfer et al., 2011</v>
      </c>
      <c r="K972" s="1" t="str">
        <f t="shared" si="108"/>
        <v/>
      </c>
      <c r="L972" s="9">
        <v>21608442</v>
      </c>
      <c r="M972" s="1" t="s">
        <v>1818</v>
      </c>
      <c r="N972" s="1">
        <v>37981732</v>
      </c>
    </row>
    <row r="973" spans="1:15" ht="30" hidden="1" x14ac:dyDescent="0.25">
      <c r="A973" s="1">
        <f>INDEX(rq_evidence_review!A:A, MATCH(B973, rq_evidence_review!B:B, 0))</f>
        <v>4</v>
      </c>
      <c r="B973" s="6">
        <v>4.7</v>
      </c>
      <c r="C973" s="1">
        <f t="shared" si="110"/>
        <v>967</v>
      </c>
      <c r="D973" s="1">
        <f>VLOOKUP(B973,rq_evidence_review!$B$1:$L$55,7,FALSE)</f>
        <v>29</v>
      </c>
      <c r="E973" s="8" t="s">
        <v>1223</v>
      </c>
      <c r="H973" s="1" t="str">
        <f t="shared" si="105"/>
        <v>F. Fruzzetti</v>
      </c>
      <c r="I973" s="1" t="str">
        <f t="shared" si="107"/>
        <v>2017</v>
      </c>
      <c r="J973" s="1" t="str">
        <f t="shared" si="106"/>
        <v>F. Fruzzetti et al., 2017</v>
      </c>
      <c r="K973" s="1" t="str">
        <f t="shared" si="108"/>
        <v>10.1080/09513590.2016.1236078</v>
      </c>
      <c r="L973" s="1" t="str">
        <f t="shared" si="109"/>
        <v/>
      </c>
    </row>
    <row r="974" spans="1:15" ht="30" hidden="1" x14ac:dyDescent="0.25">
      <c r="A974" s="1">
        <f>INDEX(rq_evidence_review!A:A, MATCH(B974, rq_evidence_review!B:B, 0))</f>
        <v>4</v>
      </c>
      <c r="B974" s="6">
        <v>4.7</v>
      </c>
      <c r="C974" s="1">
        <f t="shared" si="110"/>
        <v>968</v>
      </c>
      <c r="D974" s="1">
        <f>VLOOKUP(B974,rq_evidence_review!$B$1:$L$55,7,FALSE)</f>
        <v>29</v>
      </c>
      <c r="E974" s="8" t="s">
        <v>1224</v>
      </c>
      <c r="H974" s="1" t="str">
        <f t="shared" si="105"/>
        <v>E. Raffone</v>
      </c>
      <c r="I974" s="1" t="str">
        <f t="shared" si="107"/>
        <v>2010</v>
      </c>
      <c r="J974" s="1" t="str">
        <f t="shared" si="106"/>
        <v>E. Raffone et al., 2010</v>
      </c>
      <c r="K974" s="1" t="str">
        <f t="shared" si="108"/>
        <v>10.3109/09513590903366996</v>
      </c>
      <c r="L974" s="1" t="str">
        <f t="shared" si="109"/>
        <v/>
      </c>
    </row>
    <row r="975" spans="1:15" ht="30" hidden="1" x14ac:dyDescent="0.25">
      <c r="A975" s="1">
        <f>INDEX(rq_evidence_review!A:A, MATCH(B975, rq_evidence_review!B:B, 0))</f>
        <v>4</v>
      </c>
      <c r="B975" s="6">
        <v>4.7</v>
      </c>
      <c r="C975" s="1">
        <f t="shared" si="110"/>
        <v>969</v>
      </c>
      <c r="D975" s="1">
        <f>VLOOKUP(B975,rq_evidence_review!$B$1:$L$55,7,FALSE)</f>
        <v>29</v>
      </c>
      <c r="E975" s="8" t="s">
        <v>1225</v>
      </c>
      <c r="H975" s="1" t="str">
        <f t="shared" si="105"/>
        <v>V. Soldat-Stankovic et al.</v>
      </c>
      <c r="I975" s="1" t="str">
        <f t="shared" si="107"/>
        <v>2022</v>
      </c>
      <c r="J975" s="1" t="str">
        <f t="shared" si="106"/>
        <v>V. Soldat-Stankovic et al. et al., 2022</v>
      </c>
      <c r="K975" s="1" t="str">
        <f t="shared" si="108"/>
        <v>10.1007/s40618-021-01691-5</v>
      </c>
      <c r="L975" s="1" t="str">
        <f t="shared" si="109"/>
        <v/>
      </c>
    </row>
    <row r="976" spans="1:15" ht="30" hidden="1" x14ac:dyDescent="0.25">
      <c r="A976" s="1">
        <f>INDEX(rq_evidence_review!A:A, MATCH(B976, rq_evidence_review!B:B, 0))</f>
        <v>4</v>
      </c>
      <c r="B976" s="6">
        <v>4.7</v>
      </c>
      <c r="C976" s="1">
        <f t="shared" si="110"/>
        <v>970</v>
      </c>
      <c r="D976" s="1">
        <f>VLOOKUP(B976,rq_evidence_review!$B$1:$L$55,7,FALSE)</f>
        <v>29</v>
      </c>
      <c r="E976" s="8" t="s">
        <v>1226</v>
      </c>
      <c r="H976" s="1" t="str">
        <f t="shared" si="105"/>
        <v>Ravn P</v>
      </c>
      <c r="I976" s="1" t="str">
        <f t="shared" si="107"/>
        <v>2022</v>
      </c>
      <c r="J976" s="1" t="str">
        <f t="shared" si="106"/>
        <v>Ravn P et al., 2022</v>
      </c>
      <c r="K976" s="1" t="str">
        <f t="shared" si="108"/>
        <v>10.3390/metabo12121183</v>
      </c>
      <c r="L976" s="1" t="str">
        <f t="shared" si="109"/>
        <v/>
      </c>
    </row>
    <row r="977" spans="1:12" ht="30" hidden="1" x14ac:dyDescent="0.25">
      <c r="A977" s="1">
        <f>INDEX(rq_evidence_review!A:A, MATCH(B977, rq_evidence_review!B:B, 0))</f>
        <v>4</v>
      </c>
      <c r="B977" s="6">
        <f>rq_evidence_review!B37</f>
        <v>4.8</v>
      </c>
      <c r="C977" s="1">
        <f t="shared" si="110"/>
        <v>971</v>
      </c>
      <c r="D977" s="1">
        <f>VLOOKUP(B977,rq_evidence_review!$B$1:$L$55,7,FALSE)</f>
        <v>8</v>
      </c>
      <c r="E977" s="8" t="s">
        <v>1819</v>
      </c>
      <c r="H977" s="1" t="str">
        <f t="shared" si="105"/>
        <v>Clayton</v>
      </c>
      <c r="I977" s="1" t="str">
        <f t="shared" si="107"/>
        <v>2005</v>
      </c>
      <c r="J977" s="1" t="str">
        <f t="shared" si="106"/>
        <v>Clayton et al., 2005</v>
      </c>
      <c r="K977" s="1" t="str">
        <f t="shared" si="108"/>
        <v>10.1111/j.1365-2133.2005.06426.x</v>
      </c>
      <c r="L977" s="1" t="str">
        <f t="shared" si="109"/>
        <v/>
      </c>
    </row>
    <row r="978" spans="1:12" ht="30" hidden="1" x14ac:dyDescent="0.25">
      <c r="A978" s="1">
        <f>INDEX(rq_evidence_review!A:A, MATCH(B978, rq_evidence_review!B:B, 0))</f>
        <v>4</v>
      </c>
      <c r="B978" s="6">
        <v>4.8</v>
      </c>
      <c r="C978" s="1">
        <f t="shared" si="110"/>
        <v>972</v>
      </c>
      <c r="D978" s="1">
        <f>VLOOKUP(B978,rq_evidence_review!$B$1:$L$55,7,FALSE)</f>
        <v>8</v>
      </c>
      <c r="E978" s="8" t="s">
        <v>1923</v>
      </c>
      <c r="H978" s="1" t="str">
        <f t="shared" si="105"/>
        <v>Dorgham</v>
      </c>
      <c r="I978" s="1" t="str">
        <f t="shared" si="107"/>
        <v>2021</v>
      </c>
      <c r="J978" s="1" t="str">
        <f t="shared" si="106"/>
        <v>Dorgham et al., 2021</v>
      </c>
      <c r="K978" s="1" t="str">
        <f t="shared" si="108"/>
        <v>10.36849/JDD.2021.5652</v>
      </c>
      <c r="L978" s="1" t="str">
        <f t="shared" si="109"/>
        <v/>
      </c>
    </row>
    <row r="979" spans="1:12" ht="30" hidden="1" x14ac:dyDescent="0.25">
      <c r="A979" s="1">
        <f>INDEX(rq_evidence_review!A:A, MATCH(B979, rq_evidence_review!B:B, 0))</f>
        <v>4</v>
      </c>
      <c r="B979" s="6">
        <v>4.8</v>
      </c>
      <c r="C979" s="1">
        <f t="shared" si="110"/>
        <v>973</v>
      </c>
      <c r="D979" s="1">
        <f>VLOOKUP(B979,rq_evidence_review!$B$1:$L$55,7,FALSE)</f>
        <v>8</v>
      </c>
      <c r="E979" s="8" t="s">
        <v>1229</v>
      </c>
      <c r="H979" s="1" t="str">
        <f t="shared" si="105"/>
        <v>Karn</v>
      </c>
      <c r="I979" s="1" t="str">
        <f t="shared" si="107"/>
        <v>2014</v>
      </c>
      <c r="J979" s="1" t="str">
        <f t="shared" si="106"/>
        <v>Karn et al., 2014</v>
      </c>
      <c r="L979" s="10">
        <v>25574987</v>
      </c>
    </row>
    <row r="980" spans="1:12" ht="30" hidden="1" x14ac:dyDescent="0.25">
      <c r="A980" s="1">
        <f>INDEX(rq_evidence_review!A:A, MATCH(B980, rq_evidence_review!B:B, 0))</f>
        <v>4</v>
      </c>
      <c r="B980" s="6">
        <v>4.8</v>
      </c>
      <c r="C980" s="1">
        <f t="shared" si="110"/>
        <v>974</v>
      </c>
      <c r="D980" s="1">
        <f>VLOOKUP(B980,rq_evidence_review!$B$1:$L$55,7,FALSE)</f>
        <v>8</v>
      </c>
      <c r="E980" s="8" t="s">
        <v>1230</v>
      </c>
      <c r="H980" s="1" t="str">
        <f t="shared" si="105"/>
        <v>McGill</v>
      </c>
      <c r="I980" s="1" t="str">
        <f t="shared" si="107"/>
        <v>2007</v>
      </c>
      <c r="J980" s="1" t="str">
        <f t="shared" si="106"/>
        <v>McGill et al., 2007</v>
      </c>
      <c r="K980" s="1" t="str">
        <f t="shared" si="108"/>
        <v>10.1002/lsm.20584</v>
      </c>
      <c r="L980" s="1" t="str">
        <f t="shared" si="109"/>
        <v/>
      </c>
    </row>
    <row r="981" spans="1:12" ht="30" hidden="1" x14ac:dyDescent="0.25">
      <c r="A981" s="1">
        <f>INDEX(rq_evidence_review!A:A, MATCH(B981, rq_evidence_review!B:B, 0))</f>
        <v>4</v>
      </c>
      <c r="B981" s="6">
        <v>4.8</v>
      </c>
      <c r="C981" s="1">
        <f t="shared" si="110"/>
        <v>975</v>
      </c>
      <c r="D981" s="1">
        <f>VLOOKUP(B981,rq_evidence_review!$B$1:$L$55,7,FALSE)</f>
        <v>8</v>
      </c>
      <c r="E981" s="8" t="s">
        <v>1231</v>
      </c>
      <c r="H981" s="1" t="str">
        <f t="shared" si="105"/>
        <v>McGill</v>
      </c>
      <c r="I981" s="1" t="str">
        <f t="shared" si="107"/>
        <v>2007</v>
      </c>
      <c r="J981" s="1" t="str">
        <f t="shared" si="106"/>
        <v>McGill et al., 2007</v>
      </c>
      <c r="K981" s="1" t="str">
        <f t="shared" si="108"/>
        <v>10.1016/j.bjps.2006.11.006</v>
      </c>
      <c r="L981" s="1" t="str">
        <f t="shared" si="109"/>
        <v/>
      </c>
    </row>
    <row r="982" spans="1:12" ht="45" hidden="1" x14ac:dyDescent="0.25">
      <c r="A982" s="1">
        <f>INDEX(rq_evidence_review!A:A, MATCH(B982, rq_evidence_review!B:B, 0))</f>
        <v>4</v>
      </c>
      <c r="B982" s="6">
        <v>4.8</v>
      </c>
      <c r="C982" s="1">
        <f t="shared" si="110"/>
        <v>976</v>
      </c>
      <c r="D982" s="1">
        <f>VLOOKUP(B982,rq_evidence_review!$B$1:$L$55,7,FALSE)</f>
        <v>8</v>
      </c>
      <c r="E982" s="8" t="s">
        <v>1232</v>
      </c>
      <c r="H982" s="1" t="str">
        <f t="shared" si="105"/>
        <v>Nabi</v>
      </c>
      <c r="I982" s="1" t="str">
        <f t="shared" si="107"/>
        <v>2022</v>
      </c>
      <c r="J982" s="1" t="str">
        <f t="shared" si="106"/>
        <v>Nabi et al., 2022</v>
      </c>
      <c r="K982" s="1" t="str">
        <f t="shared" si="108"/>
        <v>10.1007/s10103-021-03295-0</v>
      </c>
      <c r="L982" s="1" t="str">
        <f t="shared" si="109"/>
        <v/>
      </c>
    </row>
    <row r="983" spans="1:12" ht="45" hidden="1" x14ac:dyDescent="0.25">
      <c r="A983" s="1">
        <f>INDEX(rq_evidence_review!A:A, MATCH(B983, rq_evidence_review!B:B, 0))</f>
        <v>4</v>
      </c>
      <c r="B983" s="6">
        <v>4.8</v>
      </c>
      <c r="C983" s="1">
        <f t="shared" si="110"/>
        <v>977</v>
      </c>
      <c r="D983" s="1">
        <f>VLOOKUP(B983,rq_evidence_review!$B$1:$L$55,7,FALSE)</f>
        <v>8</v>
      </c>
      <c r="E983" s="8" t="s">
        <v>1233</v>
      </c>
      <c r="H983" s="1" t="str">
        <f t="shared" si="105"/>
        <v>Pai</v>
      </c>
      <c r="I983" s="1" t="str">
        <f t="shared" si="107"/>
        <v>2011</v>
      </c>
      <c r="J983" s="1" t="str">
        <f t="shared" si="106"/>
        <v>Pai et al., 2011</v>
      </c>
      <c r="K983" s="1" t="str">
        <f t="shared" si="108"/>
        <v>10.3109/14764172.2011.594057</v>
      </c>
      <c r="L983" s="1" t="str">
        <f t="shared" si="109"/>
        <v/>
      </c>
    </row>
    <row r="984" spans="1:12" ht="30" hidden="1" x14ac:dyDescent="0.25">
      <c r="A984" s="1">
        <f>INDEX(rq_evidence_review!A:A, MATCH(B984, rq_evidence_review!B:B, 0))</f>
        <v>4</v>
      </c>
      <c r="B984" s="6">
        <v>4.8</v>
      </c>
      <c r="C984" s="1">
        <f t="shared" si="110"/>
        <v>978</v>
      </c>
      <c r="D984" s="1">
        <f>VLOOKUP(B984,rq_evidence_review!$B$1:$L$55,7,FALSE)</f>
        <v>8</v>
      </c>
      <c r="E984" s="8" t="s">
        <v>1234</v>
      </c>
      <c r="H984" s="1" t="str">
        <f t="shared" si="105"/>
        <v>Rezvanian</v>
      </c>
      <c r="I984" s="1" t="str">
        <f t="shared" si="107"/>
        <v>2009</v>
      </c>
      <c r="J984" s="1" t="str">
        <f t="shared" si="106"/>
        <v>Rezvanian et al., 2009</v>
      </c>
      <c r="K984" s="1" t="str">
        <f t="shared" si="108"/>
        <v>10.1159/000187718</v>
      </c>
      <c r="L984" s="1" t="str">
        <f t="shared" si="109"/>
        <v/>
      </c>
    </row>
    <row r="985" spans="1:12" ht="45" hidden="1" x14ac:dyDescent="0.25">
      <c r="A985" s="1">
        <f>INDEX(rq_evidence_review!A:A, MATCH(B985, rq_evidence_review!B:B, 0))</f>
        <v>4</v>
      </c>
      <c r="B985" s="6">
        <f>rq_evidence_review!B38</f>
        <v>4.9000000000000004</v>
      </c>
      <c r="C985" s="1">
        <f t="shared" si="110"/>
        <v>979</v>
      </c>
      <c r="D985" s="1">
        <f>VLOOKUP(B985,rq_evidence_review!$B$1:$L$55,7,FALSE)</f>
        <v>10</v>
      </c>
      <c r="E985" s="8" t="s">
        <v>1235</v>
      </c>
      <c r="H985" s="1" t="str">
        <f t="shared" si="105"/>
        <v>Abiad</v>
      </c>
      <c r="I985" s="1" t="str">
        <f t="shared" si="107"/>
        <v>2018</v>
      </c>
      <c r="J985" s="1" t="str">
        <f t="shared" si="106"/>
        <v>Abiad et al., 2018</v>
      </c>
      <c r="K985" s="1" t="str">
        <f t="shared" si="108"/>
        <v>10.1016/j.dsx.2018.06.013</v>
      </c>
      <c r="L985" s="1" t="str">
        <f t="shared" si="109"/>
        <v/>
      </c>
    </row>
    <row r="986" spans="1:12" ht="60" hidden="1" x14ac:dyDescent="0.25">
      <c r="A986" s="1">
        <f>INDEX(rq_evidence_review!A:A, MATCH(B986, rq_evidence_review!B:B, 0))</f>
        <v>4</v>
      </c>
      <c r="B986" s="6">
        <v>4.9000000000000004</v>
      </c>
      <c r="C986" s="1">
        <f t="shared" si="110"/>
        <v>980</v>
      </c>
      <c r="D986" s="1">
        <f>VLOOKUP(B986,rq_evidence_review!$B$1:$L$55,7,FALSE)</f>
        <v>10</v>
      </c>
      <c r="E986" s="8" t="s">
        <v>1236</v>
      </c>
      <c r="H986" s="1" t="str">
        <f t="shared" si="105"/>
        <v>Ahmed</v>
      </c>
      <c r="I986" s="1" t="str">
        <f t="shared" si="107"/>
        <v>2022</v>
      </c>
      <c r="J986" s="1" t="str">
        <f t="shared" si="106"/>
        <v>Ahmed et al., 2022</v>
      </c>
      <c r="K986" s="1" t="str">
        <f t="shared" si="108"/>
        <v>10.1016/j.surge.2021.02.012</v>
      </c>
      <c r="L986" s="1" t="str">
        <f t="shared" si="109"/>
        <v/>
      </c>
    </row>
    <row r="987" spans="1:12" ht="60" hidden="1" x14ac:dyDescent="0.25">
      <c r="A987" s="1">
        <f>INDEX(rq_evidence_review!A:A, MATCH(B987, rq_evidence_review!B:B, 0))</f>
        <v>4</v>
      </c>
      <c r="B987" s="6">
        <v>4.9000000000000004</v>
      </c>
      <c r="C987" s="1">
        <f t="shared" si="110"/>
        <v>981</v>
      </c>
      <c r="D987" s="1">
        <f>VLOOKUP(B987,rq_evidence_review!$B$1:$L$55,7,FALSE)</f>
        <v>10</v>
      </c>
      <c r="E987" s="8" t="s">
        <v>1237</v>
      </c>
      <c r="H987" s="1" t="str">
        <f t="shared" si="105"/>
        <v>Benito</v>
      </c>
      <c r="I987" s="1" t="str">
        <f t="shared" si="107"/>
        <v>2020</v>
      </c>
      <c r="J987" s="1" t="str">
        <f t="shared" si="106"/>
        <v>Benito et al., 2020</v>
      </c>
      <c r="K987" s="1" t="str">
        <f t="shared" si="108"/>
        <v>10.1210/clinem/dgaa439</v>
      </c>
      <c r="L987" s="1" t="str">
        <f t="shared" si="109"/>
        <v/>
      </c>
    </row>
    <row r="988" spans="1:12" ht="45" hidden="1" x14ac:dyDescent="0.25">
      <c r="A988" s="1">
        <f>INDEX(rq_evidence_review!A:A, MATCH(B988, rq_evidence_review!B:B, 0))</f>
        <v>4</v>
      </c>
      <c r="B988" s="6">
        <v>4.9000000000000004</v>
      </c>
      <c r="C988" s="1">
        <f t="shared" si="110"/>
        <v>982</v>
      </c>
      <c r="D988" s="1">
        <f>VLOOKUP(B988,rq_evidence_review!$B$1:$L$55,7,FALSE)</f>
        <v>10</v>
      </c>
      <c r="E988" s="8" t="s">
        <v>1238</v>
      </c>
      <c r="H988" s="1" t="str">
        <f t="shared" si="105"/>
        <v>Bhandari</v>
      </c>
      <c r="I988" s="1" t="str">
        <f t="shared" si="107"/>
        <v>2016</v>
      </c>
      <c r="J988" s="1" t="str">
        <f t="shared" si="106"/>
        <v>Bhandari et al., 2016</v>
      </c>
      <c r="K988" s="1" t="str">
        <f t="shared" si="108"/>
        <v>10.3109/09513590.2016.1169267</v>
      </c>
      <c r="L988" s="1" t="str">
        <f t="shared" si="109"/>
        <v/>
      </c>
    </row>
    <row r="989" spans="1:12" ht="60" hidden="1" x14ac:dyDescent="0.25">
      <c r="A989" s="1">
        <f>INDEX(rq_evidence_review!A:A, MATCH(B989, rq_evidence_review!B:B, 0))</f>
        <v>4</v>
      </c>
      <c r="B989" s="6">
        <v>4.9000000000000004</v>
      </c>
      <c r="C989" s="1">
        <f t="shared" si="110"/>
        <v>983</v>
      </c>
      <c r="D989" s="1">
        <f>VLOOKUP(B989,rq_evidence_review!$B$1:$L$55,7,FALSE)</f>
        <v>10</v>
      </c>
      <c r="E989" s="8" t="s">
        <v>1239</v>
      </c>
      <c r="H989" s="1" t="str">
        <f t="shared" si="105"/>
        <v>Buyukkaba</v>
      </c>
      <c r="I989" s="1" t="str">
        <f t="shared" si="107"/>
        <v>2021</v>
      </c>
      <c r="J989" s="1" t="str">
        <f t="shared" si="106"/>
        <v>Buyukkaba et al., 2021</v>
      </c>
      <c r="K989" s="1" t="str">
        <f t="shared" si="108"/>
        <v>10.1055/a-1756-4798</v>
      </c>
      <c r="L989" s="1" t="str">
        <f t="shared" si="109"/>
        <v/>
      </c>
    </row>
    <row r="990" spans="1:12" ht="45" hidden="1" x14ac:dyDescent="0.25">
      <c r="A990" s="1">
        <f>INDEX(rq_evidence_review!A:A, MATCH(B990, rq_evidence_review!B:B, 0))</f>
        <v>4</v>
      </c>
      <c r="B990" s="6">
        <v>4.9000000000000004</v>
      </c>
      <c r="C990" s="1">
        <f t="shared" si="110"/>
        <v>984</v>
      </c>
      <c r="D990" s="1">
        <f>VLOOKUP(B990,rq_evidence_review!$B$1:$L$55,7,FALSE)</f>
        <v>10</v>
      </c>
      <c r="E990" s="8" t="s">
        <v>1240</v>
      </c>
      <c r="H990" s="1" t="str">
        <f t="shared" si="105"/>
        <v>Cai</v>
      </c>
      <c r="I990" s="1" t="str">
        <f t="shared" si="107"/>
        <v>2021</v>
      </c>
      <c r="J990" s="1" t="str">
        <f t="shared" si="106"/>
        <v>Cai et al., 2021</v>
      </c>
      <c r="K990" s="1" t="str">
        <f t="shared" si="108"/>
        <v>10.1007/s11695-021-05496-6</v>
      </c>
      <c r="L990" s="1" t="str">
        <f t="shared" si="109"/>
        <v/>
      </c>
    </row>
    <row r="991" spans="1:12" ht="60" hidden="1" x14ac:dyDescent="0.25">
      <c r="A991" s="1">
        <f>INDEX(rq_evidence_review!A:A, MATCH(B991, rq_evidence_review!B:B, 0))</f>
        <v>4</v>
      </c>
      <c r="B991" s="6">
        <v>4.9000000000000004</v>
      </c>
      <c r="C991" s="1">
        <f t="shared" si="110"/>
        <v>985</v>
      </c>
      <c r="D991" s="1">
        <f>VLOOKUP(B991,rq_evidence_review!$B$1:$L$55,7,FALSE)</f>
        <v>10</v>
      </c>
      <c r="E991" s="8" t="s">
        <v>1241</v>
      </c>
      <c r="H991" s="1" t="str">
        <f t="shared" si="105"/>
        <v>Casals</v>
      </c>
      <c r="I991" s="1" t="str">
        <f t="shared" si="107"/>
        <v>2021</v>
      </c>
      <c r="J991" s="1" t="str">
        <f t="shared" si="106"/>
        <v>Casals et al., 2021</v>
      </c>
      <c r="K991" s="1" t="str">
        <f t="shared" si="108"/>
        <v>10.1007/s11695-021-05297-x</v>
      </c>
      <c r="L991" s="1" t="str">
        <f t="shared" si="109"/>
        <v/>
      </c>
    </row>
    <row r="992" spans="1:12" ht="45" hidden="1" x14ac:dyDescent="0.25">
      <c r="A992" s="1">
        <f>INDEX(rq_evidence_review!A:A, MATCH(B992, rq_evidence_review!B:B, 0))</f>
        <v>4</v>
      </c>
      <c r="B992" s="6">
        <v>4.9000000000000004</v>
      </c>
      <c r="C992" s="1">
        <f t="shared" si="110"/>
        <v>986</v>
      </c>
      <c r="D992" s="1">
        <f>VLOOKUP(B992,rq_evidence_review!$B$1:$L$55,7,FALSE)</f>
        <v>10</v>
      </c>
      <c r="E992" s="8" t="s">
        <v>1242</v>
      </c>
      <c r="H992" s="1" t="str">
        <f t="shared" si="105"/>
        <v>Chiofalo</v>
      </c>
      <c r="I992" s="1" t="str">
        <f t="shared" si="107"/>
        <v>2017</v>
      </c>
      <c r="J992" s="1" t="str">
        <f t="shared" si="106"/>
        <v>Chiofalo et al., 2017</v>
      </c>
      <c r="K992" s="1" t="str">
        <f t="shared" si="108"/>
        <v>10.1007/s11695-016-2528-y</v>
      </c>
      <c r="L992" s="1" t="str">
        <f t="shared" si="109"/>
        <v/>
      </c>
    </row>
    <row r="993" spans="1:14" ht="45" hidden="1" x14ac:dyDescent="0.25">
      <c r="A993" s="1">
        <f>INDEX(rq_evidence_review!A:A, MATCH(B993, rq_evidence_review!B:B, 0))</f>
        <v>4</v>
      </c>
      <c r="B993" s="6">
        <v>4.9000000000000004</v>
      </c>
      <c r="C993" s="1">
        <f t="shared" si="110"/>
        <v>987</v>
      </c>
      <c r="D993" s="1">
        <f>VLOOKUP(B993,rq_evidence_review!$B$1:$L$55,7,FALSE)</f>
        <v>10</v>
      </c>
      <c r="E993" s="8" t="s">
        <v>1243</v>
      </c>
      <c r="H993" s="1" t="str">
        <f t="shared" si="105"/>
        <v>Hu</v>
      </c>
      <c r="I993" s="1" t="str">
        <f t="shared" si="107"/>
        <v>2022</v>
      </c>
      <c r="J993" s="1" t="str">
        <f t="shared" si="106"/>
        <v>Hu et al., 2022</v>
      </c>
      <c r="K993" s="1" t="str">
        <f t="shared" si="108"/>
        <v>10.1210/clinem/dgac294</v>
      </c>
      <c r="L993" s="1" t="str">
        <f t="shared" si="109"/>
        <v/>
      </c>
    </row>
    <row r="994" spans="1:14" ht="45" hidden="1" x14ac:dyDescent="0.25">
      <c r="A994" s="1">
        <f>INDEX(rq_evidence_review!A:A, MATCH(B994, rq_evidence_review!B:B, 0))</f>
        <v>4</v>
      </c>
      <c r="B994" s="6">
        <v>4.9000000000000004</v>
      </c>
      <c r="C994" s="1">
        <f t="shared" si="110"/>
        <v>988</v>
      </c>
      <c r="D994" s="1">
        <f>VLOOKUP(B994,rq_evidence_review!$B$1:$L$55,7,FALSE)</f>
        <v>10</v>
      </c>
      <c r="E994" s="8" t="s">
        <v>1244</v>
      </c>
      <c r="H994" s="1" t="str">
        <f t="shared" ref="H994:H1057" si="111">LEFT(E994, FIND(",", E994) - 1)</f>
        <v>Tatarchuk T.</v>
      </c>
      <c r="I994" s="1" t="str">
        <f t="shared" si="107"/>
        <v>2022</v>
      </c>
      <c r="J994" s="1" t="str">
        <f t="shared" ref="J994:J1057" si="112">H994 &amp; " et al., " &amp; I994</f>
        <v>Tatarchuk T. et al., 2022</v>
      </c>
      <c r="K994" s="1" t="str">
        <f t="shared" si="108"/>
        <v>10.1007/s11695-021-05820-0</v>
      </c>
      <c r="L994" s="1" t="str">
        <f t="shared" si="109"/>
        <v/>
      </c>
    </row>
    <row r="995" spans="1:14" ht="30" hidden="1" x14ac:dyDescent="0.25">
      <c r="A995" s="1">
        <f>INDEX(rq_evidence_review!A:A, MATCH(B995, rq_evidence_review!B:B, 0))</f>
        <v>4</v>
      </c>
      <c r="B995" s="6" t="str">
        <f>rq_evidence_review!B39</f>
        <v>4.10.</v>
      </c>
      <c r="C995" s="1">
        <f t="shared" si="110"/>
        <v>989</v>
      </c>
      <c r="D995" s="1">
        <f>VLOOKUP(B995,rq_evidence_review!$B$1:$L$55,7,FALSE)</f>
        <v>109</v>
      </c>
      <c r="E995" s="8" t="s">
        <v>1245</v>
      </c>
      <c r="G995" s="1" t="s">
        <v>945</v>
      </c>
      <c r="H995" s="1" t="str">
        <f t="shared" si="111"/>
        <v>Diamant</v>
      </c>
      <c r="I995" s="1" t="str">
        <f t="shared" ref="I995:I1058" si="113">ExtractYear(E995)</f>
        <v>1982</v>
      </c>
      <c r="J995" s="1" t="str">
        <f t="shared" si="112"/>
        <v>Diamant et al., 1982</v>
      </c>
      <c r="K995" s="9" t="s">
        <v>1820</v>
      </c>
      <c r="L995" s="1" t="str">
        <f t="shared" ref="L995:L1058" si="114">ExtractPMID(E995)</f>
        <v/>
      </c>
    </row>
    <row r="996" spans="1:14" ht="30" hidden="1" x14ac:dyDescent="0.25">
      <c r="A996" s="1">
        <f>INDEX(rq_evidence_review!A:A, MATCH(B996, rq_evidence_review!B:B, 0))</f>
        <v>4</v>
      </c>
      <c r="B996" s="6" t="s">
        <v>1914</v>
      </c>
      <c r="C996" s="1">
        <f t="shared" si="110"/>
        <v>990</v>
      </c>
      <c r="D996" s="1">
        <f>VLOOKUP(B996,rq_evidence_review!$B$1:$L$55,7,FALSE)</f>
        <v>109</v>
      </c>
      <c r="E996" s="8" t="s">
        <v>1246</v>
      </c>
      <c r="G996" s="1" t="s">
        <v>945</v>
      </c>
      <c r="H996" s="1" t="str">
        <f t="shared" si="111"/>
        <v>Levran</v>
      </c>
      <c r="I996" s="1" t="str">
        <f t="shared" si="113"/>
        <v>1990</v>
      </c>
      <c r="J996" s="1" t="str">
        <f t="shared" si="112"/>
        <v>Levran et al., 1990</v>
      </c>
      <c r="K996" s="1" t="str">
        <f t="shared" ref="K996:K1058" si="115">ExtractDOI(E996)</f>
        <v/>
      </c>
      <c r="L996" s="10">
        <v>1973920</v>
      </c>
      <c r="N996" s="1">
        <v>36394716</v>
      </c>
    </row>
    <row r="997" spans="1:14" ht="30" hidden="1" x14ac:dyDescent="0.25">
      <c r="A997" s="1">
        <f>INDEX(rq_evidence_review!A:A, MATCH(B997, rq_evidence_review!B:B, 0))</f>
        <v>4</v>
      </c>
      <c r="B997" s="6" t="s">
        <v>1914</v>
      </c>
      <c r="C997" s="1">
        <f t="shared" si="110"/>
        <v>991</v>
      </c>
      <c r="D997" s="1">
        <f>VLOOKUP(B997,rq_evidence_review!$B$1:$L$55,7,FALSE)</f>
        <v>109</v>
      </c>
      <c r="E997" s="8" t="s">
        <v>1247</v>
      </c>
      <c r="G997" s="1" t="s">
        <v>945</v>
      </c>
      <c r="H997" s="1" t="str">
        <f t="shared" si="111"/>
        <v>Wortsman</v>
      </c>
      <c r="I997" s="1" t="str">
        <f t="shared" si="113"/>
        <v>1991</v>
      </c>
      <c r="J997" s="1" t="str">
        <f t="shared" si="112"/>
        <v>Wortsman et al., 1991</v>
      </c>
      <c r="L997" s="10">
        <v>1774730</v>
      </c>
      <c r="N997" s="1">
        <v>29898778</v>
      </c>
    </row>
    <row r="998" spans="1:14" ht="45" hidden="1" x14ac:dyDescent="0.25">
      <c r="A998" s="1">
        <f>INDEX(rq_evidence_review!A:A, MATCH(B998, rq_evidence_review!B:B, 0))</f>
        <v>4</v>
      </c>
      <c r="B998" s="6" t="s">
        <v>1914</v>
      </c>
      <c r="C998" s="1">
        <f t="shared" si="110"/>
        <v>992</v>
      </c>
      <c r="D998" s="1">
        <f>VLOOKUP(B998,rq_evidence_review!$B$1:$L$55,7,FALSE)</f>
        <v>109</v>
      </c>
      <c r="E998" s="8" t="s">
        <v>1248</v>
      </c>
      <c r="G998" s="1" t="s">
        <v>945</v>
      </c>
      <c r="H998" s="1" t="str">
        <f t="shared" si="111"/>
        <v>Urman</v>
      </c>
      <c r="I998" s="1" t="str">
        <f t="shared" si="113"/>
        <v>1992</v>
      </c>
      <c r="J998" s="1" t="str">
        <f t="shared" si="112"/>
        <v>Urman et al., 1992</v>
      </c>
      <c r="K998" s="9" t="s">
        <v>1821</v>
      </c>
      <c r="L998" s="1" t="str">
        <f t="shared" si="114"/>
        <v/>
      </c>
    </row>
    <row r="999" spans="1:14" ht="30" hidden="1" x14ac:dyDescent="0.25">
      <c r="A999" s="1">
        <f>INDEX(rq_evidence_review!A:A, MATCH(B999, rq_evidence_review!B:B, 0))</f>
        <v>4</v>
      </c>
      <c r="B999" s="6" t="s">
        <v>1914</v>
      </c>
      <c r="C999" s="1">
        <f t="shared" si="110"/>
        <v>993</v>
      </c>
      <c r="D999" s="1">
        <f>VLOOKUP(B999,rq_evidence_review!$B$1:$L$55,7,FALSE)</f>
        <v>109</v>
      </c>
      <c r="E999" s="8" t="s">
        <v>1249</v>
      </c>
      <c r="G999" s="1" t="s">
        <v>945</v>
      </c>
      <c r="H999" s="1" t="str">
        <f t="shared" si="111"/>
        <v>Homburg</v>
      </c>
      <c r="I999" s="1" t="str">
        <f t="shared" si="113"/>
        <v>1993</v>
      </c>
      <c r="J999" s="1" t="str">
        <f t="shared" si="112"/>
        <v>Homburg et al., 1993</v>
      </c>
      <c r="K999" s="9" t="s">
        <v>1822</v>
      </c>
      <c r="L999" s="1" t="str">
        <f t="shared" si="114"/>
        <v/>
      </c>
    </row>
    <row r="1000" spans="1:14" ht="30" hidden="1" x14ac:dyDescent="0.25">
      <c r="A1000" s="1">
        <f>INDEX(rq_evidence_review!A:A, MATCH(B1000, rq_evidence_review!B:B, 0))</f>
        <v>4</v>
      </c>
      <c r="B1000" s="6" t="s">
        <v>1914</v>
      </c>
      <c r="C1000" s="1">
        <f t="shared" si="110"/>
        <v>994</v>
      </c>
      <c r="D1000" s="1">
        <f>VLOOKUP(B1000,rq_evidence_review!$B$1:$L$55,7,FALSE)</f>
        <v>109</v>
      </c>
      <c r="E1000" s="8" t="s">
        <v>1250</v>
      </c>
      <c r="G1000" s="1" t="s">
        <v>945</v>
      </c>
      <c r="H1000" s="1" t="str">
        <f t="shared" si="111"/>
        <v>Lesser</v>
      </c>
      <c r="I1000" s="1" t="str">
        <f t="shared" si="113"/>
        <v>1997</v>
      </c>
      <c r="J1000" s="1" t="str">
        <f t="shared" si="112"/>
        <v>Lesser et al., 1997</v>
      </c>
      <c r="K1000" s="1" t="s">
        <v>1926</v>
      </c>
      <c r="L1000" s="1" t="str">
        <f t="shared" si="114"/>
        <v/>
      </c>
    </row>
    <row r="1001" spans="1:14" ht="30" hidden="1" x14ac:dyDescent="0.25">
      <c r="A1001" s="1">
        <f>INDEX(rq_evidence_review!A:A, MATCH(B1001, rq_evidence_review!B:B, 0))</f>
        <v>4</v>
      </c>
      <c r="B1001" s="6" t="s">
        <v>1914</v>
      </c>
      <c r="C1001" s="1">
        <f t="shared" si="110"/>
        <v>995</v>
      </c>
      <c r="D1001" s="1">
        <f>VLOOKUP(B1001,rq_evidence_review!$B$1:$L$55,7,FALSE)</f>
        <v>109</v>
      </c>
      <c r="E1001" s="8" t="s">
        <v>1251</v>
      </c>
      <c r="G1001" s="1" t="s">
        <v>945</v>
      </c>
      <c r="H1001" s="1" t="str">
        <f t="shared" si="111"/>
        <v>Urman</v>
      </c>
      <c r="I1001" s="1" t="str">
        <f t="shared" si="113"/>
        <v>1997</v>
      </c>
      <c r="J1001" s="1" t="str">
        <f t="shared" si="112"/>
        <v>Urman et al., 1997</v>
      </c>
      <c r="K1001" s="1" t="str">
        <f t="shared" si="115"/>
        <v/>
      </c>
      <c r="L1001" s="10">
        <v>9284012</v>
      </c>
      <c r="N1001" s="1">
        <v>29040757</v>
      </c>
    </row>
    <row r="1002" spans="1:14" ht="30" hidden="1" x14ac:dyDescent="0.25">
      <c r="A1002" s="1">
        <f>INDEX(rq_evidence_review!A:A, MATCH(B1002, rq_evidence_review!B:B, 0))</f>
        <v>4</v>
      </c>
      <c r="B1002" s="6" t="s">
        <v>1914</v>
      </c>
      <c r="C1002" s="1">
        <f t="shared" si="110"/>
        <v>996</v>
      </c>
      <c r="D1002" s="1">
        <f>VLOOKUP(B1002,rq_evidence_review!$B$1:$L$55,7,FALSE)</f>
        <v>109</v>
      </c>
      <c r="E1002" s="8" t="s">
        <v>1252</v>
      </c>
      <c r="G1002" s="1" t="s">
        <v>945</v>
      </c>
      <c r="H1002" s="1" t="str">
        <f t="shared" si="111"/>
        <v>Fridstrom</v>
      </c>
      <c r="I1002" s="1" t="str">
        <f t="shared" si="113"/>
        <v>1999</v>
      </c>
      <c r="J1002" s="1" t="str">
        <f t="shared" si="112"/>
        <v>Fridstrom et al., 1999</v>
      </c>
      <c r="K1002" s="9" t="s">
        <v>1823</v>
      </c>
      <c r="L1002" s="1" t="str">
        <f t="shared" si="114"/>
        <v/>
      </c>
    </row>
    <row r="1003" spans="1:14" ht="30" hidden="1" x14ac:dyDescent="0.25">
      <c r="A1003" s="1">
        <f>INDEX(rq_evidence_review!A:A, MATCH(B1003, rq_evidence_review!B:B, 0))</f>
        <v>4</v>
      </c>
      <c r="B1003" s="6" t="s">
        <v>1914</v>
      </c>
      <c r="C1003" s="1">
        <f t="shared" si="110"/>
        <v>997</v>
      </c>
      <c r="D1003" s="1">
        <f>VLOOKUP(B1003,rq_evidence_review!$B$1:$L$55,7,FALSE)</f>
        <v>109</v>
      </c>
      <c r="E1003" s="8" t="s">
        <v>1253</v>
      </c>
      <c r="G1003" s="1" t="s">
        <v>945</v>
      </c>
      <c r="H1003" s="1" t="str">
        <f t="shared" si="111"/>
        <v>Kashyap</v>
      </c>
      <c r="I1003" s="1" t="str">
        <f t="shared" si="113"/>
        <v>2000</v>
      </c>
      <c r="J1003" s="1" t="str">
        <f t="shared" si="112"/>
        <v>Kashyap et al., 2000</v>
      </c>
      <c r="K1003" s="1" t="str">
        <f t="shared" si="115"/>
        <v/>
      </c>
      <c r="L1003" s="10">
        <v>11153260</v>
      </c>
      <c r="N1003" s="1">
        <v>2142285</v>
      </c>
    </row>
    <row r="1004" spans="1:14" ht="45" hidden="1" x14ac:dyDescent="0.25">
      <c r="A1004" s="1">
        <f>INDEX(rq_evidence_review!A:A, MATCH(B1004, rq_evidence_review!B:B, 0))</f>
        <v>4</v>
      </c>
      <c r="B1004" s="6" t="s">
        <v>1914</v>
      </c>
      <c r="C1004" s="1">
        <f t="shared" si="110"/>
        <v>998</v>
      </c>
      <c r="D1004" s="1">
        <f>VLOOKUP(B1004,rq_evidence_review!$B$1:$L$55,7,FALSE)</f>
        <v>109</v>
      </c>
      <c r="E1004" s="8" t="s">
        <v>1254</v>
      </c>
      <c r="G1004" s="1" t="s">
        <v>945</v>
      </c>
      <c r="H1004" s="1" t="str">
        <f t="shared" si="111"/>
        <v>Vollenhoven</v>
      </c>
      <c r="I1004" s="1" t="str">
        <f t="shared" si="113"/>
        <v>2000</v>
      </c>
      <c r="J1004" s="1" t="str">
        <f t="shared" si="112"/>
        <v>Vollenhoven et al., 2000</v>
      </c>
      <c r="K1004" s="9" t="s">
        <v>1824</v>
      </c>
      <c r="L1004" s="1" t="str">
        <f t="shared" si="114"/>
        <v/>
      </c>
    </row>
    <row r="1005" spans="1:14" ht="30" hidden="1" x14ac:dyDescent="0.25">
      <c r="A1005" s="1">
        <f>INDEX(rq_evidence_review!A:A, MATCH(B1005, rq_evidence_review!B:B, 0))</f>
        <v>4</v>
      </c>
      <c r="B1005" s="6" t="s">
        <v>1914</v>
      </c>
      <c r="C1005" s="1">
        <f t="shared" si="110"/>
        <v>999</v>
      </c>
      <c r="D1005" s="1">
        <f>VLOOKUP(B1005,rq_evidence_review!$B$1:$L$55,7,FALSE)</f>
        <v>109</v>
      </c>
      <c r="E1005" s="8" t="s">
        <v>1255</v>
      </c>
      <c r="G1005" s="1" t="s">
        <v>945</v>
      </c>
      <c r="H1005" s="1" t="str">
        <f t="shared" si="111"/>
        <v>Mikola</v>
      </c>
      <c r="I1005" s="1" t="str">
        <f t="shared" si="113"/>
        <v>2001</v>
      </c>
      <c r="J1005" s="1" t="str">
        <f t="shared" si="112"/>
        <v>Mikola et al., 2001</v>
      </c>
      <c r="K1005" s="9" t="s">
        <v>1825</v>
      </c>
      <c r="L1005" s="1" t="str">
        <f t="shared" si="114"/>
        <v/>
      </c>
    </row>
    <row r="1006" spans="1:14" ht="45" hidden="1" x14ac:dyDescent="0.25">
      <c r="A1006" s="1">
        <f>INDEX(rq_evidence_review!A:A, MATCH(B1006, rq_evidence_review!B:B, 0))</f>
        <v>4</v>
      </c>
      <c r="B1006" s="6" t="s">
        <v>1914</v>
      </c>
      <c r="C1006" s="1">
        <f t="shared" si="110"/>
        <v>1000</v>
      </c>
      <c r="D1006" s="1">
        <f>VLOOKUP(B1006,rq_evidence_review!$B$1:$L$55,7,FALSE)</f>
        <v>109</v>
      </c>
      <c r="E1006" s="8" t="s">
        <v>1256</v>
      </c>
      <c r="G1006" s="1" t="s">
        <v>945</v>
      </c>
      <c r="H1006" s="1" t="str">
        <f t="shared" si="111"/>
        <v>Wang</v>
      </c>
      <c r="I1006" s="1" t="str">
        <f t="shared" si="113"/>
        <v>2001</v>
      </c>
      <c r="J1006" s="1" t="str">
        <f t="shared" si="112"/>
        <v>Wang et al., 2001</v>
      </c>
      <c r="K1006" s="9" t="s">
        <v>1826</v>
      </c>
      <c r="L1006" s="1" t="str">
        <f t="shared" si="114"/>
        <v/>
      </c>
    </row>
    <row r="1007" spans="1:14" ht="30" hidden="1" x14ac:dyDescent="0.25">
      <c r="A1007" s="1">
        <f>INDEX(rq_evidence_review!A:A, MATCH(B1007, rq_evidence_review!B:B, 0))</f>
        <v>4</v>
      </c>
      <c r="B1007" s="6" t="s">
        <v>1914</v>
      </c>
      <c r="C1007" s="1">
        <f t="shared" si="110"/>
        <v>1001</v>
      </c>
      <c r="D1007" s="1">
        <f>VLOOKUP(B1007,rq_evidence_review!$B$1:$L$55,7,FALSE)</f>
        <v>109</v>
      </c>
      <c r="E1007" s="8" t="s">
        <v>1257</v>
      </c>
      <c r="G1007" s="1" t="s">
        <v>945</v>
      </c>
      <c r="H1007" s="1" t="str">
        <f t="shared" si="111"/>
        <v>Bjercke</v>
      </c>
      <c r="I1007" s="1" t="str">
        <f t="shared" si="113"/>
        <v>2002</v>
      </c>
      <c r="J1007" s="1" t="str">
        <f t="shared" si="112"/>
        <v>Bjercke et al., 2002</v>
      </c>
      <c r="K1007" s="9" t="s">
        <v>1827</v>
      </c>
      <c r="L1007" s="1" t="str">
        <f t="shared" si="114"/>
        <v/>
      </c>
    </row>
    <row r="1008" spans="1:14" ht="45" hidden="1" x14ac:dyDescent="0.25">
      <c r="A1008" s="1">
        <f>INDEX(rq_evidence_review!A:A, MATCH(B1008, rq_evidence_review!B:B, 0))</f>
        <v>4</v>
      </c>
      <c r="B1008" s="6" t="s">
        <v>1914</v>
      </c>
      <c r="C1008" s="1">
        <f t="shared" si="110"/>
        <v>1002</v>
      </c>
      <c r="D1008" s="1">
        <f>VLOOKUP(B1008,rq_evidence_review!$B$1:$L$55,7,FALSE)</f>
        <v>109</v>
      </c>
      <c r="E1008" s="8" t="s">
        <v>1258</v>
      </c>
      <c r="G1008" s="1" t="s">
        <v>945</v>
      </c>
      <c r="H1008" s="1" t="str">
        <f t="shared" si="111"/>
        <v>Sir-Petermann</v>
      </c>
      <c r="I1008" s="1" t="str">
        <f t="shared" si="113"/>
        <v>2002</v>
      </c>
      <c r="J1008" s="1" t="str">
        <f t="shared" si="112"/>
        <v>Sir-Petermann et al., 2002</v>
      </c>
      <c r="K1008" s="9" t="s">
        <v>1828</v>
      </c>
      <c r="L1008" s="1" t="str">
        <f t="shared" si="114"/>
        <v/>
      </c>
    </row>
    <row r="1009" spans="1:15" ht="30" hidden="1" x14ac:dyDescent="0.25">
      <c r="A1009" s="1">
        <f>INDEX(rq_evidence_review!A:A, MATCH(B1009, rq_evidence_review!B:B, 0))</f>
        <v>4</v>
      </c>
      <c r="B1009" s="6" t="s">
        <v>1914</v>
      </c>
      <c r="C1009" s="1">
        <f t="shared" si="110"/>
        <v>1003</v>
      </c>
      <c r="D1009" s="1">
        <f>VLOOKUP(B1009,rq_evidence_review!$B$1:$L$55,7,FALSE)</f>
        <v>109</v>
      </c>
      <c r="E1009" s="8" t="s">
        <v>1259</v>
      </c>
      <c r="G1009" s="1" t="s">
        <v>945</v>
      </c>
      <c r="H1009" s="1" t="str">
        <f t="shared" si="111"/>
        <v>Haakova</v>
      </c>
      <c r="I1009" s="1" t="str">
        <f t="shared" si="113"/>
        <v>2003</v>
      </c>
      <c r="J1009" s="1" t="str">
        <f t="shared" si="112"/>
        <v>Haakova et al., 2003</v>
      </c>
      <c r="K1009" s="9" t="s">
        <v>1829</v>
      </c>
      <c r="L1009" s="1" t="str">
        <f t="shared" si="114"/>
        <v/>
      </c>
    </row>
    <row r="1010" spans="1:15" ht="30" hidden="1" x14ac:dyDescent="0.25">
      <c r="A1010" s="1">
        <f>INDEX(rq_evidence_review!A:A, MATCH(B1010, rq_evidence_review!B:B, 0))</f>
        <v>4</v>
      </c>
      <c r="B1010" s="6" t="s">
        <v>1914</v>
      </c>
      <c r="C1010" s="1">
        <f t="shared" si="110"/>
        <v>1004</v>
      </c>
      <c r="D1010" s="1">
        <f>VLOOKUP(B1010,rq_evidence_review!$B$1:$L$55,7,FALSE)</f>
        <v>109</v>
      </c>
      <c r="E1010" s="8" t="s">
        <v>1260</v>
      </c>
      <c r="G1010" s="1" t="s">
        <v>945</v>
      </c>
      <c r="H1010" s="1" t="str">
        <f t="shared" si="111"/>
        <v>Turhan</v>
      </c>
      <c r="I1010" s="1" t="str">
        <f t="shared" si="113"/>
        <v>2003</v>
      </c>
      <c r="J1010" s="1" t="str">
        <f t="shared" si="112"/>
        <v>Turhan et al., 2003</v>
      </c>
      <c r="K1010" s="9" t="s">
        <v>1830</v>
      </c>
      <c r="L1010" s="1" t="str">
        <f t="shared" si="114"/>
        <v/>
      </c>
    </row>
    <row r="1011" spans="1:15" ht="45" hidden="1" x14ac:dyDescent="0.25">
      <c r="A1011" s="1">
        <f>INDEX(rq_evidence_review!A:A, MATCH(B1011, rq_evidence_review!B:B, 0))</f>
        <v>4</v>
      </c>
      <c r="B1011" s="6" t="s">
        <v>1914</v>
      </c>
      <c r="C1011" s="1">
        <f t="shared" ref="C1011:C1060" si="116">C1010+1</f>
        <v>1005</v>
      </c>
      <c r="D1011" s="1">
        <f>VLOOKUP(B1011,rq_evidence_review!$B$1:$L$55,7,FALSE)</f>
        <v>109</v>
      </c>
      <c r="E1011" s="8" t="s">
        <v>1261</v>
      </c>
      <c r="G1011" s="1" t="s">
        <v>945</v>
      </c>
      <c r="H1011" s="1" t="str">
        <f t="shared" si="111"/>
        <v>Glueck</v>
      </c>
      <c r="I1011" s="1" t="str">
        <f t="shared" si="113"/>
        <v>2004</v>
      </c>
      <c r="J1011" s="1" t="str">
        <f t="shared" si="112"/>
        <v>Glueck et al., 2004</v>
      </c>
      <c r="K1011" s="1" t="str">
        <f t="shared" si="115"/>
        <v>10.1093/humrep/deh263</v>
      </c>
      <c r="L1011" s="1" t="str">
        <f t="shared" si="114"/>
        <v/>
      </c>
    </row>
    <row r="1012" spans="1:15" ht="30" hidden="1" x14ac:dyDescent="0.25">
      <c r="A1012" s="1">
        <f>INDEX(rq_evidence_review!A:A, MATCH(B1012, rq_evidence_review!B:B, 0))</f>
        <v>4</v>
      </c>
      <c r="B1012" s="6" t="s">
        <v>1914</v>
      </c>
      <c r="C1012" s="1">
        <f t="shared" si="116"/>
        <v>1006</v>
      </c>
      <c r="D1012" s="1">
        <f>VLOOKUP(B1012,rq_evidence_review!$B$1:$L$55,7,FALSE)</f>
        <v>109</v>
      </c>
      <c r="E1012" s="8" t="s">
        <v>1262</v>
      </c>
      <c r="G1012" s="1" t="s">
        <v>945</v>
      </c>
      <c r="H1012" s="1" t="str">
        <f t="shared" si="111"/>
        <v>Glueck</v>
      </c>
      <c r="I1012" s="1" t="str">
        <f t="shared" si="113"/>
        <v>2004</v>
      </c>
      <c r="J1012" s="1" t="str">
        <f t="shared" si="112"/>
        <v>Glueck et al., 2004</v>
      </c>
      <c r="K1012" s="1" t="str">
        <f t="shared" si="115"/>
        <v>10.1111/j.1464-5491.2004.01251.x</v>
      </c>
      <c r="L1012" s="1" t="str">
        <f t="shared" si="114"/>
        <v/>
      </c>
    </row>
    <row r="1013" spans="1:15" ht="45" hidden="1" x14ac:dyDescent="0.25">
      <c r="A1013" s="1">
        <f>INDEX(rq_evidence_review!A:A, MATCH(B1013, rq_evidence_review!B:B, 0))</f>
        <v>4</v>
      </c>
      <c r="B1013" s="6" t="s">
        <v>1914</v>
      </c>
      <c r="C1013" s="1">
        <f t="shared" si="116"/>
        <v>1007</v>
      </c>
      <c r="D1013" s="1">
        <f>VLOOKUP(B1013,rq_evidence_review!$B$1:$L$55,7,FALSE)</f>
        <v>109</v>
      </c>
      <c r="E1013" s="8" t="s">
        <v>1263</v>
      </c>
      <c r="G1013" s="1" t="s">
        <v>945</v>
      </c>
      <c r="H1013" s="1" t="str">
        <f t="shared" si="111"/>
        <v>Weerakiet</v>
      </c>
      <c r="I1013" s="1" t="str">
        <f t="shared" si="113"/>
        <v>2004</v>
      </c>
      <c r="J1013" s="1" t="str">
        <f t="shared" si="112"/>
        <v>Weerakiet et al., 2004</v>
      </c>
      <c r="K1013" s="9" t="s">
        <v>1831</v>
      </c>
      <c r="L1013" s="1" t="str">
        <f t="shared" si="114"/>
        <v/>
      </c>
    </row>
    <row r="1014" spans="1:15" ht="30" hidden="1" x14ac:dyDescent="0.25">
      <c r="A1014" s="1">
        <f>INDEX(rq_evidence_review!A:A, MATCH(B1014, rq_evidence_review!B:B, 0))</f>
        <v>4</v>
      </c>
      <c r="B1014" s="6" t="s">
        <v>1914</v>
      </c>
      <c r="C1014" s="1">
        <f t="shared" si="116"/>
        <v>1008</v>
      </c>
      <c r="D1014" s="1">
        <f>VLOOKUP(B1014,rq_evidence_review!$B$1:$L$55,7,FALSE)</f>
        <v>109</v>
      </c>
      <c r="E1014" s="8" t="s">
        <v>1264</v>
      </c>
      <c r="G1014" s="1" t="s">
        <v>945</v>
      </c>
      <c r="H1014" s="1" t="str">
        <f t="shared" si="111"/>
        <v>Sir-Petermann</v>
      </c>
      <c r="I1014" s="1" t="str">
        <f t="shared" si="113"/>
        <v>2005</v>
      </c>
      <c r="J1014" s="1" t="str">
        <f t="shared" si="112"/>
        <v>Sir-Petermann et al., 2005</v>
      </c>
      <c r="K1014" s="1" t="str">
        <f t="shared" si="115"/>
        <v>10.1093/humrep/dei009</v>
      </c>
      <c r="L1014" s="1" t="str">
        <f t="shared" si="114"/>
        <v/>
      </c>
    </row>
    <row r="1015" spans="1:15" ht="30" hidden="1" x14ac:dyDescent="0.25">
      <c r="A1015" s="1">
        <f>INDEX(rq_evidence_review!A:A, MATCH(B1015, rq_evidence_review!B:B, 0))</f>
        <v>4</v>
      </c>
      <c r="B1015" s="6" t="s">
        <v>1914</v>
      </c>
      <c r="C1015" s="1">
        <f t="shared" si="116"/>
        <v>1009</v>
      </c>
      <c r="D1015" s="1">
        <f>VLOOKUP(B1015,rq_evidence_review!$B$1:$L$55,7,FALSE)</f>
        <v>109</v>
      </c>
      <c r="E1015" s="8" t="s">
        <v>1265</v>
      </c>
      <c r="G1015" s="1" t="s">
        <v>945</v>
      </c>
      <c r="H1015" s="1" t="str">
        <f t="shared" si="111"/>
        <v>Al-Ojaimi</v>
      </c>
      <c r="I1015" s="1" t="str">
        <f t="shared" si="113"/>
        <v>2006</v>
      </c>
      <c r="J1015" s="1" t="str">
        <f t="shared" si="112"/>
        <v>Al-Ojaimi et al., 2006</v>
      </c>
      <c r="K1015" s="1" t="str">
        <f t="shared" si="115"/>
        <v/>
      </c>
      <c r="L1015" s="10">
        <v>16598331</v>
      </c>
      <c r="N1015" s="1">
        <v>743872</v>
      </c>
    </row>
    <row r="1016" spans="1:15" ht="30" hidden="1" x14ac:dyDescent="0.25">
      <c r="A1016" s="1">
        <f>INDEX(rq_evidence_review!A:A, MATCH(B1016, rq_evidence_review!B:B, 0))</f>
        <v>4</v>
      </c>
      <c r="B1016" s="6" t="s">
        <v>1914</v>
      </c>
      <c r="C1016" s="1">
        <f t="shared" si="116"/>
        <v>1010</v>
      </c>
      <c r="D1016" s="1">
        <f>VLOOKUP(B1016,rq_evidence_review!$B$1:$L$55,7,FALSE)</f>
        <v>109</v>
      </c>
      <c r="E1016" s="8" t="s">
        <v>1266</v>
      </c>
      <c r="G1016" s="1" t="s">
        <v>945</v>
      </c>
      <c r="H1016" s="1" t="str">
        <f t="shared" si="111"/>
        <v>Dokras</v>
      </c>
      <c r="I1016" s="1" t="str">
        <f t="shared" si="113"/>
        <v>2006</v>
      </c>
      <c r="J1016" s="1" t="str">
        <f t="shared" si="112"/>
        <v>Dokras et al., 2006</v>
      </c>
      <c r="K1016" s="1" t="str">
        <f t="shared" si="115"/>
        <v>10.1097/01.AOG.0000219768.08249.b6</v>
      </c>
      <c r="L1016" s="1" t="str">
        <f t="shared" si="114"/>
        <v/>
      </c>
    </row>
    <row r="1017" spans="1:15" ht="30" hidden="1" x14ac:dyDescent="0.25">
      <c r="A1017" s="1">
        <f>INDEX(rq_evidence_review!A:A, MATCH(B1017, rq_evidence_review!B:B, 0))</f>
        <v>4</v>
      </c>
      <c r="B1017" s="6" t="s">
        <v>1914</v>
      </c>
      <c r="C1017" s="1">
        <f t="shared" si="116"/>
        <v>1011</v>
      </c>
      <c r="D1017" s="1">
        <f>VLOOKUP(B1017,rq_evidence_review!$B$1:$L$55,7,FALSE)</f>
        <v>109</v>
      </c>
      <c r="E1017" s="8" t="s">
        <v>1267</v>
      </c>
      <c r="G1017" s="1" t="s">
        <v>945</v>
      </c>
      <c r="H1017" s="1" t="str">
        <f t="shared" si="111"/>
        <v>Kovo</v>
      </c>
      <c r="I1017" s="1" t="str">
        <f t="shared" si="113"/>
        <v>2006</v>
      </c>
      <c r="J1017" s="1" t="str">
        <f t="shared" si="112"/>
        <v>Kovo et al., 2006</v>
      </c>
      <c r="K1017" s="1" t="str">
        <f t="shared" si="115"/>
        <v>10.1080/14767050600682370</v>
      </c>
      <c r="L1017" s="1" t="str">
        <f t="shared" si="114"/>
        <v/>
      </c>
    </row>
    <row r="1018" spans="1:15" ht="30" hidden="1" x14ac:dyDescent="0.25">
      <c r="A1018" s="1">
        <f>INDEX(rq_evidence_review!A:A, MATCH(B1018, rq_evidence_review!B:B, 0))</f>
        <v>4</v>
      </c>
      <c r="B1018" s="6" t="s">
        <v>1914</v>
      </c>
      <c r="C1018" s="1">
        <f t="shared" si="116"/>
        <v>1012</v>
      </c>
      <c r="D1018" s="1">
        <f>VLOOKUP(B1018,rq_evidence_review!$B$1:$L$55,7,FALSE)</f>
        <v>109</v>
      </c>
      <c r="E1018" s="8" t="s">
        <v>1268</v>
      </c>
      <c r="G1018" s="1" t="s">
        <v>945</v>
      </c>
      <c r="H1018" s="1" t="str">
        <f t="shared" si="111"/>
        <v>Hu</v>
      </c>
      <c r="I1018" s="1" t="str">
        <f t="shared" si="113"/>
        <v>2007</v>
      </c>
      <c r="J1018" s="1" t="str">
        <f t="shared" si="112"/>
        <v>Hu et al., 2007</v>
      </c>
      <c r="K1018" s="1" t="str">
        <f t="shared" si="115"/>
        <v>10.1093/humrep/dem028</v>
      </c>
      <c r="L1018" s="1" t="str">
        <f t="shared" si="114"/>
        <v/>
      </c>
    </row>
    <row r="1019" spans="1:15" ht="45" hidden="1" x14ac:dyDescent="0.25">
      <c r="A1019" s="1">
        <f>INDEX(rq_evidence_review!A:A, MATCH(B1019, rq_evidence_review!B:B, 0))</f>
        <v>4</v>
      </c>
      <c r="B1019" s="6" t="s">
        <v>1914</v>
      </c>
      <c r="C1019" s="1">
        <f t="shared" si="116"/>
        <v>1013</v>
      </c>
      <c r="D1019" s="1">
        <f>VLOOKUP(B1019,rq_evidence_review!$B$1:$L$55,7,FALSE)</f>
        <v>109</v>
      </c>
      <c r="E1019" s="8" t="s">
        <v>1269</v>
      </c>
      <c r="G1019" s="1" t="s">
        <v>945</v>
      </c>
      <c r="H1019" s="1" t="str">
        <f t="shared" si="111"/>
        <v>Palep-Singh</v>
      </c>
      <c r="I1019" s="1" t="str">
        <f t="shared" si="113"/>
        <v>2007</v>
      </c>
      <c r="J1019" s="1" t="str">
        <f t="shared" si="112"/>
        <v>Palep-Singh et al., 2007</v>
      </c>
      <c r="K1019" s="1" t="str">
        <f t="shared" si="115"/>
        <v>10.1016/j.ejogrb.2007.02.005</v>
      </c>
      <c r="L1019" s="1" t="str">
        <f t="shared" si="114"/>
        <v/>
      </c>
    </row>
    <row r="1020" spans="1:15" ht="30" hidden="1" x14ac:dyDescent="0.25">
      <c r="A1020" s="1">
        <f>INDEX(rq_evidence_review!A:A, MATCH(B1020, rq_evidence_review!B:B, 0))</f>
        <v>4</v>
      </c>
      <c r="B1020" s="6" t="s">
        <v>1914</v>
      </c>
      <c r="C1020" s="1">
        <f t="shared" si="116"/>
        <v>1014</v>
      </c>
      <c r="D1020" s="1">
        <f>VLOOKUP(B1020,rq_evidence_review!$B$1:$L$55,7,FALSE)</f>
        <v>109</v>
      </c>
      <c r="E1020" s="8" t="s">
        <v>1270</v>
      </c>
      <c r="G1020" s="1" t="s">
        <v>945</v>
      </c>
      <c r="H1020" s="1" t="str">
        <f t="shared" si="111"/>
        <v>Sir-Petermann</v>
      </c>
      <c r="I1020" s="1" t="str">
        <f t="shared" si="113"/>
        <v>2007</v>
      </c>
      <c r="J1020" s="1" t="str">
        <f t="shared" si="112"/>
        <v>Sir-Petermann et al., 2007</v>
      </c>
      <c r="K1020" s="1" t="str">
        <f t="shared" si="115"/>
        <v>10.1093/humrep/dem090</v>
      </c>
      <c r="L1020" s="1" t="str">
        <f t="shared" si="114"/>
        <v/>
      </c>
    </row>
    <row r="1021" spans="1:15" ht="30" hidden="1" x14ac:dyDescent="0.25">
      <c r="A1021" s="1">
        <f>INDEX(rq_evidence_review!A:A, MATCH(B1021, rq_evidence_review!B:B, 0))</f>
        <v>4</v>
      </c>
      <c r="B1021" s="6" t="s">
        <v>1914</v>
      </c>
      <c r="C1021" s="1">
        <f t="shared" si="116"/>
        <v>1015</v>
      </c>
      <c r="D1021" s="1">
        <f>VLOOKUP(B1021,rq_evidence_review!$B$1:$L$55,7,FALSE)</f>
        <v>109</v>
      </c>
      <c r="E1021" s="8" t="s">
        <v>1271</v>
      </c>
      <c r="G1021" s="1" t="s">
        <v>945</v>
      </c>
      <c r="H1021" s="1" t="str">
        <f t="shared" si="111"/>
        <v>Beydoun</v>
      </c>
      <c r="I1021" s="1" t="str">
        <f t="shared" si="113"/>
        <v>2009</v>
      </c>
      <c r="J1021" s="1" t="str">
        <f t="shared" si="112"/>
        <v>Beydoun et al., 2009</v>
      </c>
      <c r="K1021" s="1" t="str">
        <f t="shared" si="115"/>
        <v>10.1089/jwh.2008.1149</v>
      </c>
      <c r="L1021" s="1" t="str">
        <f t="shared" si="114"/>
        <v/>
      </c>
    </row>
    <row r="1022" spans="1:15" ht="30" hidden="1" x14ac:dyDescent="0.25">
      <c r="A1022" s="1">
        <f>INDEX(rq_evidence_review!A:A, MATCH(B1022, rq_evidence_review!B:B, 0))</f>
        <v>4</v>
      </c>
      <c r="B1022" s="6" t="s">
        <v>1914</v>
      </c>
      <c r="C1022" s="1">
        <f t="shared" si="116"/>
        <v>1016</v>
      </c>
      <c r="D1022" s="1">
        <f>VLOOKUP(B1022,rq_evidence_review!$B$1:$L$55,7,FALSE)</f>
        <v>109</v>
      </c>
      <c r="E1022" s="8" t="s">
        <v>1272</v>
      </c>
      <c r="G1022" s="1" t="s">
        <v>945</v>
      </c>
      <c r="H1022" s="1" t="str">
        <f t="shared" si="111"/>
        <v>Gupta</v>
      </c>
      <c r="I1022" s="1" t="str">
        <f t="shared" si="113"/>
        <v>2009</v>
      </c>
      <c r="J1022" s="1" t="str">
        <f t="shared" si="112"/>
        <v>Gupta et al., 2009</v>
      </c>
      <c r="K1022" s="1" t="str">
        <f t="shared" si="115"/>
        <v/>
      </c>
      <c r="M1022" s="1" t="s">
        <v>1832</v>
      </c>
      <c r="N1022" s="1">
        <v>59140811</v>
      </c>
      <c r="O1022" s="1" t="s">
        <v>1992</v>
      </c>
    </row>
    <row r="1023" spans="1:15" ht="30" hidden="1" x14ac:dyDescent="0.25">
      <c r="A1023" s="1">
        <f>INDEX(rq_evidence_review!A:A, MATCH(B1023, rq_evidence_review!B:B, 0))</f>
        <v>4</v>
      </c>
      <c r="B1023" s="6" t="s">
        <v>1914</v>
      </c>
      <c r="C1023" s="1">
        <f t="shared" si="116"/>
        <v>1017</v>
      </c>
      <c r="D1023" s="1">
        <f>VLOOKUP(B1023,rq_evidence_review!$B$1:$L$55,7,FALSE)</f>
        <v>109</v>
      </c>
      <c r="E1023" s="8" t="s">
        <v>1273</v>
      </c>
      <c r="G1023" s="1" t="s">
        <v>945</v>
      </c>
      <c r="H1023" s="1" t="str">
        <f t="shared" si="111"/>
        <v>Maliqueo</v>
      </c>
      <c r="I1023" s="1" t="str">
        <f t="shared" si="113"/>
        <v>2009</v>
      </c>
      <c r="J1023" s="1" t="str">
        <f t="shared" si="112"/>
        <v>Maliqueo et al., 2009</v>
      </c>
      <c r="K1023" s="1" t="str">
        <f t="shared" si="115"/>
        <v>10.1016/j.fertnstert.2008.04.022</v>
      </c>
      <c r="M1023" s="1" t="str">
        <f t="shared" ref="M1023:M1031" si="117">ExtractPMID(E1023)</f>
        <v/>
      </c>
    </row>
    <row r="1024" spans="1:15" ht="45" hidden="1" x14ac:dyDescent="0.25">
      <c r="A1024" s="1">
        <f>INDEX(rq_evidence_review!A:A, MATCH(B1024, rq_evidence_review!B:B, 0))</f>
        <v>4</v>
      </c>
      <c r="B1024" s="6" t="s">
        <v>1914</v>
      </c>
      <c r="C1024" s="1">
        <f t="shared" si="116"/>
        <v>1018</v>
      </c>
      <c r="D1024" s="1">
        <f>VLOOKUP(B1024,rq_evidence_review!$B$1:$L$55,7,FALSE)</f>
        <v>109</v>
      </c>
      <c r="E1024" s="8" t="s">
        <v>1274</v>
      </c>
      <c r="G1024" s="1" t="s">
        <v>945</v>
      </c>
      <c r="H1024" s="1" t="str">
        <f t="shared" si="111"/>
        <v>Falbo</v>
      </c>
      <c r="I1024" s="1" t="str">
        <f t="shared" si="113"/>
        <v>2010</v>
      </c>
      <c r="J1024" s="1" t="str">
        <f t="shared" si="112"/>
        <v>Falbo et al., 2010</v>
      </c>
      <c r="K1024" s="1" t="str">
        <f t="shared" si="115"/>
        <v>10.1186/1757-2215-3-23</v>
      </c>
      <c r="M1024" s="1" t="str">
        <f t="shared" si="117"/>
        <v/>
      </c>
    </row>
    <row r="1025" spans="1:15" ht="45" hidden="1" x14ac:dyDescent="0.25">
      <c r="A1025" s="1">
        <f>INDEX(rq_evidence_review!A:A, MATCH(B1025, rq_evidence_review!B:B, 0))</f>
        <v>4</v>
      </c>
      <c r="B1025" s="6" t="s">
        <v>1914</v>
      </c>
      <c r="C1025" s="1">
        <f t="shared" si="116"/>
        <v>1019</v>
      </c>
      <c r="D1025" s="1">
        <f>VLOOKUP(B1025,rq_evidence_review!$B$1:$L$55,7,FALSE)</f>
        <v>109</v>
      </c>
      <c r="E1025" s="8" t="s">
        <v>1275</v>
      </c>
      <c r="G1025" s="1" t="s">
        <v>945</v>
      </c>
      <c r="H1025" s="1" t="str">
        <f t="shared" si="111"/>
        <v>Li</v>
      </c>
      <c r="I1025" s="1" t="str">
        <f t="shared" si="113"/>
        <v>2010</v>
      </c>
      <c r="J1025" s="1" t="str">
        <f t="shared" si="112"/>
        <v>Li et al., 2010</v>
      </c>
      <c r="K1025" s="1" t="str">
        <f t="shared" si="115"/>
        <v>10.1515/JPM.2010.034</v>
      </c>
      <c r="M1025" s="1" t="str">
        <f t="shared" si="117"/>
        <v/>
      </c>
    </row>
    <row r="1026" spans="1:15" ht="30" hidden="1" x14ac:dyDescent="0.25">
      <c r="A1026" s="1">
        <f>INDEX(rq_evidence_review!A:A, MATCH(B1026, rq_evidence_review!B:B, 0))</f>
        <v>4</v>
      </c>
      <c r="B1026" s="6" t="s">
        <v>1914</v>
      </c>
      <c r="C1026" s="1">
        <f t="shared" si="116"/>
        <v>1020</v>
      </c>
      <c r="D1026" s="1">
        <f>VLOOKUP(B1026,rq_evidence_review!$B$1:$L$55,7,FALSE)</f>
        <v>109</v>
      </c>
      <c r="E1026" s="8" t="s">
        <v>1276</v>
      </c>
      <c r="G1026" s="1" t="s">
        <v>945</v>
      </c>
      <c r="H1026" s="1" t="str">
        <f t="shared" si="111"/>
        <v>Palomba</v>
      </c>
      <c r="I1026" s="1" t="str">
        <f t="shared" si="113"/>
        <v>2010</v>
      </c>
      <c r="J1026" s="1" t="str">
        <f t="shared" si="112"/>
        <v>Palomba et al., 2010</v>
      </c>
      <c r="K1026" s="1" t="str">
        <f t="shared" si="115"/>
        <v>10.1016/j.fertnstert.2009.10.043</v>
      </c>
      <c r="M1026" s="1" t="str">
        <f t="shared" si="117"/>
        <v/>
      </c>
    </row>
    <row r="1027" spans="1:15" ht="30" hidden="1" x14ac:dyDescent="0.25">
      <c r="A1027" s="1">
        <f>INDEX(rq_evidence_review!A:A, MATCH(B1027, rq_evidence_review!B:B, 0))</f>
        <v>4</v>
      </c>
      <c r="B1027" s="6" t="s">
        <v>1914</v>
      </c>
      <c r="C1027" s="1">
        <f t="shared" si="116"/>
        <v>1021</v>
      </c>
      <c r="D1027" s="1">
        <f>VLOOKUP(B1027,rq_evidence_review!$B$1:$L$55,7,FALSE)</f>
        <v>109</v>
      </c>
      <c r="E1027" s="8" t="s">
        <v>1277</v>
      </c>
      <c r="G1027" s="1" t="s">
        <v>945</v>
      </c>
      <c r="H1027" s="1" t="str">
        <f t="shared" si="111"/>
        <v>Palomba</v>
      </c>
      <c r="I1027" s="1" t="str">
        <f t="shared" si="113"/>
        <v>2010</v>
      </c>
      <c r="J1027" s="1" t="str">
        <f t="shared" si="112"/>
        <v>Palomba et al., 2010</v>
      </c>
      <c r="K1027" s="1" t="str">
        <f t="shared" si="115"/>
        <v>10.1111/j.1471-0528.2010.02525.x</v>
      </c>
      <c r="M1027" s="1" t="str">
        <f t="shared" si="117"/>
        <v/>
      </c>
    </row>
    <row r="1028" spans="1:15" ht="30" hidden="1" x14ac:dyDescent="0.25">
      <c r="A1028" s="1">
        <f>INDEX(rq_evidence_review!A:A, MATCH(B1028, rq_evidence_review!B:B, 0))</f>
        <v>4</v>
      </c>
      <c r="B1028" s="6" t="s">
        <v>1914</v>
      </c>
      <c r="C1028" s="1">
        <f t="shared" si="116"/>
        <v>1022</v>
      </c>
      <c r="D1028" s="1">
        <f>VLOOKUP(B1028,rq_evidence_review!$B$1:$L$55,7,FALSE)</f>
        <v>109</v>
      </c>
      <c r="E1028" s="8" t="s">
        <v>1278</v>
      </c>
      <c r="G1028" s="1" t="s">
        <v>945</v>
      </c>
      <c r="H1028" s="1" t="str">
        <f t="shared" si="111"/>
        <v>De Leo</v>
      </c>
      <c r="I1028" s="1" t="str">
        <f t="shared" si="113"/>
        <v>2011</v>
      </c>
      <c r="J1028" s="1" t="str">
        <f t="shared" si="112"/>
        <v>De Leo et al., 2011</v>
      </c>
      <c r="K1028" s="1" t="str">
        <f t="shared" si="115"/>
        <v>10.1016/j.ejogrb.2011.03.024</v>
      </c>
      <c r="M1028" s="1" t="str">
        <f t="shared" si="117"/>
        <v/>
      </c>
    </row>
    <row r="1029" spans="1:15" ht="30" hidden="1" x14ac:dyDescent="0.25">
      <c r="A1029" s="1">
        <f>INDEX(rq_evidence_review!A:A, MATCH(B1029, rq_evidence_review!B:B, 0))</f>
        <v>4</v>
      </c>
      <c r="B1029" s="6" t="s">
        <v>1914</v>
      </c>
      <c r="C1029" s="1">
        <f t="shared" si="116"/>
        <v>1023</v>
      </c>
      <c r="D1029" s="1">
        <f>VLOOKUP(B1029,rq_evidence_review!$B$1:$L$55,7,FALSE)</f>
        <v>109</v>
      </c>
      <c r="E1029" s="8" t="s">
        <v>1279</v>
      </c>
      <c r="G1029" s="1" t="s">
        <v>945</v>
      </c>
      <c r="H1029" s="1" t="str">
        <f t="shared" si="111"/>
        <v>Dmitrovic</v>
      </c>
      <c r="I1029" s="1" t="str">
        <f t="shared" si="113"/>
        <v>2011</v>
      </c>
      <c r="J1029" s="1" t="str">
        <f t="shared" si="112"/>
        <v>Dmitrovic et al., 2011</v>
      </c>
      <c r="K1029" s="1" t="str">
        <f t="shared" si="115"/>
        <v>10.1097/AOG.0b013e31822c887f</v>
      </c>
      <c r="M1029" s="1" t="str">
        <f t="shared" si="117"/>
        <v/>
      </c>
    </row>
    <row r="1030" spans="1:15" ht="30" hidden="1" x14ac:dyDescent="0.25">
      <c r="A1030" s="1">
        <f>INDEX(rq_evidence_review!A:A, MATCH(B1030, rq_evidence_review!B:B, 0))</f>
        <v>4</v>
      </c>
      <c r="B1030" s="6" t="s">
        <v>1914</v>
      </c>
      <c r="C1030" s="1">
        <f t="shared" si="116"/>
        <v>1024</v>
      </c>
      <c r="D1030" s="1">
        <f>VLOOKUP(B1030,rq_evidence_review!$B$1:$L$55,7,FALSE)</f>
        <v>109</v>
      </c>
      <c r="E1030" s="8" t="s">
        <v>1280</v>
      </c>
      <c r="G1030" s="1" t="s">
        <v>945</v>
      </c>
      <c r="H1030" s="1" t="str">
        <f t="shared" si="111"/>
        <v>Nejad</v>
      </c>
      <c r="I1030" s="1" t="str">
        <f t="shared" si="113"/>
        <v>2011</v>
      </c>
      <c r="J1030" s="1" t="str">
        <f t="shared" si="112"/>
        <v>Nejad et al., 2011</v>
      </c>
      <c r="K1030" s="1" t="str">
        <f t="shared" si="115"/>
        <v>10.3109/09513590.2010.501872</v>
      </c>
      <c r="M1030" s="1" t="str">
        <f t="shared" si="117"/>
        <v/>
      </c>
    </row>
    <row r="1031" spans="1:15" ht="30" hidden="1" x14ac:dyDescent="0.25">
      <c r="A1031" s="1">
        <f>INDEX(rq_evidence_review!A:A, MATCH(B1031, rq_evidence_review!B:B, 0))</f>
        <v>4</v>
      </c>
      <c r="B1031" s="6" t="s">
        <v>1914</v>
      </c>
      <c r="C1031" s="1">
        <f t="shared" si="116"/>
        <v>1025</v>
      </c>
      <c r="D1031" s="1">
        <f>VLOOKUP(B1031,rq_evidence_review!$B$1:$L$55,7,FALSE)</f>
        <v>109</v>
      </c>
      <c r="E1031" s="8" t="s">
        <v>1281</v>
      </c>
      <c r="G1031" s="1" t="s">
        <v>945</v>
      </c>
      <c r="H1031" s="1" t="str">
        <f t="shared" si="111"/>
        <v>Nouh</v>
      </c>
      <c r="I1031" s="1" t="str">
        <f t="shared" si="113"/>
        <v>2011</v>
      </c>
      <c r="J1031" s="1" t="str">
        <f t="shared" si="112"/>
        <v>Nouh et al., 2011</v>
      </c>
      <c r="K1031" s="1" t="str">
        <f t="shared" si="115"/>
        <v>10.1016/j.mefs.2011.09.001</v>
      </c>
      <c r="M1031" s="1" t="str">
        <f t="shared" si="117"/>
        <v/>
      </c>
    </row>
    <row r="1032" spans="1:15" ht="45" hidden="1" x14ac:dyDescent="0.25">
      <c r="A1032" s="1">
        <f>INDEX(rq_evidence_review!A:A, MATCH(B1032, rq_evidence_review!B:B, 0))</f>
        <v>4</v>
      </c>
      <c r="B1032" s="6" t="s">
        <v>1914</v>
      </c>
      <c r="C1032" s="1">
        <f t="shared" si="116"/>
        <v>1026</v>
      </c>
      <c r="D1032" s="1">
        <f>VLOOKUP(B1032,rq_evidence_review!$B$1:$L$55,7,FALSE)</f>
        <v>109</v>
      </c>
      <c r="E1032" s="8" t="s">
        <v>1282</v>
      </c>
      <c r="G1032" s="1" t="s">
        <v>945</v>
      </c>
      <c r="H1032" s="1" t="str">
        <f t="shared" si="111"/>
        <v>Mehrabian</v>
      </c>
      <c r="I1032" s="1" t="str">
        <f t="shared" si="113"/>
        <v>2012</v>
      </c>
      <c r="J1032" s="1" t="str">
        <f t="shared" si="112"/>
        <v>Mehrabian et al., 2012</v>
      </c>
      <c r="K1032" s="1" t="str">
        <f t="shared" si="115"/>
        <v/>
      </c>
      <c r="M1032" s="1" t="s">
        <v>1833</v>
      </c>
      <c r="N1032" s="1">
        <v>24648982</v>
      </c>
      <c r="O1032" s="1" t="s">
        <v>1991</v>
      </c>
    </row>
    <row r="1033" spans="1:15" ht="30" hidden="1" x14ac:dyDescent="0.25">
      <c r="A1033" s="1">
        <f>INDEX(rq_evidence_review!A:A, MATCH(B1033, rq_evidence_review!B:B, 0))</f>
        <v>4</v>
      </c>
      <c r="B1033" s="6" t="s">
        <v>1914</v>
      </c>
      <c r="C1033" s="1">
        <f t="shared" si="116"/>
        <v>1027</v>
      </c>
      <c r="D1033" s="1">
        <f>VLOOKUP(B1033,rq_evidence_review!$B$1:$L$55,7,FALSE)</f>
        <v>109</v>
      </c>
      <c r="E1033" s="8" t="s">
        <v>1283</v>
      </c>
      <c r="G1033" s="1" t="s">
        <v>945</v>
      </c>
      <c r="H1033" s="1" t="str">
        <f t="shared" si="111"/>
        <v>Palomba</v>
      </c>
      <c r="I1033" s="1" t="str">
        <f t="shared" si="113"/>
        <v>2012</v>
      </c>
      <c r="J1033" s="1" t="str">
        <f t="shared" si="112"/>
        <v>Palomba et al., 2012</v>
      </c>
      <c r="K1033" s="1" t="str">
        <f t="shared" si="115"/>
        <v>10.2337/dc11-1971</v>
      </c>
      <c r="L1033" s="1" t="str">
        <f t="shared" si="114"/>
        <v/>
      </c>
    </row>
    <row r="1034" spans="1:15" ht="30" hidden="1" x14ac:dyDescent="0.25">
      <c r="A1034" s="1">
        <f>INDEX(rq_evidence_review!A:A, MATCH(B1034, rq_evidence_review!B:B, 0))</f>
        <v>4</v>
      </c>
      <c r="B1034" s="6" t="s">
        <v>1914</v>
      </c>
      <c r="C1034" s="1">
        <f t="shared" si="116"/>
        <v>1028</v>
      </c>
      <c r="D1034" s="1">
        <f>VLOOKUP(B1034,rq_evidence_review!$B$1:$L$55,7,FALSE)</f>
        <v>109</v>
      </c>
      <c r="E1034" s="8" t="s">
        <v>1284</v>
      </c>
      <c r="G1034" s="1" t="s">
        <v>945</v>
      </c>
      <c r="H1034" s="1" t="str">
        <f t="shared" si="111"/>
        <v>Reyes-Munoz</v>
      </c>
      <c r="I1034" s="1" t="str">
        <f t="shared" si="113"/>
        <v>2012</v>
      </c>
      <c r="J1034" s="1" t="str">
        <f t="shared" si="112"/>
        <v>Reyes-Munoz et al., 2012</v>
      </c>
      <c r="K1034" s="1" t="str">
        <f t="shared" si="115"/>
        <v>10.1016/j.fertnstert.2012.03.023</v>
      </c>
      <c r="L1034" s="1" t="str">
        <f t="shared" si="114"/>
        <v/>
      </c>
    </row>
    <row r="1035" spans="1:15" ht="30" hidden="1" x14ac:dyDescent="0.25">
      <c r="A1035" s="1">
        <f>INDEX(rq_evidence_review!A:A, MATCH(B1035, rq_evidence_review!B:B, 0))</f>
        <v>4</v>
      </c>
      <c r="B1035" s="6" t="s">
        <v>1914</v>
      </c>
      <c r="C1035" s="1">
        <f t="shared" si="116"/>
        <v>1029</v>
      </c>
      <c r="D1035" s="1">
        <f>VLOOKUP(B1035,rq_evidence_review!$B$1:$L$55,7,FALSE)</f>
        <v>109</v>
      </c>
      <c r="E1035" s="8" t="s">
        <v>1285</v>
      </c>
      <c r="G1035" s="1" t="s">
        <v>945</v>
      </c>
      <c r="H1035" s="1" t="str">
        <f t="shared" si="111"/>
        <v>Yamamoto</v>
      </c>
      <c r="I1035" s="1" t="str">
        <f t="shared" si="113"/>
        <v>2012</v>
      </c>
      <c r="J1035" s="1" t="str">
        <f t="shared" si="112"/>
        <v>Yamamoto et al., 2012</v>
      </c>
      <c r="K1035" s="1" t="str">
        <f t="shared" si="115"/>
        <v>10.1038/jp.2011.194</v>
      </c>
      <c r="L1035" s="1" t="str">
        <f t="shared" si="114"/>
        <v/>
      </c>
    </row>
    <row r="1036" spans="1:15" ht="30" hidden="1" x14ac:dyDescent="0.25">
      <c r="A1036" s="1">
        <f>INDEX(rq_evidence_review!A:A, MATCH(B1036, rq_evidence_review!B:B, 0))</f>
        <v>4</v>
      </c>
      <c r="B1036" s="6" t="s">
        <v>1914</v>
      </c>
      <c r="C1036" s="1">
        <f t="shared" si="116"/>
        <v>1030</v>
      </c>
      <c r="D1036" s="1">
        <f>VLOOKUP(B1036,rq_evidence_review!$B$1:$L$55,7,FALSE)</f>
        <v>109</v>
      </c>
      <c r="E1036" s="8" t="s">
        <v>1286</v>
      </c>
      <c r="G1036" s="1" t="s">
        <v>945</v>
      </c>
      <c r="H1036" s="1" t="str">
        <f t="shared" si="111"/>
        <v>Boutzios</v>
      </c>
      <c r="I1036" s="1" t="str">
        <f t="shared" si="113"/>
        <v>2013</v>
      </c>
      <c r="J1036" s="1" t="str">
        <f t="shared" si="112"/>
        <v>Boutzios et al., 2013</v>
      </c>
      <c r="K1036" s="1" t="str">
        <f t="shared" si="115"/>
        <v>10.1016/j.fertnstert.2012.10.050</v>
      </c>
      <c r="L1036" s="1" t="str">
        <f t="shared" si="114"/>
        <v/>
      </c>
    </row>
    <row r="1037" spans="1:15" ht="30" hidden="1" x14ac:dyDescent="0.25">
      <c r="A1037" s="1">
        <f>INDEX(rq_evidence_review!A:A, MATCH(B1037, rq_evidence_review!B:B, 0))</f>
        <v>4</v>
      </c>
      <c r="B1037" s="6" t="s">
        <v>1914</v>
      </c>
      <c r="C1037" s="1">
        <f t="shared" si="116"/>
        <v>1031</v>
      </c>
      <c r="D1037" s="1">
        <f>VLOOKUP(B1037,rq_evidence_review!$B$1:$L$55,7,FALSE)</f>
        <v>109</v>
      </c>
      <c r="E1037" s="8" t="s">
        <v>1287</v>
      </c>
      <c r="G1037" s="1" t="s">
        <v>945</v>
      </c>
      <c r="H1037" s="1" t="str">
        <f t="shared" si="111"/>
        <v>Wang</v>
      </c>
      <c r="I1037" s="1" t="str">
        <f t="shared" si="113"/>
        <v>2013</v>
      </c>
      <c r="J1037" s="1" t="str">
        <f t="shared" si="112"/>
        <v>Wang et al., 2013</v>
      </c>
      <c r="K1037" s="1" t="str">
        <f t="shared" si="115"/>
        <v>10.1155/2013/182582</v>
      </c>
      <c r="L1037" s="1" t="str">
        <f t="shared" si="114"/>
        <v/>
      </c>
    </row>
    <row r="1038" spans="1:15" ht="30" hidden="1" x14ac:dyDescent="0.25">
      <c r="A1038" s="1">
        <f>INDEX(rq_evidence_review!A:A, MATCH(B1038, rq_evidence_review!B:B, 0))</f>
        <v>4</v>
      </c>
      <c r="B1038" s="6" t="s">
        <v>1914</v>
      </c>
      <c r="C1038" s="1">
        <f t="shared" si="116"/>
        <v>1032</v>
      </c>
      <c r="D1038" s="1">
        <f>VLOOKUP(B1038,rq_evidence_review!$B$1:$L$55,7,FALSE)</f>
        <v>109</v>
      </c>
      <c r="E1038" s="8" t="s">
        <v>1288</v>
      </c>
      <c r="G1038" s="1" t="s">
        <v>945</v>
      </c>
      <c r="H1038" s="1" t="str">
        <f t="shared" si="111"/>
        <v>Ashrafi</v>
      </c>
      <c r="I1038" s="1" t="str">
        <f t="shared" si="113"/>
        <v>2014</v>
      </c>
      <c r="J1038" s="1" t="str">
        <f t="shared" si="112"/>
        <v>Ashrafi et al., 2014</v>
      </c>
      <c r="K1038" s="1" t="str">
        <f t="shared" si="115"/>
        <v>10.1016/j.ejogrb.2014.07.043</v>
      </c>
      <c r="L1038" s="1" t="str">
        <f t="shared" si="114"/>
        <v/>
      </c>
    </row>
    <row r="1039" spans="1:15" ht="30" hidden="1" x14ac:dyDescent="0.25">
      <c r="A1039" s="1">
        <f>INDEX(rq_evidence_review!A:A, MATCH(B1039, rq_evidence_review!B:B, 0))</f>
        <v>4</v>
      </c>
      <c r="B1039" s="6" t="s">
        <v>1914</v>
      </c>
      <c r="C1039" s="1">
        <f t="shared" si="116"/>
        <v>1033</v>
      </c>
      <c r="D1039" s="1">
        <f>VLOOKUP(B1039,rq_evidence_review!$B$1:$L$55,7,FALSE)</f>
        <v>109</v>
      </c>
      <c r="E1039" s="8" t="s">
        <v>1289</v>
      </c>
      <c r="G1039" s="1" t="s">
        <v>945</v>
      </c>
      <c r="H1039" s="1" t="str">
        <f t="shared" si="111"/>
        <v>Elkholi</v>
      </c>
      <c r="I1039" s="1" t="str">
        <f t="shared" si="113"/>
        <v>2014</v>
      </c>
      <c r="J1039" s="1" t="str">
        <f t="shared" si="112"/>
        <v>Elkholi et al., 2014</v>
      </c>
      <c r="K1039" s="1" t="str">
        <f t="shared" si="115"/>
        <v>10.1016/j.mefs.2014.02.001</v>
      </c>
      <c r="L1039" s="1" t="str">
        <f t="shared" si="114"/>
        <v/>
      </c>
    </row>
    <row r="1040" spans="1:15" ht="30" hidden="1" x14ac:dyDescent="0.25">
      <c r="A1040" s="1">
        <f>INDEX(rq_evidence_review!A:A, MATCH(B1040, rq_evidence_review!B:B, 0))</f>
        <v>4</v>
      </c>
      <c r="B1040" s="6" t="s">
        <v>1914</v>
      </c>
      <c r="C1040" s="1">
        <f t="shared" si="116"/>
        <v>1034</v>
      </c>
      <c r="D1040" s="1">
        <f>VLOOKUP(B1040,rq_evidence_review!$B$1:$L$55,7,FALSE)</f>
        <v>109</v>
      </c>
      <c r="E1040" s="8" t="s">
        <v>1290</v>
      </c>
      <c r="G1040" s="1" t="s">
        <v>945</v>
      </c>
      <c r="H1040" s="1" t="str">
        <f t="shared" si="111"/>
        <v>Foroozanfard</v>
      </c>
      <c r="I1040" s="1" t="str">
        <f t="shared" si="113"/>
        <v>2014</v>
      </c>
      <c r="J1040" s="1" t="str">
        <f t="shared" si="112"/>
        <v>Foroozanfard et al., 2014</v>
      </c>
      <c r="K1040" s="1" t="str">
        <f t="shared" si="115"/>
        <v/>
      </c>
      <c r="L1040" s="9">
        <v>24971127</v>
      </c>
    </row>
    <row r="1041" spans="1:14" ht="30" hidden="1" x14ac:dyDescent="0.25">
      <c r="A1041" s="1">
        <f>INDEX(rq_evidence_review!A:A, MATCH(B1041, rq_evidence_review!B:B, 0))</f>
        <v>4</v>
      </c>
      <c r="B1041" s="6" t="s">
        <v>1914</v>
      </c>
      <c r="C1041" s="1">
        <f t="shared" si="116"/>
        <v>1035</v>
      </c>
      <c r="D1041" s="1">
        <f>VLOOKUP(B1041,rq_evidence_review!$B$1:$L$55,7,FALSE)</f>
        <v>109</v>
      </c>
      <c r="E1041" s="8" t="s">
        <v>1291</v>
      </c>
      <c r="G1041" s="1" t="s">
        <v>945</v>
      </c>
      <c r="H1041" s="1" t="str">
        <f t="shared" si="111"/>
        <v>Huang</v>
      </c>
      <c r="I1041" s="1" t="str">
        <f t="shared" si="113"/>
        <v>2014</v>
      </c>
      <c r="J1041" s="1" t="str">
        <f t="shared" si="112"/>
        <v>Huang et al., 2014</v>
      </c>
      <c r="K1041" s="1" t="str">
        <f t="shared" si="115"/>
        <v/>
      </c>
      <c r="L1041" s="10">
        <v>25664123</v>
      </c>
      <c r="N1041" s="1">
        <v>8327204</v>
      </c>
    </row>
    <row r="1042" spans="1:14" ht="45" hidden="1" x14ac:dyDescent="0.25">
      <c r="A1042" s="1">
        <f>INDEX(rq_evidence_review!A:A, MATCH(B1042, rq_evidence_review!B:B, 0))</f>
        <v>4</v>
      </c>
      <c r="B1042" s="6" t="s">
        <v>1914</v>
      </c>
      <c r="C1042" s="1">
        <f t="shared" si="116"/>
        <v>1036</v>
      </c>
      <c r="D1042" s="1">
        <f>VLOOKUP(B1042,rq_evidence_review!$B$1:$L$55,7,FALSE)</f>
        <v>109</v>
      </c>
      <c r="E1042" s="8" t="s">
        <v>1292</v>
      </c>
      <c r="G1042" s="1" t="s">
        <v>945</v>
      </c>
      <c r="H1042" s="1" t="str">
        <f t="shared" si="111"/>
        <v>Lathi</v>
      </c>
      <c r="I1042" s="1" t="str">
        <f t="shared" si="113"/>
        <v>2014</v>
      </c>
      <c r="J1042" s="1" t="str">
        <f t="shared" si="112"/>
        <v>Lathi et al., 2014</v>
      </c>
      <c r="K1042" s="9" t="s">
        <v>1834</v>
      </c>
      <c r="L1042" s="1" t="str">
        <f t="shared" si="114"/>
        <v/>
      </c>
    </row>
    <row r="1043" spans="1:14" ht="30" hidden="1" x14ac:dyDescent="0.25">
      <c r="A1043" s="1">
        <f>INDEX(rq_evidence_review!A:A, MATCH(B1043, rq_evidence_review!B:B, 0))</f>
        <v>4</v>
      </c>
      <c r="B1043" s="6" t="s">
        <v>1914</v>
      </c>
      <c r="C1043" s="1">
        <f t="shared" si="116"/>
        <v>1037</v>
      </c>
      <c r="D1043" s="1">
        <f>VLOOKUP(B1043,rq_evidence_review!$B$1:$L$55,7,FALSE)</f>
        <v>109</v>
      </c>
      <c r="E1043" s="8" t="s">
        <v>1293</v>
      </c>
      <c r="G1043" s="1" t="s">
        <v>945</v>
      </c>
      <c r="H1043" s="1" t="str">
        <f t="shared" si="111"/>
        <v>Li</v>
      </c>
      <c r="I1043" s="1" t="str">
        <f t="shared" si="113"/>
        <v>2014</v>
      </c>
      <c r="J1043" s="1" t="str">
        <f t="shared" si="112"/>
        <v>Li et al., 2014</v>
      </c>
      <c r="K1043" s="1" t="str">
        <f t="shared" si="115"/>
        <v>10.1007/s10815-013-0151-6</v>
      </c>
      <c r="L1043" s="1" t="str">
        <f t="shared" si="114"/>
        <v/>
      </c>
    </row>
    <row r="1044" spans="1:14" ht="30" hidden="1" x14ac:dyDescent="0.25">
      <c r="A1044" s="1">
        <f>INDEX(rq_evidence_review!A:A, MATCH(B1044, rq_evidence_review!B:B, 0))</f>
        <v>4</v>
      </c>
      <c r="B1044" s="6" t="s">
        <v>1914</v>
      </c>
      <c r="C1044" s="1">
        <f t="shared" si="116"/>
        <v>1038</v>
      </c>
      <c r="D1044" s="1">
        <f>VLOOKUP(B1044,rq_evidence_review!$B$1:$L$55,7,FALSE)</f>
        <v>109</v>
      </c>
      <c r="E1044" s="8" t="s">
        <v>1294</v>
      </c>
      <c r="G1044" s="1" t="s">
        <v>945</v>
      </c>
      <c r="H1044" s="1" t="str">
        <f t="shared" si="111"/>
        <v>Liu</v>
      </c>
      <c r="I1044" s="1" t="str">
        <f t="shared" si="113"/>
        <v>2014</v>
      </c>
      <c r="J1044" s="1" t="str">
        <f t="shared" si="112"/>
        <v>Liu et al., 2014</v>
      </c>
      <c r="K1044" s="1" t="str">
        <f t="shared" si="115"/>
        <v>10.1016/j.ejogrb.2014.02.041</v>
      </c>
      <c r="L1044" s="1" t="str">
        <f t="shared" si="114"/>
        <v/>
      </c>
    </row>
    <row r="1045" spans="1:14" ht="30" hidden="1" x14ac:dyDescent="0.25">
      <c r="A1045" s="1">
        <f>INDEX(rq_evidence_review!A:A, MATCH(B1045, rq_evidence_review!B:B, 0))</f>
        <v>4</v>
      </c>
      <c r="B1045" s="6" t="s">
        <v>1914</v>
      </c>
      <c r="C1045" s="1">
        <f t="shared" si="116"/>
        <v>1039</v>
      </c>
      <c r="D1045" s="1">
        <f>VLOOKUP(B1045,rq_evidence_review!$B$1:$L$55,7,FALSE)</f>
        <v>109</v>
      </c>
      <c r="E1045" s="8" t="s">
        <v>1295</v>
      </c>
      <c r="G1045" s="1" t="s">
        <v>945</v>
      </c>
      <c r="H1045" s="1" t="str">
        <f t="shared" si="111"/>
        <v>Naver</v>
      </c>
      <c r="I1045" s="1" t="str">
        <f t="shared" si="113"/>
        <v>2014</v>
      </c>
      <c r="J1045" s="1" t="str">
        <f t="shared" si="112"/>
        <v>Naver et al., 2014</v>
      </c>
      <c r="K1045" s="1" t="str">
        <f t="shared" si="115"/>
        <v>10.1111/1471-0528.12558</v>
      </c>
      <c r="L1045" s="1" t="str">
        <f t="shared" si="114"/>
        <v/>
      </c>
    </row>
    <row r="1046" spans="1:14" ht="30" hidden="1" x14ac:dyDescent="0.25">
      <c r="A1046" s="1">
        <f>INDEX(rq_evidence_review!A:A, MATCH(B1046, rq_evidence_review!B:B, 0))</f>
        <v>4</v>
      </c>
      <c r="B1046" s="6" t="s">
        <v>1914</v>
      </c>
      <c r="C1046" s="1">
        <f t="shared" si="116"/>
        <v>1040</v>
      </c>
      <c r="D1046" s="1">
        <f>VLOOKUP(B1046,rq_evidence_review!$B$1:$L$55,7,FALSE)</f>
        <v>109</v>
      </c>
      <c r="E1046" s="8" t="s">
        <v>1296</v>
      </c>
      <c r="G1046" s="1" t="s">
        <v>945</v>
      </c>
      <c r="H1046" s="1" t="str">
        <f t="shared" si="111"/>
        <v>Palomba</v>
      </c>
      <c r="I1046" s="1" t="str">
        <f t="shared" si="113"/>
        <v>2014</v>
      </c>
      <c r="J1046" s="1" t="str">
        <f t="shared" si="112"/>
        <v>Palomba et al., 2014</v>
      </c>
      <c r="K1046" s="1" t="str">
        <f t="shared" si="115"/>
        <v>10.1016/j.steroids.2014.06.005</v>
      </c>
      <c r="L1046" s="1" t="str">
        <f t="shared" si="114"/>
        <v/>
      </c>
    </row>
    <row r="1047" spans="1:14" ht="30" hidden="1" x14ac:dyDescent="0.25">
      <c r="A1047" s="1">
        <f>INDEX(rq_evidence_review!A:A, MATCH(B1047, rq_evidence_review!B:B, 0))</f>
        <v>4</v>
      </c>
      <c r="B1047" s="6" t="s">
        <v>1914</v>
      </c>
      <c r="C1047" s="1">
        <f t="shared" si="116"/>
        <v>1041</v>
      </c>
      <c r="D1047" s="1">
        <f>VLOOKUP(B1047,rq_evidence_review!$B$1:$L$55,7,FALSE)</f>
        <v>109</v>
      </c>
      <c r="E1047" s="8" t="s">
        <v>1297</v>
      </c>
      <c r="G1047" s="1" t="s">
        <v>945</v>
      </c>
      <c r="H1047" s="1" t="str">
        <f t="shared" si="111"/>
        <v>Palomba</v>
      </c>
      <c r="I1047" s="1" t="str">
        <f t="shared" si="113"/>
        <v>2014</v>
      </c>
      <c r="J1047" s="1" t="str">
        <f t="shared" si="112"/>
        <v>Palomba et al., 2014</v>
      </c>
      <c r="K1047" s="1" t="str">
        <f t="shared" si="115"/>
        <v>10.1210/jc.2014-1214</v>
      </c>
      <c r="L1047" s="1" t="str">
        <f t="shared" si="114"/>
        <v/>
      </c>
    </row>
    <row r="1048" spans="1:14" ht="30" hidden="1" x14ac:dyDescent="0.25">
      <c r="A1048" s="1">
        <f>INDEX(rq_evidence_review!A:A, MATCH(B1048, rq_evidence_review!B:B, 0))</f>
        <v>4</v>
      </c>
      <c r="B1048" s="6" t="s">
        <v>1914</v>
      </c>
      <c r="C1048" s="1">
        <f t="shared" si="116"/>
        <v>1042</v>
      </c>
      <c r="D1048" s="1">
        <f>VLOOKUP(B1048,rq_evidence_review!$B$1:$L$55,7,FALSE)</f>
        <v>109</v>
      </c>
      <c r="E1048" s="8" t="s">
        <v>1298</v>
      </c>
      <c r="G1048" s="1" t="s">
        <v>945</v>
      </c>
      <c r="H1048" s="1" t="str">
        <f t="shared" si="111"/>
        <v>Zhang</v>
      </c>
      <c r="I1048" s="1" t="str">
        <f t="shared" si="113"/>
        <v>2014</v>
      </c>
      <c r="J1048" s="1" t="str">
        <f t="shared" si="112"/>
        <v>Zhang et al., 2014</v>
      </c>
      <c r="K1048" s="1" t="str">
        <f t="shared" si="115"/>
        <v>10.1186/1471-2393-14-11</v>
      </c>
      <c r="L1048" s="1" t="str">
        <f t="shared" si="114"/>
        <v/>
      </c>
    </row>
    <row r="1049" spans="1:14" ht="30" hidden="1" x14ac:dyDescent="0.25">
      <c r="A1049" s="1">
        <f>INDEX(rq_evidence_review!A:A, MATCH(B1049, rq_evidence_review!B:B, 0))</f>
        <v>4</v>
      </c>
      <c r="B1049" s="6" t="s">
        <v>1914</v>
      </c>
      <c r="C1049" s="1">
        <f t="shared" si="116"/>
        <v>1043</v>
      </c>
      <c r="D1049" s="1">
        <f>VLOOKUP(B1049,rq_evidence_review!$B$1:$L$55,7,FALSE)</f>
        <v>109</v>
      </c>
      <c r="E1049" s="8" t="s">
        <v>1299</v>
      </c>
      <c r="G1049" s="1" t="s">
        <v>945</v>
      </c>
      <c r="H1049" s="1" t="str">
        <f t="shared" si="111"/>
        <v>Kollmann</v>
      </c>
      <c r="I1049" s="1" t="str">
        <f t="shared" si="113"/>
        <v>2015</v>
      </c>
      <c r="J1049" s="1" t="str">
        <f t="shared" si="112"/>
        <v>Kollmann et al., 2015</v>
      </c>
      <c r="K1049" s="1" t="str">
        <f t="shared" si="115"/>
        <v>10.1093/humrep/dev187</v>
      </c>
      <c r="L1049" s="1" t="str">
        <f t="shared" si="114"/>
        <v/>
      </c>
    </row>
    <row r="1050" spans="1:14" ht="30" hidden="1" x14ac:dyDescent="0.25">
      <c r="A1050" s="1">
        <f>INDEX(rq_evidence_review!A:A, MATCH(B1050, rq_evidence_review!B:B, 0))</f>
        <v>4</v>
      </c>
      <c r="B1050" s="6" t="s">
        <v>1914</v>
      </c>
      <c r="C1050" s="1">
        <f t="shared" si="116"/>
        <v>1044</v>
      </c>
      <c r="D1050" s="1">
        <f>VLOOKUP(B1050,rq_evidence_review!$B$1:$L$55,7,FALSE)</f>
        <v>109</v>
      </c>
      <c r="E1050" s="8" t="s">
        <v>1300</v>
      </c>
      <c r="G1050" s="1" t="s">
        <v>945</v>
      </c>
      <c r="H1050" s="1" t="str">
        <f t="shared" si="111"/>
        <v>Koster</v>
      </c>
      <c r="I1050" s="1" t="str">
        <f t="shared" si="113"/>
        <v>2015</v>
      </c>
      <c r="J1050" s="1" t="str">
        <f t="shared" si="112"/>
        <v>Koster et al., 2015</v>
      </c>
      <c r="K1050" s="1" t="str">
        <f t="shared" si="115"/>
        <v>10.1093/humrep/dev265</v>
      </c>
      <c r="L1050" s="1" t="str">
        <f t="shared" si="114"/>
        <v/>
      </c>
    </row>
    <row r="1051" spans="1:14" ht="30" hidden="1" x14ac:dyDescent="0.25">
      <c r="A1051" s="1">
        <f>INDEX(rq_evidence_review!A:A, MATCH(B1051, rq_evidence_review!B:B, 0))</f>
        <v>4</v>
      </c>
      <c r="B1051" s="6" t="s">
        <v>1914</v>
      </c>
      <c r="C1051" s="1">
        <f t="shared" si="116"/>
        <v>1045</v>
      </c>
      <c r="D1051" s="1">
        <f>VLOOKUP(B1051,rq_evidence_review!$B$1:$L$55,7,FALSE)</f>
        <v>109</v>
      </c>
      <c r="E1051" s="8" t="s">
        <v>1301</v>
      </c>
      <c r="G1051" s="1" t="s">
        <v>945</v>
      </c>
      <c r="H1051" s="1" t="str">
        <f t="shared" si="111"/>
        <v>Mumm</v>
      </c>
      <c r="I1051" s="1" t="str">
        <f t="shared" si="113"/>
        <v>2015</v>
      </c>
      <c r="J1051" s="1" t="str">
        <f t="shared" si="112"/>
        <v>Mumm et al., 2015</v>
      </c>
      <c r="K1051" s="1" t="str">
        <f t="shared" si="115"/>
        <v>10.1111/aogs.12545</v>
      </c>
      <c r="L1051" s="1" t="str">
        <f t="shared" si="114"/>
        <v/>
      </c>
    </row>
    <row r="1052" spans="1:14" ht="30" hidden="1" x14ac:dyDescent="0.25">
      <c r="A1052" s="1">
        <f>INDEX(rq_evidence_review!A:A, MATCH(B1052, rq_evidence_review!B:B, 0))</f>
        <v>4</v>
      </c>
      <c r="B1052" s="6" t="s">
        <v>1914</v>
      </c>
      <c r="C1052" s="1">
        <f t="shared" si="116"/>
        <v>1046</v>
      </c>
      <c r="D1052" s="1">
        <f>VLOOKUP(B1052,rq_evidence_review!$B$1:$L$55,7,FALSE)</f>
        <v>109</v>
      </c>
      <c r="E1052" s="8" t="s">
        <v>1302</v>
      </c>
      <c r="G1052" s="1" t="s">
        <v>945</v>
      </c>
      <c r="H1052" s="1" t="str">
        <f t="shared" si="111"/>
        <v>Sawada</v>
      </c>
      <c r="I1052" s="1" t="str">
        <f t="shared" si="113"/>
        <v>2015</v>
      </c>
      <c r="J1052" s="1" t="str">
        <f t="shared" si="112"/>
        <v>Sawada et al., 2015</v>
      </c>
      <c r="K1052" s="1" t="str">
        <f t="shared" si="115"/>
        <v>10.1507/endocrj.EJ15-0364</v>
      </c>
      <c r="L1052" s="1" t="str">
        <f t="shared" si="114"/>
        <v/>
      </c>
    </row>
    <row r="1053" spans="1:14" ht="30" hidden="1" x14ac:dyDescent="0.25">
      <c r="A1053" s="1">
        <f>INDEX(rq_evidence_review!A:A, MATCH(B1053, rq_evidence_review!B:B, 0))</f>
        <v>4</v>
      </c>
      <c r="B1053" s="6" t="s">
        <v>1914</v>
      </c>
      <c r="C1053" s="1">
        <f t="shared" si="116"/>
        <v>1047</v>
      </c>
      <c r="D1053" s="1">
        <f>VLOOKUP(B1053,rq_evidence_review!$B$1:$L$55,7,FALSE)</f>
        <v>109</v>
      </c>
      <c r="E1053" s="8" t="s">
        <v>1303</v>
      </c>
      <c r="G1053" s="1" t="s">
        <v>945</v>
      </c>
      <c r="H1053" s="1" t="str">
        <f t="shared" si="111"/>
        <v>Wan</v>
      </c>
      <c r="I1053" s="1" t="str">
        <f t="shared" si="113"/>
        <v>2015</v>
      </c>
      <c r="J1053" s="1" t="str">
        <f t="shared" si="112"/>
        <v>Wan et al., 2015</v>
      </c>
      <c r="K1053" s="1" t="str">
        <f t="shared" si="115"/>
        <v>10.3109/14767058.2014.921673</v>
      </c>
      <c r="L1053" s="1" t="str">
        <f t="shared" si="114"/>
        <v/>
      </c>
    </row>
    <row r="1054" spans="1:14" ht="30" hidden="1" x14ac:dyDescent="0.25">
      <c r="A1054" s="1">
        <f>INDEX(rq_evidence_review!A:A, MATCH(B1054, rq_evidence_review!B:B, 0))</f>
        <v>4</v>
      </c>
      <c r="B1054" s="6" t="s">
        <v>1914</v>
      </c>
      <c r="C1054" s="1">
        <f t="shared" si="116"/>
        <v>1048</v>
      </c>
      <c r="D1054" s="1">
        <f>VLOOKUP(B1054,rq_evidence_review!$B$1:$L$55,7,FALSE)</f>
        <v>109</v>
      </c>
      <c r="E1054" s="8" t="s">
        <v>1304</v>
      </c>
      <c r="G1054" s="1" t="s">
        <v>945</v>
      </c>
      <c r="H1054" s="1" t="str">
        <f t="shared" si="111"/>
        <v>Aktun</v>
      </c>
      <c r="I1054" s="1" t="str">
        <f t="shared" si="113"/>
        <v>2016</v>
      </c>
      <c r="J1054" s="1" t="str">
        <f t="shared" si="112"/>
        <v>Aktun et al., 2016</v>
      </c>
      <c r="K1054" s="1" t="str">
        <f t="shared" si="115"/>
        <v>10.3109/09513590.2015.1101438</v>
      </c>
      <c r="L1054" s="1" t="str">
        <f t="shared" si="114"/>
        <v/>
      </c>
    </row>
    <row r="1055" spans="1:14" ht="30" hidden="1" x14ac:dyDescent="0.25">
      <c r="A1055" s="1">
        <f>INDEX(rq_evidence_review!A:A, MATCH(B1055, rq_evidence_review!B:B, 0))</f>
        <v>4</v>
      </c>
      <c r="B1055" s="6" t="s">
        <v>1914</v>
      </c>
      <c r="C1055" s="1">
        <f t="shared" si="116"/>
        <v>1049</v>
      </c>
      <c r="D1055" s="1">
        <f>VLOOKUP(B1055,rq_evidence_review!$B$1:$L$55,7,FALSE)</f>
        <v>109</v>
      </c>
      <c r="E1055" s="8" t="s">
        <v>1305</v>
      </c>
      <c r="G1055" s="1" t="s">
        <v>945</v>
      </c>
      <c r="H1055" s="1" t="str">
        <f t="shared" si="111"/>
        <v>Sterling</v>
      </c>
      <c r="I1055" s="1" t="str">
        <f t="shared" si="113"/>
        <v>2016</v>
      </c>
      <c r="J1055" s="1" t="str">
        <f t="shared" si="112"/>
        <v>Sterling et al., 2016</v>
      </c>
      <c r="K1055" s="1" t="str">
        <f t="shared" si="115"/>
        <v>10.1016/j.fertnstert.2015.11.019</v>
      </c>
      <c r="L1055" s="1" t="str">
        <f t="shared" si="114"/>
        <v/>
      </c>
    </row>
    <row r="1056" spans="1:14" ht="30" hidden="1" x14ac:dyDescent="0.25">
      <c r="A1056" s="1">
        <f>INDEX(rq_evidence_review!A:A, MATCH(B1056, rq_evidence_review!B:B, 0))</f>
        <v>4</v>
      </c>
      <c r="B1056" s="6" t="s">
        <v>1914</v>
      </c>
      <c r="C1056" s="1">
        <f t="shared" si="116"/>
        <v>1050</v>
      </c>
      <c r="D1056" s="1">
        <f>VLOOKUP(B1056,rq_evidence_review!$B$1:$L$55,7,FALSE)</f>
        <v>109</v>
      </c>
      <c r="E1056" s="8" t="s">
        <v>1306</v>
      </c>
      <c r="G1056" s="1" t="s">
        <v>945</v>
      </c>
      <c r="H1056" s="1" t="str">
        <f t="shared" si="111"/>
        <v>Wang</v>
      </c>
      <c r="I1056" s="1" t="str">
        <f t="shared" si="113"/>
        <v>2016</v>
      </c>
      <c r="J1056" s="1" t="str">
        <f t="shared" si="112"/>
        <v>Wang et al., 2016</v>
      </c>
      <c r="K1056" s="1" t="str">
        <f t="shared" si="115"/>
        <v>10.1038/srep34538</v>
      </c>
      <c r="L1056" s="1" t="str">
        <f t="shared" si="114"/>
        <v/>
      </c>
    </row>
    <row r="1057" spans="1:12" ht="30" hidden="1" x14ac:dyDescent="0.25">
      <c r="A1057" s="1">
        <f>INDEX(rq_evidence_review!A:A, MATCH(B1057, rq_evidence_review!B:B, 0))</f>
        <v>4</v>
      </c>
      <c r="B1057" s="6" t="s">
        <v>1914</v>
      </c>
      <c r="C1057" s="1">
        <f t="shared" si="116"/>
        <v>1051</v>
      </c>
      <c r="D1057" s="1">
        <f>VLOOKUP(B1057,rq_evidence_review!$B$1:$L$55,7,FALSE)</f>
        <v>109</v>
      </c>
      <c r="E1057" s="8" t="s">
        <v>1307</v>
      </c>
      <c r="G1057" s="1" t="s">
        <v>945</v>
      </c>
      <c r="H1057" s="1" t="str">
        <f t="shared" si="111"/>
        <v>Wang</v>
      </c>
      <c r="I1057" s="1" t="str">
        <f t="shared" si="113"/>
        <v>2016</v>
      </c>
      <c r="J1057" s="1" t="str">
        <f t="shared" si="112"/>
        <v>Wang et al., 2016</v>
      </c>
      <c r="K1057" s="1" t="str">
        <f t="shared" si="115"/>
        <v>10.1016/j.rbmo.2016.04.006</v>
      </c>
      <c r="L1057" s="1" t="str">
        <f t="shared" si="114"/>
        <v/>
      </c>
    </row>
    <row r="1058" spans="1:12" ht="30" hidden="1" x14ac:dyDescent="0.25">
      <c r="A1058" s="1">
        <f>INDEX(rq_evidence_review!A:A, MATCH(B1058, rq_evidence_review!B:B, 0))</f>
        <v>4</v>
      </c>
      <c r="B1058" s="6" t="s">
        <v>1914</v>
      </c>
      <c r="C1058" s="1">
        <f t="shared" si="116"/>
        <v>1052</v>
      </c>
      <c r="D1058" s="1">
        <f>VLOOKUP(B1058,rq_evidence_review!$B$1:$L$55,7,FALSE)</f>
        <v>109</v>
      </c>
      <c r="E1058" s="8" t="s">
        <v>1308</v>
      </c>
      <c r="G1058" s="1" t="s">
        <v>945</v>
      </c>
      <c r="H1058" s="1" t="str">
        <f t="shared" ref="H1058:H1121" si="118">LEFT(E1058, FIND(",", E1058) - 1)</f>
        <v>Xiao</v>
      </c>
      <c r="I1058" s="1" t="str">
        <f t="shared" si="113"/>
        <v>2016</v>
      </c>
      <c r="J1058" s="1" t="str">
        <f t="shared" ref="J1058:J1121" si="119">H1058 &amp; " et al., " &amp; I1058</f>
        <v>Xiao et al., 2016</v>
      </c>
      <c r="K1058" s="1" t="str">
        <f t="shared" si="115"/>
        <v>10.1155/2016/5787104</v>
      </c>
      <c r="L1058" s="1" t="str">
        <f t="shared" si="114"/>
        <v/>
      </c>
    </row>
    <row r="1059" spans="1:12" ht="30" hidden="1" x14ac:dyDescent="0.25">
      <c r="A1059" s="1">
        <f>INDEX(rq_evidence_review!A:A, MATCH(B1059, rq_evidence_review!B:B, 0))</f>
        <v>4</v>
      </c>
      <c r="B1059" s="6" t="s">
        <v>1914</v>
      </c>
      <c r="C1059" s="1">
        <f t="shared" si="116"/>
        <v>1053</v>
      </c>
      <c r="D1059" s="1">
        <f>VLOOKUP(B1059,rq_evidence_review!$B$1:$L$55,7,FALSE)</f>
        <v>109</v>
      </c>
      <c r="E1059" s="8" t="s">
        <v>1309</v>
      </c>
      <c r="H1059" s="1" t="str">
        <f t="shared" si="118"/>
        <v>Chen</v>
      </c>
      <c r="I1059" s="1" t="str">
        <f t="shared" ref="I1059:I1122" si="120">ExtractYear(E1059)</f>
        <v>2017</v>
      </c>
      <c r="J1059" s="1" t="str">
        <f t="shared" si="119"/>
        <v>Chen et al., 2017</v>
      </c>
      <c r="K1059" s="1" t="str">
        <f t="shared" ref="K1059:K1120" si="121">ExtractDOI(E1059)</f>
        <v>10.1177/0300060517704140</v>
      </c>
      <c r="L1059" s="1" t="str">
        <f t="shared" ref="L1059:L1119" si="122">ExtractPMID(E1059)</f>
        <v/>
      </c>
    </row>
    <row r="1060" spans="1:12" ht="45" hidden="1" x14ac:dyDescent="0.25">
      <c r="A1060" s="1">
        <f>INDEX(rq_evidence_review!A:A, MATCH(B1060, rq_evidence_review!B:B, 0))</f>
        <v>4</v>
      </c>
      <c r="B1060" s="6" t="s">
        <v>1914</v>
      </c>
      <c r="C1060" s="1">
        <f t="shared" si="116"/>
        <v>1054</v>
      </c>
      <c r="D1060" s="1">
        <f>VLOOKUP(B1060,rq_evidence_review!$B$1:$L$55,7,FALSE)</f>
        <v>109</v>
      </c>
      <c r="E1060" s="8" t="s">
        <v>1310</v>
      </c>
      <c r="H1060" s="1" t="str">
        <f t="shared" si="118"/>
        <v>de Wilde</v>
      </c>
      <c r="I1060" s="1" t="str">
        <f t="shared" si="120"/>
        <v>2017</v>
      </c>
      <c r="J1060" s="1" t="str">
        <f t="shared" si="119"/>
        <v>de Wilde et al., 2017</v>
      </c>
      <c r="K1060" s="1" t="str">
        <f t="shared" si="121"/>
        <v>10.1016/j.fertnstert.2017.06.015</v>
      </c>
      <c r="L1060" s="1" t="str">
        <f t="shared" si="122"/>
        <v/>
      </c>
    </row>
    <row r="1061" spans="1:12" ht="30" hidden="1" x14ac:dyDescent="0.25">
      <c r="A1061" s="1">
        <f>INDEX(rq_evidence_review!A:A, MATCH(B1061, rq_evidence_review!B:B, 0))</f>
        <v>4</v>
      </c>
      <c r="B1061" s="6" t="s">
        <v>1914</v>
      </c>
      <c r="C1061" s="1">
        <f t="shared" ref="C1061:C1101" si="123">C1060+1</f>
        <v>1055</v>
      </c>
      <c r="D1061" s="1">
        <f>VLOOKUP(B1061,rq_evidence_review!$B$1:$L$55,7,FALSE)</f>
        <v>109</v>
      </c>
      <c r="E1061" s="8" t="s">
        <v>1311</v>
      </c>
      <c r="H1061" s="1" t="str">
        <f t="shared" si="118"/>
        <v>Jonsdottir</v>
      </c>
      <c r="I1061" s="1" t="str">
        <f t="shared" si="120"/>
        <v>2017</v>
      </c>
      <c r="J1061" s="1" t="str">
        <f t="shared" si="119"/>
        <v>Jonsdottir et al., 2017</v>
      </c>
      <c r="K1061" s="1" t="str">
        <f t="shared" si="121"/>
        <v>10.1111/aogs.13241</v>
      </c>
      <c r="L1061" s="1" t="str">
        <f t="shared" si="122"/>
        <v/>
      </c>
    </row>
    <row r="1062" spans="1:12" ht="30" hidden="1" x14ac:dyDescent="0.25">
      <c r="A1062" s="1">
        <f>INDEX(rq_evidence_review!A:A, MATCH(B1062, rq_evidence_review!B:B, 0))</f>
        <v>4</v>
      </c>
      <c r="B1062" s="6" t="s">
        <v>1914</v>
      </c>
      <c r="C1062" s="1">
        <f t="shared" si="123"/>
        <v>1056</v>
      </c>
      <c r="D1062" s="1">
        <f>VLOOKUP(B1062,rq_evidence_review!$B$1:$L$55,7,FALSE)</f>
        <v>109</v>
      </c>
      <c r="E1062" s="8" t="s">
        <v>1312</v>
      </c>
      <c r="H1062" s="1" t="str">
        <f t="shared" si="118"/>
        <v>Luo</v>
      </c>
      <c r="I1062" s="1" t="str">
        <f t="shared" si="120"/>
        <v>2017</v>
      </c>
      <c r="J1062" s="1" t="str">
        <f t="shared" si="119"/>
        <v>Luo et al., 2017</v>
      </c>
      <c r="K1062" s="1" t="str">
        <f t="shared" si="121"/>
        <v>10.1016/j.rbmo.2017.07.010</v>
      </c>
      <c r="L1062" s="1" t="str">
        <f t="shared" si="122"/>
        <v/>
      </c>
    </row>
    <row r="1063" spans="1:12" ht="30" hidden="1" x14ac:dyDescent="0.25">
      <c r="A1063" s="1">
        <f>INDEX(rq_evidence_review!A:A, MATCH(B1063, rq_evidence_review!B:B, 0))</f>
        <v>4</v>
      </c>
      <c r="B1063" s="6" t="s">
        <v>1914</v>
      </c>
      <c r="C1063" s="1">
        <f t="shared" si="123"/>
        <v>1057</v>
      </c>
      <c r="D1063" s="1">
        <f>VLOOKUP(B1063,rq_evidence_review!$B$1:$L$55,7,FALSE)</f>
        <v>109</v>
      </c>
      <c r="E1063" s="8" t="s">
        <v>1313</v>
      </c>
      <c r="H1063" s="1" t="str">
        <f t="shared" si="118"/>
        <v>Huang</v>
      </c>
      <c r="I1063" s="1" t="str">
        <f t="shared" si="120"/>
        <v>2018</v>
      </c>
      <c r="J1063" s="1" t="str">
        <f t="shared" si="119"/>
        <v>Huang et al., 2018</v>
      </c>
      <c r="K1063" s="1" t="str">
        <f t="shared" si="121"/>
        <v>10.1097/MD.0000000000012017</v>
      </c>
      <c r="L1063" s="1" t="str">
        <f t="shared" si="122"/>
        <v/>
      </c>
    </row>
    <row r="1064" spans="1:12" ht="30" hidden="1" x14ac:dyDescent="0.25">
      <c r="A1064" s="1">
        <f>INDEX(rq_evidence_review!A:A, MATCH(B1064, rq_evidence_review!B:B, 0))</f>
        <v>4</v>
      </c>
      <c r="B1064" s="6" t="s">
        <v>1914</v>
      </c>
      <c r="C1064" s="1">
        <f t="shared" si="123"/>
        <v>1058</v>
      </c>
      <c r="D1064" s="1">
        <f>VLOOKUP(B1064,rq_evidence_review!$B$1:$L$55,7,FALSE)</f>
        <v>109</v>
      </c>
      <c r="E1064" s="8" t="s">
        <v>1314</v>
      </c>
      <c r="H1064" s="1" t="str">
        <f t="shared" si="118"/>
        <v>Kent</v>
      </c>
      <c r="I1064" s="1" t="str">
        <f t="shared" si="120"/>
        <v>2018</v>
      </c>
      <c r="J1064" s="1" t="str">
        <f t="shared" si="119"/>
        <v>Kent et al., 2018</v>
      </c>
      <c r="K1064" s="1" t="str">
        <f t="shared" si="121"/>
        <v>10.1210/jc.2017-02764</v>
      </c>
      <c r="L1064" s="1" t="str">
        <f t="shared" si="122"/>
        <v/>
      </c>
    </row>
    <row r="1065" spans="1:12" ht="30" hidden="1" x14ac:dyDescent="0.25">
      <c r="A1065" s="1">
        <f>INDEX(rq_evidence_review!A:A, MATCH(B1065, rq_evidence_review!B:B, 0))</f>
        <v>4</v>
      </c>
      <c r="B1065" s="6" t="s">
        <v>1914</v>
      </c>
      <c r="C1065" s="1">
        <f t="shared" si="123"/>
        <v>1059</v>
      </c>
      <c r="D1065" s="1">
        <f>VLOOKUP(B1065,rq_evidence_review!$B$1:$L$55,7,FALSE)</f>
        <v>109</v>
      </c>
      <c r="E1065" s="8" t="s">
        <v>1315</v>
      </c>
      <c r="H1065" s="1" t="str">
        <f t="shared" si="118"/>
        <v>Lai</v>
      </c>
      <c r="I1065" s="1" t="str">
        <f t="shared" si="120"/>
        <v>2018</v>
      </c>
      <c r="J1065" s="1" t="str">
        <f t="shared" si="119"/>
        <v>Lai et al., 2018</v>
      </c>
      <c r="K1065" s="1" t="str">
        <f t="shared" si="121"/>
        <v>10.1007/s11684-017-0575-y</v>
      </c>
      <c r="L1065" s="1" t="str">
        <f t="shared" si="122"/>
        <v/>
      </c>
    </row>
    <row r="1066" spans="1:12" ht="30" hidden="1" x14ac:dyDescent="0.25">
      <c r="A1066" s="1">
        <f>INDEX(rq_evidence_review!A:A, MATCH(B1066, rq_evidence_review!B:B, 0))</f>
        <v>4</v>
      </c>
      <c r="B1066" s="6" t="s">
        <v>1914</v>
      </c>
      <c r="C1066" s="1">
        <f t="shared" si="123"/>
        <v>1060</v>
      </c>
      <c r="D1066" s="1">
        <f>VLOOKUP(B1066,rq_evidence_review!$B$1:$L$55,7,FALSE)</f>
        <v>109</v>
      </c>
      <c r="E1066" s="8" t="s">
        <v>1316</v>
      </c>
      <c r="H1066" s="1" t="str">
        <f t="shared" si="118"/>
        <v>Li</v>
      </c>
      <c r="I1066" s="1" t="str">
        <f t="shared" si="120"/>
        <v>2018</v>
      </c>
      <c r="J1066" s="1" t="str">
        <f t="shared" si="119"/>
        <v>Li et al., 2018</v>
      </c>
      <c r="K1066" s="1" t="str">
        <f t="shared" si="121"/>
        <v>10.1016/j.fertnstert.2017.12.023</v>
      </c>
      <c r="L1066" s="1" t="str">
        <f t="shared" si="122"/>
        <v/>
      </c>
    </row>
    <row r="1067" spans="1:12" ht="30" hidden="1" x14ac:dyDescent="0.25">
      <c r="A1067" s="1">
        <f>INDEX(rq_evidence_review!A:A, MATCH(B1067, rq_evidence_review!B:B, 0))</f>
        <v>4</v>
      </c>
      <c r="B1067" s="6" t="s">
        <v>1914</v>
      </c>
      <c r="C1067" s="1">
        <f t="shared" si="123"/>
        <v>1061</v>
      </c>
      <c r="D1067" s="1">
        <f>VLOOKUP(B1067,rq_evidence_review!$B$1:$L$55,7,FALSE)</f>
        <v>109</v>
      </c>
      <c r="E1067" s="8" t="s">
        <v>1317</v>
      </c>
      <c r="H1067" s="1" t="str">
        <f t="shared" si="118"/>
        <v>March</v>
      </c>
      <c r="I1067" s="1" t="str">
        <f t="shared" si="120"/>
        <v>2018</v>
      </c>
      <c r="J1067" s="1" t="str">
        <f t="shared" si="119"/>
        <v>March et al., 2018</v>
      </c>
      <c r="K1067" s="1" t="str">
        <f t="shared" si="121"/>
        <v>10.1111/aogs.13332</v>
      </c>
      <c r="L1067" s="1" t="str">
        <f t="shared" si="122"/>
        <v/>
      </c>
    </row>
    <row r="1068" spans="1:12" ht="30" hidden="1" x14ac:dyDescent="0.25">
      <c r="A1068" s="1">
        <f>INDEX(rq_evidence_review!A:A, MATCH(B1068, rq_evidence_review!B:B, 0))</f>
        <v>4</v>
      </c>
      <c r="B1068" s="6" t="s">
        <v>1914</v>
      </c>
      <c r="C1068" s="1">
        <f t="shared" si="123"/>
        <v>1062</v>
      </c>
      <c r="D1068" s="1">
        <f>VLOOKUP(B1068,rq_evidence_review!$B$1:$L$55,7,FALSE)</f>
        <v>109</v>
      </c>
      <c r="E1068" s="8" t="s">
        <v>1318</v>
      </c>
      <c r="H1068" s="1" t="str">
        <f t="shared" si="118"/>
        <v>Butts</v>
      </c>
      <c r="I1068" s="1" t="str">
        <f t="shared" si="120"/>
        <v>2019</v>
      </c>
      <c r="J1068" s="1" t="str">
        <f t="shared" si="119"/>
        <v>Butts et al., 2019</v>
      </c>
      <c r="K1068" s="1" t="str">
        <f t="shared" si="121"/>
        <v>10.1210/jc.2018-00750</v>
      </c>
      <c r="L1068" s="1" t="str">
        <f t="shared" si="122"/>
        <v/>
      </c>
    </row>
    <row r="1069" spans="1:12" ht="30" hidden="1" x14ac:dyDescent="0.25">
      <c r="A1069" s="1">
        <f>INDEX(rq_evidence_review!A:A, MATCH(B1069, rq_evidence_review!B:B, 0))</f>
        <v>4</v>
      </c>
      <c r="B1069" s="6" t="s">
        <v>1914</v>
      </c>
      <c r="C1069" s="1">
        <f t="shared" si="123"/>
        <v>1063</v>
      </c>
      <c r="D1069" s="1">
        <f>VLOOKUP(B1069,rq_evidence_review!$B$1:$L$55,7,FALSE)</f>
        <v>109</v>
      </c>
      <c r="E1069" s="8" t="s">
        <v>1319</v>
      </c>
      <c r="H1069" s="1" t="str">
        <f t="shared" si="118"/>
        <v>Kollmann</v>
      </c>
      <c r="I1069" s="1" t="str">
        <f t="shared" si="120"/>
        <v>2019</v>
      </c>
      <c r="J1069" s="1" t="str">
        <f t="shared" si="119"/>
        <v>Kollmann et al., 2019</v>
      </c>
      <c r="K1069" s="1" t="str">
        <f t="shared" si="121"/>
        <v>10.3390/jcm8111817</v>
      </c>
      <c r="L1069" s="1" t="str">
        <f t="shared" si="122"/>
        <v/>
      </c>
    </row>
    <row r="1070" spans="1:12" ht="30" hidden="1" x14ac:dyDescent="0.25">
      <c r="A1070" s="1">
        <f>INDEX(rq_evidence_review!A:A, MATCH(B1070, rq_evidence_review!B:B, 0))</f>
        <v>4</v>
      </c>
      <c r="B1070" s="6" t="s">
        <v>1914</v>
      </c>
      <c r="C1070" s="1">
        <f t="shared" si="123"/>
        <v>1064</v>
      </c>
      <c r="D1070" s="1">
        <f>VLOOKUP(B1070,rq_evidence_review!$B$1:$L$55,7,FALSE)</f>
        <v>109</v>
      </c>
      <c r="E1070" s="8" t="s">
        <v>1320</v>
      </c>
      <c r="H1070" s="1" t="str">
        <f t="shared" si="118"/>
        <v>Schneider</v>
      </c>
      <c r="I1070" s="1" t="str">
        <f t="shared" si="120"/>
        <v>2019</v>
      </c>
      <c r="J1070" s="1" t="str">
        <f t="shared" si="119"/>
        <v>Schneider et al., 2019</v>
      </c>
      <c r="K1070" s="1" t="str">
        <f t="shared" si="121"/>
        <v>10.1155/2019/9847057</v>
      </c>
      <c r="L1070" s="1" t="str">
        <f t="shared" si="122"/>
        <v/>
      </c>
    </row>
    <row r="1071" spans="1:12" ht="45" hidden="1" x14ac:dyDescent="0.25">
      <c r="A1071" s="1">
        <f>INDEX(rq_evidence_review!A:A, MATCH(B1071, rq_evidence_review!B:B, 0))</f>
        <v>4</v>
      </c>
      <c r="B1071" s="6" t="s">
        <v>1914</v>
      </c>
      <c r="C1071" s="1">
        <f t="shared" si="123"/>
        <v>1065</v>
      </c>
      <c r="D1071" s="1">
        <f>VLOOKUP(B1071,rq_evidence_review!$B$1:$L$55,7,FALSE)</f>
        <v>109</v>
      </c>
      <c r="E1071" s="8" t="s">
        <v>1321</v>
      </c>
      <c r="H1071" s="1" t="str">
        <f t="shared" si="118"/>
        <v>Zheng</v>
      </c>
      <c r="I1071" s="1" t="str">
        <f t="shared" si="120"/>
        <v>2019</v>
      </c>
      <c r="J1071" s="1" t="str">
        <f t="shared" si="119"/>
        <v>Zheng et al., 2019</v>
      </c>
      <c r="K1071" s="1" t="str">
        <f t="shared" si="121"/>
        <v>10.1186/s13098-019-0462-6</v>
      </c>
      <c r="L1071" s="1" t="str">
        <f t="shared" si="122"/>
        <v/>
      </c>
    </row>
    <row r="1072" spans="1:12" ht="30" hidden="1" x14ac:dyDescent="0.25">
      <c r="A1072" s="1">
        <f>INDEX(rq_evidence_review!A:A, MATCH(B1072, rq_evidence_review!B:B, 0))</f>
        <v>4</v>
      </c>
      <c r="B1072" s="6" t="s">
        <v>1914</v>
      </c>
      <c r="C1072" s="1">
        <f t="shared" si="123"/>
        <v>1066</v>
      </c>
      <c r="D1072" s="1">
        <f>VLOOKUP(B1072,rq_evidence_review!$B$1:$L$55,7,FALSE)</f>
        <v>109</v>
      </c>
      <c r="E1072" s="8" t="s">
        <v>1322</v>
      </c>
      <c r="H1072" s="1" t="str">
        <f t="shared" si="118"/>
        <v>Benito</v>
      </c>
      <c r="I1072" s="1" t="str">
        <f t="shared" si="120"/>
        <v>2020</v>
      </c>
      <c r="J1072" s="1" t="str">
        <f t="shared" si="119"/>
        <v>Benito et al., 2020</v>
      </c>
      <c r="K1072" s="1" t="str">
        <f t="shared" si="121"/>
        <v>10.1210/clinem/dgaa439</v>
      </c>
      <c r="L1072" s="1" t="str">
        <f t="shared" si="122"/>
        <v/>
      </c>
    </row>
    <row r="1073" spans="1:12" ht="45" hidden="1" x14ac:dyDescent="0.25">
      <c r="A1073" s="1">
        <f>INDEX(rq_evidence_review!A:A, MATCH(B1073, rq_evidence_review!B:B, 0))</f>
        <v>4</v>
      </c>
      <c r="B1073" s="6" t="s">
        <v>1914</v>
      </c>
      <c r="C1073" s="1">
        <f t="shared" si="123"/>
        <v>1067</v>
      </c>
      <c r="D1073" s="1">
        <f>VLOOKUP(B1073,rq_evidence_review!$B$1:$L$55,7,FALSE)</f>
        <v>109</v>
      </c>
      <c r="E1073" s="8" t="s">
        <v>1323</v>
      </c>
      <c r="H1073" s="1" t="str">
        <f t="shared" si="118"/>
        <v>Chen</v>
      </c>
      <c r="I1073" s="1" t="str">
        <f t="shared" si="120"/>
        <v>2020</v>
      </c>
      <c r="J1073" s="1" t="str">
        <f t="shared" si="119"/>
        <v>Chen et al., 2020</v>
      </c>
      <c r="K1073" s="1" t="str">
        <f t="shared" si="121"/>
        <v>10.1016/j.ejogrb.2020.07.049</v>
      </c>
      <c r="L1073" s="1" t="str">
        <f t="shared" si="122"/>
        <v/>
      </c>
    </row>
    <row r="1074" spans="1:12" ht="30" hidden="1" x14ac:dyDescent="0.25">
      <c r="A1074" s="1">
        <f>INDEX(rq_evidence_review!A:A, MATCH(B1074, rq_evidence_review!B:B, 0))</f>
        <v>4</v>
      </c>
      <c r="B1074" s="6" t="s">
        <v>1914</v>
      </c>
      <c r="C1074" s="1">
        <f t="shared" si="123"/>
        <v>1068</v>
      </c>
      <c r="D1074" s="1">
        <f>VLOOKUP(B1074,rq_evidence_review!$B$1:$L$55,7,FALSE)</f>
        <v>109</v>
      </c>
      <c r="E1074" s="8" t="s">
        <v>1324</v>
      </c>
      <c r="H1074" s="1" t="str">
        <f t="shared" si="118"/>
        <v>Elshewy</v>
      </c>
      <c r="I1074" s="1" t="str">
        <f t="shared" si="120"/>
        <v>2020</v>
      </c>
      <c r="J1074" s="1" t="str">
        <f t="shared" si="119"/>
        <v>Elshewy et al., 2020</v>
      </c>
      <c r="K1074" s="1" t="str">
        <f t="shared" si="121"/>
        <v>10.1186/s12958-020-00622-y</v>
      </c>
      <c r="L1074" s="1" t="str">
        <f t="shared" si="122"/>
        <v/>
      </c>
    </row>
    <row r="1075" spans="1:12" ht="45" hidden="1" x14ac:dyDescent="0.25">
      <c r="A1075" s="1">
        <f>INDEX(rq_evidence_review!A:A, MATCH(B1075, rq_evidence_review!B:B, 0))</f>
        <v>4</v>
      </c>
      <c r="B1075" s="6" t="s">
        <v>1914</v>
      </c>
      <c r="C1075" s="1">
        <f t="shared" si="123"/>
        <v>1069</v>
      </c>
      <c r="D1075" s="1">
        <f>VLOOKUP(B1075,rq_evidence_review!$B$1:$L$55,7,FALSE)</f>
        <v>109</v>
      </c>
      <c r="E1075" s="8" t="s">
        <v>1325</v>
      </c>
      <c r="H1075" s="1" t="str">
        <f t="shared" si="118"/>
        <v>Foroozanfard</v>
      </c>
      <c r="I1075" s="1" t="str">
        <f t="shared" si="120"/>
        <v>2020</v>
      </c>
      <c r="J1075" s="1" t="str">
        <f t="shared" si="119"/>
        <v>Foroozanfard et al., 2020</v>
      </c>
      <c r="K1075" s="1" t="str">
        <f t="shared" si="121"/>
        <v>10.1080/09513590.2019.1631278</v>
      </c>
      <c r="L1075" s="1" t="str">
        <f t="shared" si="122"/>
        <v/>
      </c>
    </row>
    <row r="1076" spans="1:12" ht="30" hidden="1" x14ac:dyDescent="0.25">
      <c r="A1076" s="1">
        <f>INDEX(rq_evidence_review!A:A, MATCH(B1076, rq_evidence_review!B:B, 0))</f>
        <v>4</v>
      </c>
      <c r="B1076" s="6" t="s">
        <v>1914</v>
      </c>
      <c r="C1076" s="1">
        <f t="shared" si="123"/>
        <v>1070</v>
      </c>
      <c r="D1076" s="1">
        <f>VLOOKUP(B1076,rq_evidence_review!$B$1:$L$55,7,FALSE)</f>
        <v>109</v>
      </c>
      <c r="E1076" s="8" t="s">
        <v>1326</v>
      </c>
      <c r="H1076" s="1" t="str">
        <f t="shared" si="118"/>
        <v>Liu</v>
      </c>
      <c r="I1076" s="1" t="str">
        <f t="shared" si="120"/>
        <v>2020</v>
      </c>
      <c r="J1076" s="1" t="str">
        <f t="shared" si="119"/>
        <v>Liu et al., 2020</v>
      </c>
      <c r="K1076" s="1" t="str">
        <f t="shared" si="121"/>
        <v>10.3389/fendo.2020.575337</v>
      </c>
      <c r="L1076" s="1" t="str">
        <f t="shared" si="122"/>
        <v/>
      </c>
    </row>
    <row r="1077" spans="1:12" ht="30" hidden="1" x14ac:dyDescent="0.25">
      <c r="A1077" s="1">
        <f>INDEX(rq_evidence_review!A:A, MATCH(B1077, rq_evidence_review!B:B, 0))</f>
        <v>4</v>
      </c>
      <c r="B1077" s="6" t="s">
        <v>1914</v>
      </c>
      <c r="C1077" s="1">
        <f t="shared" si="123"/>
        <v>1071</v>
      </c>
      <c r="D1077" s="1">
        <f>VLOOKUP(B1077,rq_evidence_review!$B$1:$L$55,7,FALSE)</f>
        <v>109</v>
      </c>
      <c r="E1077" s="8" t="s">
        <v>1327</v>
      </c>
      <c r="H1077" s="1" t="str">
        <f t="shared" si="118"/>
        <v>Tobiasz</v>
      </c>
      <c r="I1077" s="1" t="str">
        <f t="shared" si="120"/>
        <v>2020</v>
      </c>
      <c r="J1077" s="1" t="str">
        <f t="shared" si="119"/>
        <v>Tobiasz et al., 2020</v>
      </c>
      <c r="K1077" s="1" t="str">
        <f t="shared" si="121"/>
        <v>10.1007/s43032-019-00125-1</v>
      </c>
      <c r="L1077" s="1" t="str">
        <f t="shared" si="122"/>
        <v/>
      </c>
    </row>
    <row r="1078" spans="1:12" ht="30" hidden="1" x14ac:dyDescent="0.25">
      <c r="A1078" s="1">
        <f>INDEX(rq_evidence_review!A:A, MATCH(B1078, rq_evidence_review!B:B, 0))</f>
        <v>4</v>
      </c>
      <c r="B1078" s="6" t="s">
        <v>1914</v>
      </c>
      <c r="C1078" s="1">
        <f t="shared" si="123"/>
        <v>1072</v>
      </c>
      <c r="D1078" s="1">
        <f>VLOOKUP(B1078,rq_evidence_review!$B$1:$L$55,7,FALSE)</f>
        <v>109</v>
      </c>
      <c r="E1078" s="8" t="s">
        <v>1328</v>
      </c>
      <c r="H1078" s="1" t="str">
        <f t="shared" si="118"/>
        <v>Abdulkhalikova</v>
      </c>
      <c r="I1078" s="1" t="str">
        <f t="shared" si="120"/>
        <v>2021</v>
      </c>
      <c r="J1078" s="1" t="str">
        <f t="shared" si="119"/>
        <v>Abdulkhalikova et al., 2021</v>
      </c>
      <c r="K1078" s="1" t="str">
        <f t="shared" si="121"/>
        <v>10.1515/jpm-2019-0244</v>
      </c>
      <c r="L1078" s="1" t="str">
        <f t="shared" si="122"/>
        <v/>
      </c>
    </row>
    <row r="1079" spans="1:12" ht="30" hidden="1" x14ac:dyDescent="0.25">
      <c r="A1079" s="1">
        <f>INDEX(rq_evidence_review!A:A, MATCH(B1079, rq_evidence_review!B:B, 0))</f>
        <v>4</v>
      </c>
      <c r="B1079" s="6" t="s">
        <v>1914</v>
      </c>
      <c r="C1079" s="1">
        <f t="shared" si="123"/>
        <v>1073</v>
      </c>
      <c r="D1079" s="1">
        <f>VLOOKUP(B1079,rq_evidence_review!$B$1:$L$55,7,FALSE)</f>
        <v>109</v>
      </c>
      <c r="E1079" s="8" t="s">
        <v>1329</v>
      </c>
      <c r="H1079" s="1" t="str">
        <f t="shared" si="118"/>
        <v>Cai</v>
      </c>
      <c r="I1079" s="1" t="str">
        <f t="shared" si="120"/>
        <v>2021</v>
      </c>
      <c r="J1079" s="1" t="str">
        <f t="shared" si="119"/>
        <v>Cai et al., 2021</v>
      </c>
      <c r="K1079" s="1" t="str">
        <f t="shared" si="121"/>
        <v>10.1111/1471-0528.16590</v>
      </c>
      <c r="L1079" s="1" t="str">
        <f t="shared" si="122"/>
        <v/>
      </c>
    </row>
    <row r="1080" spans="1:12" ht="45" hidden="1" x14ac:dyDescent="0.25">
      <c r="A1080" s="1">
        <f>INDEX(rq_evidence_review!A:A, MATCH(B1080, rq_evidence_review!B:B, 0))</f>
        <v>4</v>
      </c>
      <c r="B1080" s="6" t="s">
        <v>1914</v>
      </c>
      <c r="C1080" s="1">
        <f t="shared" si="123"/>
        <v>1074</v>
      </c>
      <c r="D1080" s="1">
        <f>VLOOKUP(B1080,rq_evidence_review!$B$1:$L$55,7,FALSE)</f>
        <v>109</v>
      </c>
      <c r="E1080" s="8" t="s">
        <v>1330</v>
      </c>
      <c r="H1080" s="1" t="str">
        <f t="shared" si="118"/>
        <v>Diboun</v>
      </c>
      <c r="I1080" s="1" t="str">
        <f t="shared" si="120"/>
        <v>2021</v>
      </c>
      <c r="J1080" s="1" t="str">
        <f t="shared" si="119"/>
        <v>Diboun et al., 2021</v>
      </c>
      <c r="K1080" s="1" t="str">
        <f t="shared" si="121"/>
        <v>10.3389/fendo.2021.638727</v>
      </c>
      <c r="L1080" s="1" t="str">
        <f t="shared" si="122"/>
        <v/>
      </c>
    </row>
    <row r="1081" spans="1:12" ht="30" hidden="1" x14ac:dyDescent="0.25">
      <c r="A1081" s="1">
        <f>INDEX(rq_evidence_review!A:A, MATCH(B1081, rq_evidence_review!B:B, 0))</f>
        <v>4</v>
      </c>
      <c r="B1081" s="6" t="s">
        <v>1914</v>
      </c>
      <c r="C1081" s="1">
        <f t="shared" si="123"/>
        <v>1075</v>
      </c>
      <c r="D1081" s="1">
        <f>VLOOKUP(B1081,rq_evidence_review!$B$1:$L$55,7,FALSE)</f>
        <v>109</v>
      </c>
      <c r="E1081" s="8" t="s">
        <v>1331</v>
      </c>
      <c r="H1081" s="1" t="str">
        <f t="shared" si="118"/>
        <v>Feichtinger</v>
      </c>
      <c r="I1081" s="1" t="str">
        <f t="shared" si="120"/>
        <v>2021</v>
      </c>
      <c r="J1081" s="1" t="str">
        <f t="shared" si="119"/>
        <v>Feichtinger et al., 2021</v>
      </c>
      <c r="K1081" s="1" t="str">
        <f t="shared" si="121"/>
        <v>10.3390/jcm10010035</v>
      </c>
      <c r="L1081" s="1" t="str">
        <f t="shared" si="122"/>
        <v/>
      </c>
    </row>
    <row r="1082" spans="1:12" ht="30" hidden="1" x14ac:dyDescent="0.25">
      <c r="A1082" s="1">
        <f>INDEX(rq_evidence_review!A:A, MATCH(B1082, rq_evidence_review!B:B, 0))</f>
        <v>4</v>
      </c>
      <c r="B1082" s="6" t="s">
        <v>1914</v>
      </c>
      <c r="C1082" s="1">
        <f t="shared" si="123"/>
        <v>1076</v>
      </c>
      <c r="D1082" s="1">
        <f>VLOOKUP(B1082,rq_evidence_review!$B$1:$L$55,7,FALSE)</f>
        <v>109</v>
      </c>
      <c r="E1082" s="8" t="s">
        <v>1332</v>
      </c>
      <c r="H1082" s="1" t="str">
        <f t="shared" si="118"/>
        <v>Gongadashetti</v>
      </c>
      <c r="I1082" s="1" t="str">
        <f t="shared" si="120"/>
        <v>2021</v>
      </c>
      <c r="J1082" s="1" t="str">
        <f t="shared" si="119"/>
        <v>Gongadashetti et al., 2021</v>
      </c>
      <c r="K1082" s="1" t="str">
        <f t="shared" si="121"/>
        <v>10.18502/ijrm.v19i5.9254</v>
      </c>
      <c r="L1082" s="1" t="str">
        <f t="shared" si="122"/>
        <v/>
      </c>
    </row>
    <row r="1083" spans="1:12" ht="45" hidden="1" x14ac:dyDescent="0.25">
      <c r="A1083" s="1">
        <f>INDEX(rq_evidence_review!A:A, MATCH(B1083, rq_evidence_review!B:B, 0))</f>
        <v>4</v>
      </c>
      <c r="B1083" s="6" t="s">
        <v>1914</v>
      </c>
      <c r="C1083" s="1">
        <f t="shared" si="123"/>
        <v>1077</v>
      </c>
      <c r="D1083" s="1">
        <f>VLOOKUP(B1083,rq_evidence_review!$B$1:$L$55,7,FALSE)</f>
        <v>109</v>
      </c>
      <c r="E1083" s="8" t="s">
        <v>1333</v>
      </c>
      <c r="H1083" s="1" t="str">
        <f t="shared" si="118"/>
        <v>Hu</v>
      </c>
      <c r="I1083" s="1" t="str">
        <f t="shared" si="120"/>
        <v>2021</v>
      </c>
      <c r="J1083" s="1" t="str">
        <f t="shared" si="119"/>
        <v>Hu et al., 2021</v>
      </c>
      <c r="K1083" s="1" t="str">
        <f t="shared" si="121"/>
        <v>10.1111/1471-0528.16557</v>
      </c>
      <c r="L1083" s="1" t="str">
        <f t="shared" si="122"/>
        <v/>
      </c>
    </row>
    <row r="1084" spans="1:12" ht="30" hidden="1" x14ac:dyDescent="0.25">
      <c r="A1084" s="1">
        <f>INDEX(rq_evidence_review!A:A, MATCH(B1084, rq_evidence_review!B:B, 0))</f>
        <v>4</v>
      </c>
      <c r="B1084" s="6" t="s">
        <v>1914</v>
      </c>
      <c r="C1084" s="1">
        <f t="shared" si="123"/>
        <v>1078</v>
      </c>
      <c r="D1084" s="1">
        <f>VLOOKUP(B1084,rq_evidence_review!$B$1:$L$55,7,FALSE)</f>
        <v>109</v>
      </c>
      <c r="E1084" s="8" t="s">
        <v>1334</v>
      </c>
      <c r="H1084" s="1" t="str">
        <f t="shared" si="118"/>
        <v>Jiang</v>
      </c>
      <c r="I1084" s="1" t="str">
        <f t="shared" si="120"/>
        <v>2021</v>
      </c>
      <c r="J1084" s="1" t="str">
        <f t="shared" si="119"/>
        <v>Jiang et al., 2021</v>
      </c>
      <c r="K1084" s="1" t="str">
        <f t="shared" si="121"/>
        <v>10.3389/fendo.2021.789395</v>
      </c>
      <c r="L1084" s="1" t="str">
        <f t="shared" si="122"/>
        <v/>
      </c>
    </row>
    <row r="1085" spans="1:12" ht="30" hidden="1" x14ac:dyDescent="0.25">
      <c r="A1085" s="1">
        <f>INDEX(rq_evidence_review!A:A, MATCH(B1085, rq_evidence_review!B:B, 0))</f>
        <v>4</v>
      </c>
      <c r="B1085" s="6" t="s">
        <v>1914</v>
      </c>
      <c r="C1085" s="1">
        <f t="shared" si="123"/>
        <v>1079</v>
      </c>
      <c r="D1085" s="1">
        <f>VLOOKUP(B1085,rq_evidence_review!$B$1:$L$55,7,FALSE)</f>
        <v>109</v>
      </c>
      <c r="E1085" s="8" t="s">
        <v>1335</v>
      </c>
      <c r="H1085" s="1" t="str">
        <f t="shared" si="118"/>
        <v>Kaing</v>
      </c>
      <c r="I1085" s="1" t="str">
        <f t="shared" si="120"/>
        <v>2021</v>
      </c>
      <c r="J1085" s="1" t="str">
        <f t="shared" si="119"/>
        <v>Kaing et al., 2021</v>
      </c>
      <c r="K1085" s="1" t="str">
        <f t="shared" si="121"/>
        <v>10.1016/j.fertnstert.2020.06.015</v>
      </c>
      <c r="L1085" s="1" t="str">
        <f t="shared" si="122"/>
        <v/>
      </c>
    </row>
    <row r="1086" spans="1:12" ht="30" hidden="1" x14ac:dyDescent="0.25">
      <c r="A1086" s="1">
        <f>INDEX(rq_evidence_review!A:A, MATCH(B1086, rq_evidence_review!B:B, 0))</f>
        <v>4</v>
      </c>
      <c r="B1086" s="6" t="s">
        <v>1914</v>
      </c>
      <c r="C1086" s="1">
        <f t="shared" si="123"/>
        <v>1080</v>
      </c>
      <c r="D1086" s="1">
        <f>VLOOKUP(B1086,rq_evidence_review!$B$1:$L$55,7,FALSE)</f>
        <v>109</v>
      </c>
      <c r="E1086" s="8" t="s">
        <v>1336</v>
      </c>
      <c r="H1086" s="1" t="str">
        <f t="shared" si="118"/>
        <v>Kollmann</v>
      </c>
      <c r="I1086" s="1" t="str">
        <f t="shared" si="120"/>
        <v>2021</v>
      </c>
      <c r="J1086" s="1" t="str">
        <f t="shared" si="119"/>
        <v>Kollmann et al., 2021</v>
      </c>
      <c r="K1086" s="1" t="str">
        <f t="shared" si="121"/>
        <v>10.3390/jcm10030537</v>
      </c>
      <c r="L1086" s="1" t="str">
        <f t="shared" si="122"/>
        <v/>
      </c>
    </row>
    <row r="1087" spans="1:12" ht="30" hidden="1" x14ac:dyDescent="0.25">
      <c r="A1087" s="1">
        <f>INDEX(rq_evidence_review!A:A, MATCH(B1087, rq_evidence_review!B:B, 0))</f>
        <v>4</v>
      </c>
      <c r="B1087" s="6" t="s">
        <v>1914</v>
      </c>
      <c r="C1087" s="1">
        <f t="shared" si="123"/>
        <v>1081</v>
      </c>
      <c r="D1087" s="1">
        <f>VLOOKUP(B1087,rq_evidence_review!$B$1:$L$55,7,FALSE)</f>
        <v>109</v>
      </c>
      <c r="E1087" s="8" t="s">
        <v>1337</v>
      </c>
      <c r="H1087" s="1" t="str">
        <f t="shared" si="118"/>
        <v>Lin</v>
      </c>
      <c r="I1087" s="1" t="str">
        <f t="shared" si="120"/>
        <v>2021</v>
      </c>
      <c r="J1087" s="1" t="str">
        <f t="shared" si="119"/>
        <v>Lin et al., 2021</v>
      </c>
      <c r="K1087" s="1" t="str">
        <f t="shared" si="121"/>
        <v>10.1016/j.fertnstert.2020.08.1435</v>
      </c>
      <c r="L1087" s="1" t="str">
        <f t="shared" si="122"/>
        <v/>
      </c>
    </row>
    <row r="1088" spans="1:12" ht="30" hidden="1" x14ac:dyDescent="0.25">
      <c r="A1088" s="1">
        <f>INDEX(rq_evidence_review!A:A, MATCH(B1088, rq_evidence_review!B:B, 0))</f>
        <v>4</v>
      </c>
      <c r="B1088" s="6" t="s">
        <v>1914</v>
      </c>
      <c r="C1088" s="1">
        <f t="shared" si="123"/>
        <v>1082</v>
      </c>
      <c r="D1088" s="1">
        <f>VLOOKUP(B1088,rq_evidence_review!$B$1:$L$55,7,FALSE)</f>
        <v>109</v>
      </c>
      <c r="E1088" s="8" t="s">
        <v>1338</v>
      </c>
      <c r="H1088" s="1" t="str">
        <f t="shared" si="118"/>
        <v>Liu</v>
      </c>
      <c r="I1088" s="1" t="str">
        <f t="shared" si="120"/>
        <v>2021</v>
      </c>
      <c r="J1088" s="1" t="str">
        <f t="shared" si="119"/>
        <v>Liu et al., 2021</v>
      </c>
      <c r="K1088" s="1" t="str">
        <f t="shared" si="121"/>
        <v>10.1007/s10815-020-02014-y</v>
      </c>
      <c r="L1088" s="1" t="str">
        <f t="shared" si="122"/>
        <v/>
      </c>
    </row>
    <row r="1089" spans="1:12" ht="30" hidden="1" x14ac:dyDescent="0.25">
      <c r="A1089" s="1">
        <f>INDEX(rq_evidence_review!A:A, MATCH(B1089, rq_evidence_review!B:B, 0))</f>
        <v>4</v>
      </c>
      <c r="B1089" s="6" t="s">
        <v>1914</v>
      </c>
      <c r="C1089" s="1">
        <f t="shared" si="123"/>
        <v>1083</v>
      </c>
      <c r="D1089" s="1">
        <f>VLOOKUP(B1089,rq_evidence_review!$B$1:$L$55,7,FALSE)</f>
        <v>109</v>
      </c>
      <c r="E1089" s="8" t="s">
        <v>1339</v>
      </c>
      <c r="H1089" s="1" t="str">
        <f t="shared" si="118"/>
        <v>Liu</v>
      </c>
      <c r="I1089" s="1" t="str">
        <f t="shared" si="120"/>
        <v>2021</v>
      </c>
      <c r="J1089" s="1" t="str">
        <f t="shared" si="119"/>
        <v>Liu et al., 2021</v>
      </c>
      <c r="K1089" s="1" t="str">
        <f t="shared" si="121"/>
        <v>10.2147/IJGM.S334666</v>
      </c>
      <c r="L1089" s="1" t="str">
        <f t="shared" si="122"/>
        <v/>
      </c>
    </row>
    <row r="1090" spans="1:12" ht="30" hidden="1" x14ac:dyDescent="0.25">
      <c r="A1090" s="1">
        <f>INDEX(rq_evidence_review!A:A, MATCH(B1090, rq_evidence_review!B:B, 0))</f>
        <v>4</v>
      </c>
      <c r="B1090" s="6" t="s">
        <v>1914</v>
      </c>
      <c r="C1090" s="1">
        <f t="shared" si="123"/>
        <v>1084</v>
      </c>
      <c r="D1090" s="1">
        <f>VLOOKUP(B1090,rq_evidence_review!$B$1:$L$55,7,FALSE)</f>
        <v>109</v>
      </c>
      <c r="E1090" s="8" t="s">
        <v>1340</v>
      </c>
      <c r="H1090" s="1" t="str">
        <f t="shared" si="118"/>
        <v>Mai</v>
      </c>
      <c r="I1090" s="1" t="str">
        <f t="shared" si="120"/>
        <v>2021</v>
      </c>
      <c r="J1090" s="1" t="str">
        <f t="shared" si="119"/>
        <v>Mai et al., 2021</v>
      </c>
      <c r="K1090" s="1" t="str">
        <f t="shared" si="121"/>
        <v>10.3389/fendo.2021.724333</v>
      </c>
      <c r="L1090" s="1" t="str">
        <f t="shared" si="122"/>
        <v/>
      </c>
    </row>
    <row r="1091" spans="1:12" ht="30" hidden="1" x14ac:dyDescent="0.25">
      <c r="A1091" s="1">
        <f>INDEX(rq_evidence_review!A:A, MATCH(B1091, rq_evidence_review!B:B, 0))</f>
        <v>4</v>
      </c>
      <c r="B1091" s="6" t="s">
        <v>1914</v>
      </c>
      <c r="C1091" s="1">
        <f t="shared" si="123"/>
        <v>1085</v>
      </c>
      <c r="D1091" s="1">
        <f>VLOOKUP(B1091,rq_evidence_review!$B$1:$L$55,7,FALSE)</f>
        <v>109</v>
      </c>
      <c r="E1091" s="8" t="s">
        <v>1341</v>
      </c>
      <c r="H1091" s="1" t="str">
        <f t="shared" si="118"/>
        <v>Pouya</v>
      </c>
      <c r="I1091" s="1" t="str">
        <f t="shared" si="120"/>
        <v>2021</v>
      </c>
      <c r="J1091" s="1" t="str">
        <f t="shared" si="119"/>
        <v>Pouya et al., 2021</v>
      </c>
      <c r="K1091" s="1" t="str">
        <f t="shared" si="121"/>
        <v>10.1016/j.jogoh.2021.102120</v>
      </c>
      <c r="L1091" s="1" t="str">
        <f t="shared" si="122"/>
        <v/>
      </c>
    </row>
    <row r="1092" spans="1:12" ht="30" hidden="1" x14ac:dyDescent="0.25">
      <c r="A1092" s="1">
        <f>INDEX(rq_evidence_review!A:A, MATCH(B1092, rq_evidence_review!B:B, 0))</f>
        <v>4</v>
      </c>
      <c r="B1092" s="6" t="s">
        <v>1914</v>
      </c>
      <c r="C1092" s="1">
        <f t="shared" si="123"/>
        <v>1086</v>
      </c>
      <c r="D1092" s="1">
        <f>VLOOKUP(B1092,rq_evidence_review!$B$1:$L$55,7,FALSE)</f>
        <v>109</v>
      </c>
      <c r="E1092" s="8" t="s">
        <v>1342</v>
      </c>
      <c r="H1092" s="1" t="str">
        <f t="shared" si="118"/>
        <v>Wang</v>
      </c>
      <c r="I1092" s="1" t="str">
        <f t="shared" si="120"/>
        <v>2021</v>
      </c>
      <c r="J1092" s="1" t="str">
        <f t="shared" si="119"/>
        <v>Wang et al., 2021</v>
      </c>
      <c r="K1092" s="1" t="str">
        <f t="shared" si="121"/>
        <v>10.29271/jcpsp.2021.10.1186</v>
      </c>
      <c r="L1092" s="1" t="str">
        <f t="shared" si="122"/>
        <v/>
      </c>
    </row>
    <row r="1093" spans="1:12" ht="45" hidden="1" x14ac:dyDescent="0.25">
      <c r="A1093" s="1">
        <f>INDEX(rq_evidence_review!A:A, MATCH(B1093, rq_evidence_review!B:B, 0))</f>
        <v>4</v>
      </c>
      <c r="B1093" s="6" t="s">
        <v>1914</v>
      </c>
      <c r="C1093" s="1">
        <f t="shared" si="123"/>
        <v>1087</v>
      </c>
      <c r="D1093" s="1">
        <f>VLOOKUP(B1093,rq_evidence_review!$B$1:$L$55,7,FALSE)</f>
        <v>109</v>
      </c>
      <c r="E1093" s="8" t="s">
        <v>1343</v>
      </c>
      <c r="H1093" s="1" t="str">
        <f t="shared" si="118"/>
        <v>Wu</v>
      </c>
      <c r="I1093" s="1" t="str">
        <f t="shared" si="120"/>
        <v>2021</v>
      </c>
      <c r="J1093" s="1" t="str">
        <f t="shared" si="119"/>
        <v>Wu et al., 2021</v>
      </c>
      <c r="K1093" s="1" t="str">
        <f t="shared" si="121"/>
        <v>10.1080/01443615.2020.1819212</v>
      </c>
      <c r="L1093" s="1" t="str">
        <f t="shared" si="122"/>
        <v/>
      </c>
    </row>
    <row r="1094" spans="1:12" ht="30" hidden="1" x14ac:dyDescent="0.25">
      <c r="A1094" s="1">
        <f>INDEX(rq_evidence_review!A:A, MATCH(B1094, rq_evidence_review!B:B, 0))</f>
        <v>4</v>
      </c>
      <c r="B1094" s="6" t="s">
        <v>1914</v>
      </c>
      <c r="C1094" s="1">
        <f t="shared" si="123"/>
        <v>1088</v>
      </c>
      <c r="D1094" s="1">
        <f>VLOOKUP(B1094,rq_evidence_review!$B$1:$L$55,7,FALSE)</f>
        <v>109</v>
      </c>
      <c r="E1094" s="8" t="s">
        <v>1344</v>
      </c>
      <c r="H1094" s="1" t="str">
        <f t="shared" si="118"/>
        <v>Zhu</v>
      </c>
      <c r="I1094" s="1" t="str">
        <f t="shared" si="120"/>
        <v>2021</v>
      </c>
      <c r="J1094" s="1" t="str">
        <f t="shared" si="119"/>
        <v>Zhu et al., 2021</v>
      </c>
      <c r="K1094" s="1" t="str">
        <f t="shared" si="121"/>
        <v>10.1016/j.repbio.2021.100540</v>
      </c>
      <c r="L1094" s="1" t="str">
        <f t="shared" si="122"/>
        <v/>
      </c>
    </row>
    <row r="1095" spans="1:12" ht="30" hidden="1" x14ac:dyDescent="0.25">
      <c r="A1095" s="1">
        <f>INDEX(rq_evidence_review!A:A, MATCH(B1095, rq_evidence_review!B:B, 0))</f>
        <v>4</v>
      </c>
      <c r="B1095" s="6" t="s">
        <v>1914</v>
      </c>
      <c r="C1095" s="1">
        <f t="shared" si="123"/>
        <v>1089</v>
      </c>
      <c r="D1095" s="1">
        <f>VLOOKUP(B1095,rq_evidence_review!$B$1:$L$55,7,FALSE)</f>
        <v>109</v>
      </c>
      <c r="E1095" s="8" t="s">
        <v>1345</v>
      </c>
      <c r="H1095" s="1" t="str">
        <f t="shared" si="118"/>
        <v>Liu</v>
      </c>
      <c r="I1095" s="1" t="str">
        <f t="shared" si="120"/>
        <v>2022</v>
      </c>
      <c r="J1095" s="1" t="str">
        <f t="shared" si="119"/>
        <v>Liu et al., 2022</v>
      </c>
      <c r="K1095" s="1" t="str">
        <f t="shared" si="121"/>
        <v>10.1080/01443615.2021.1931066</v>
      </c>
      <c r="L1095" s="1" t="str">
        <f t="shared" si="122"/>
        <v/>
      </c>
    </row>
    <row r="1096" spans="1:12" ht="30" hidden="1" x14ac:dyDescent="0.25">
      <c r="A1096" s="1">
        <f>INDEX(rq_evidence_review!A:A, MATCH(B1096, rq_evidence_review!B:B, 0))</f>
        <v>4</v>
      </c>
      <c r="B1096" s="6" t="s">
        <v>1914</v>
      </c>
      <c r="C1096" s="1">
        <f t="shared" si="123"/>
        <v>1090</v>
      </c>
      <c r="D1096" s="1">
        <f>VLOOKUP(B1096,rq_evidence_review!$B$1:$L$55,7,FALSE)</f>
        <v>109</v>
      </c>
      <c r="E1096" s="8" t="s">
        <v>1346</v>
      </c>
      <c r="H1096" s="1" t="str">
        <f t="shared" si="118"/>
        <v>Ni</v>
      </c>
      <c r="I1096" s="1" t="str">
        <f t="shared" si="120"/>
        <v>2022</v>
      </c>
      <c r="J1096" s="1" t="str">
        <f t="shared" si="119"/>
        <v>Ni et al., 2022</v>
      </c>
      <c r="K1096" s="1" t="str">
        <f t="shared" si="121"/>
        <v>10.3389/fendo.2022.878853</v>
      </c>
      <c r="L1096" s="1" t="str">
        <f t="shared" si="122"/>
        <v/>
      </c>
    </row>
    <row r="1097" spans="1:12" ht="30" hidden="1" x14ac:dyDescent="0.25">
      <c r="A1097" s="1">
        <f>INDEX(rq_evidence_review!A:A, MATCH(B1097, rq_evidence_review!B:B, 0))</f>
        <v>4</v>
      </c>
      <c r="B1097" s="6" t="s">
        <v>1914</v>
      </c>
      <c r="C1097" s="1">
        <f t="shared" si="123"/>
        <v>1091</v>
      </c>
      <c r="D1097" s="1">
        <f>VLOOKUP(B1097,rq_evidence_review!$B$1:$L$55,7,FALSE)</f>
        <v>109</v>
      </c>
      <c r="E1097" s="8" t="s">
        <v>1347</v>
      </c>
      <c r="H1097" s="1" t="str">
        <f t="shared" si="118"/>
        <v>Song</v>
      </c>
      <c r="I1097" s="1" t="str">
        <f t="shared" si="120"/>
        <v>2022</v>
      </c>
      <c r="J1097" s="1" t="str">
        <f t="shared" si="119"/>
        <v>Song et al., 2022</v>
      </c>
      <c r="K1097" s="1" t="str">
        <f t="shared" si="121"/>
        <v>10.1080/09513590.2021.1952976</v>
      </c>
      <c r="L1097" s="1" t="str">
        <f t="shared" si="122"/>
        <v/>
      </c>
    </row>
    <row r="1098" spans="1:12" ht="30" hidden="1" x14ac:dyDescent="0.25">
      <c r="A1098" s="1">
        <f>INDEX(rq_evidence_review!A:A, MATCH(B1098, rq_evidence_review!B:B, 0))</f>
        <v>4</v>
      </c>
      <c r="B1098" s="6" t="s">
        <v>1914</v>
      </c>
      <c r="C1098" s="1">
        <f t="shared" si="123"/>
        <v>1092</v>
      </c>
      <c r="D1098" s="1">
        <f>VLOOKUP(B1098,rq_evidence_review!$B$1:$L$55,7,FALSE)</f>
        <v>109</v>
      </c>
      <c r="E1098" s="8" t="s">
        <v>1348</v>
      </c>
      <c r="H1098" s="1" t="str">
        <f t="shared" si="118"/>
        <v>Stokkeland</v>
      </c>
      <c r="I1098" s="1" t="str">
        <f t="shared" si="120"/>
        <v>2022</v>
      </c>
      <c r="J1098" s="1" t="str">
        <f t="shared" si="119"/>
        <v>Stokkeland et al., 2022</v>
      </c>
      <c r="K1098" s="1" t="str">
        <f t="shared" si="121"/>
        <v>10.1210/clinem/dgab684</v>
      </c>
      <c r="L1098" s="1" t="str">
        <f t="shared" si="122"/>
        <v/>
      </c>
    </row>
    <row r="1099" spans="1:12" ht="30" hidden="1" x14ac:dyDescent="0.25">
      <c r="A1099" s="1">
        <f>INDEX(rq_evidence_review!A:A, MATCH(B1099, rq_evidence_review!B:B, 0))</f>
        <v>4</v>
      </c>
      <c r="B1099" s="6" t="s">
        <v>1914</v>
      </c>
      <c r="C1099" s="1">
        <f t="shared" si="123"/>
        <v>1093</v>
      </c>
      <c r="D1099" s="1">
        <f>VLOOKUP(B1099,rq_evidence_review!$B$1:$L$55,7,FALSE)</f>
        <v>109</v>
      </c>
      <c r="E1099" s="8" t="s">
        <v>1349</v>
      </c>
      <c r="H1099" s="1" t="str">
        <f t="shared" si="118"/>
        <v>Tu</v>
      </c>
      <c r="I1099" s="1" t="str">
        <f t="shared" si="120"/>
        <v>2022</v>
      </c>
      <c r="J1099" s="1" t="str">
        <f t="shared" si="119"/>
        <v>Tu et al., 2022</v>
      </c>
      <c r="K1099" s="1" t="str">
        <f t="shared" si="121"/>
        <v>10.3389/fendo.2022.825431</v>
      </c>
      <c r="L1099" s="1" t="str">
        <f t="shared" si="122"/>
        <v/>
      </c>
    </row>
    <row r="1100" spans="1:12" ht="30" hidden="1" x14ac:dyDescent="0.25">
      <c r="A1100" s="1">
        <f>INDEX(rq_evidence_review!A:A, MATCH(B1100, rq_evidence_review!B:B, 0))</f>
        <v>4</v>
      </c>
      <c r="B1100" s="6" t="s">
        <v>1914</v>
      </c>
      <c r="C1100" s="1">
        <f t="shared" si="123"/>
        <v>1094</v>
      </c>
      <c r="D1100" s="1">
        <f>VLOOKUP(B1100,rq_evidence_review!$B$1:$L$55,7,FALSE)</f>
        <v>109</v>
      </c>
      <c r="E1100" s="8" t="s">
        <v>1350</v>
      </c>
      <c r="H1100" s="1" t="str">
        <f t="shared" si="118"/>
        <v>Wang</v>
      </c>
      <c r="I1100" s="1" t="str">
        <f t="shared" si="120"/>
        <v>2022</v>
      </c>
      <c r="J1100" s="1" t="str">
        <f t="shared" si="119"/>
        <v>Wang et al., 2022</v>
      </c>
      <c r="K1100" s="1" t="str">
        <f t="shared" si="121"/>
        <v>10.3389/fendo.2022.889029</v>
      </c>
      <c r="L1100" s="1" t="str">
        <f t="shared" si="122"/>
        <v/>
      </c>
    </row>
    <row r="1101" spans="1:12" ht="45" hidden="1" x14ac:dyDescent="0.25">
      <c r="A1101" s="1">
        <f>INDEX(rq_evidence_review!A:A, MATCH(B1101, rq_evidence_review!B:B, 0))</f>
        <v>4</v>
      </c>
      <c r="B1101" s="6" t="s">
        <v>1914</v>
      </c>
      <c r="C1101" s="1">
        <f t="shared" si="123"/>
        <v>1095</v>
      </c>
      <c r="D1101" s="1">
        <f>VLOOKUP(B1101,rq_evidence_review!$B$1:$L$55,7,FALSE)</f>
        <v>109</v>
      </c>
      <c r="E1101" s="8" t="s">
        <v>1351</v>
      </c>
      <c r="H1101" s="1" t="str">
        <f t="shared" si="118"/>
        <v>Yang</v>
      </c>
      <c r="I1101" s="1" t="str">
        <f t="shared" si="120"/>
        <v>2022</v>
      </c>
      <c r="J1101" s="1" t="str">
        <f t="shared" si="119"/>
        <v>Yang et al., 2022</v>
      </c>
      <c r="K1101" s="1" t="str">
        <f t="shared" si="121"/>
        <v>10.3389/fendo.2022.880518</v>
      </c>
      <c r="L1101" s="1" t="str">
        <f t="shared" si="122"/>
        <v/>
      </c>
    </row>
    <row r="1102" spans="1:12" ht="30" hidden="1" x14ac:dyDescent="0.25">
      <c r="A1102" s="1">
        <f>INDEX(rq_evidence_review!A:A, MATCH(B1102, rq_evidence_review!B:B, 0))</f>
        <v>4</v>
      </c>
      <c r="B1102" s="6">
        <f>rq_evidence_review!B40</f>
        <v>4.1100000000000003</v>
      </c>
      <c r="C1102" s="1">
        <f t="shared" ref="C1102:C1165" si="124">C1101+1</f>
        <v>1096</v>
      </c>
      <c r="D1102" s="1">
        <f>VLOOKUP(B1102,rq_evidence_review!$B$1:$L$55,7,FALSE)</f>
        <v>7</v>
      </c>
      <c r="E1102" s="8" t="s">
        <v>1352</v>
      </c>
      <c r="H1102" s="1" t="str">
        <f t="shared" si="118"/>
        <v>Løvvik TS</v>
      </c>
      <c r="I1102" s="1" t="str">
        <f t="shared" si="120"/>
        <v>2019</v>
      </c>
      <c r="J1102" s="1" t="str">
        <f t="shared" si="119"/>
        <v>Løvvik TS et al., 2019</v>
      </c>
      <c r="K1102" s="1" t="str">
        <f t="shared" si="121"/>
        <v>10.1016/S2213-8587(19)30002-6</v>
      </c>
      <c r="L1102" s="1" t="str">
        <f t="shared" si="122"/>
        <v/>
      </c>
    </row>
    <row r="1103" spans="1:12" ht="30" hidden="1" x14ac:dyDescent="0.25">
      <c r="A1103" s="1">
        <f>INDEX(rq_evidence_review!A:A, MATCH(B1103, rq_evidence_review!B:B, 0))</f>
        <v>4</v>
      </c>
      <c r="B1103" s="6">
        <v>4.1100000000000003</v>
      </c>
      <c r="C1103" s="1">
        <f t="shared" si="124"/>
        <v>1097</v>
      </c>
      <c r="D1103" s="1">
        <f>VLOOKUP(B1103,rq_evidence_review!$B$1:$L$55,7,FALSE)</f>
        <v>7</v>
      </c>
      <c r="E1103" s="8" t="s">
        <v>1353</v>
      </c>
      <c r="H1103" s="1" t="str">
        <f t="shared" si="118"/>
        <v>Morin-Papunen L</v>
      </c>
      <c r="I1103" s="1" t="str">
        <f t="shared" si="120"/>
        <v>2012</v>
      </c>
      <c r="J1103" s="1" t="str">
        <f t="shared" si="119"/>
        <v>Morin-Papunen L et al., 2012</v>
      </c>
      <c r="K1103" s="1" t="str">
        <f t="shared" si="121"/>
        <v>10.1210/jc.2011-3061</v>
      </c>
      <c r="L1103" s="1" t="str">
        <f t="shared" si="122"/>
        <v/>
      </c>
    </row>
    <row r="1104" spans="1:12" ht="30" hidden="1" x14ac:dyDescent="0.25">
      <c r="A1104" s="1">
        <f>INDEX(rq_evidence_review!A:A, MATCH(B1104, rq_evidence_review!B:B, 0))</f>
        <v>4</v>
      </c>
      <c r="B1104" s="6">
        <v>4.1100000000000003</v>
      </c>
      <c r="C1104" s="1">
        <f t="shared" si="124"/>
        <v>1098</v>
      </c>
      <c r="D1104" s="1">
        <f>VLOOKUP(B1104,rq_evidence_review!$B$1:$L$55,7,FALSE)</f>
        <v>7</v>
      </c>
      <c r="E1104" s="8" t="s">
        <v>1354</v>
      </c>
      <c r="H1104" s="1" t="str">
        <f t="shared" si="118"/>
        <v>Vanky E</v>
      </c>
      <c r="I1104" s="1" t="str">
        <f t="shared" si="120"/>
        <v>2004</v>
      </c>
      <c r="J1104" s="1" t="str">
        <f t="shared" si="119"/>
        <v>Vanky E et al., 2004</v>
      </c>
      <c r="K1104" s="1" t="str">
        <f t="shared" si="121"/>
        <v>10.1093/humrep/deh347</v>
      </c>
      <c r="L1104" s="1" t="str">
        <f t="shared" si="122"/>
        <v/>
      </c>
    </row>
    <row r="1105" spans="1:15" ht="30" hidden="1" x14ac:dyDescent="0.25">
      <c r="A1105" s="1">
        <f>INDEX(rq_evidence_review!A:A, MATCH(B1105, rq_evidence_review!B:B, 0))</f>
        <v>4</v>
      </c>
      <c r="B1105" s="6">
        <v>4.1100000000000003</v>
      </c>
      <c r="C1105" s="1">
        <f t="shared" si="124"/>
        <v>1099</v>
      </c>
      <c r="D1105" s="1">
        <f>VLOOKUP(B1105,rq_evidence_review!$B$1:$L$55,7,FALSE)</f>
        <v>7</v>
      </c>
      <c r="E1105" s="8" t="s">
        <v>1355</v>
      </c>
      <c r="H1105" s="1" t="str">
        <f t="shared" si="118"/>
        <v>Vanky E</v>
      </c>
      <c r="I1105" s="1" t="str">
        <f t="shared" si="120"/>
        <v>2010</v>
      </c>
      <c r="J1105" s="1" t="str">
        <f t="shared" si="119"/>
        <v>Vanky E et al., 2010</v>
      </c>
      <c r="K1105" s="1" t="str">
        <f t="shared" si="121"/>
        <v>10.1210/jc.2010-0853</v>
      </c>
      <c r="L1105" s="1" t="str">
        <f t="shared" si="122"/>
        <v/>
      </c>
    </row>
    <row r="1106" spans="1:15" ht="45" hidden="1" x14ac:dyDescent="0.25">
      <c r="A1106" s="1">
        <f>INDEX(rq_evidence_review!A:A, MATCH(B1106, rq_evidence_review!B:B, 0))</f>
        <v>4</v>
      </c>
      <c r="B1106" s="6">
        <v>4.1100000000000003</v>
      </c>
      <c r="C1106" s="1">
        <f t="shared" si="124"/>
        <v>1100</v>
      </c>
      <c r="D1106" s="1">
        <f>VLOOKUP(B1106,rq_evidence_review!$B$1:$L$55,7,FALSE)</f>
        <v>7</v>
      </c>
      <c r="E1106" s="8" t="s">
        <v>1356</v>
      </c>
      <c r="H1106" s="1" t="str">
        <f t="shared" si="118"/>
        <v>Zolghadri J</v>
      </c>
      <c r="I1106" s="1" t="str">
        <f t="shared" si="120"/>
        <v>2008</v>
      </c>
      <c r="J1106" s="1" t="str">
        <f t="shared" si="119"/>
        <v>Zolghadri J et al., 2008</v>
      </c>
      <c r="K1106" s="1" t="str">
        <f t="shared" si="121"/>
        <v>10.1016/j.fertnstert.2007.06.079</v>
      </c>
      <c r="L1106" s="1" t="str">
        <f t="shared" si="122"/>
        <v/>
      </c>
    </row>
    <row r="1107" spans="1:15" ht="30" hidden="1" x14ac:dyDescent="0.25">
      <c r="A1107" s="1">
        <f>INDEX(rq_evidence_review!A:A, MATCH(B1107, rq_evidence_review!B:B, 0))</f>
        <v>4</v>
      </c>
      <c r="B1107" s="6">
        <v>4.1100000000000003</v>
      </c>
      <c r="C1107" s="1">
        <f t="shared" si="124"/>
        <v>1101</v>
      </c>
      <c r="D1107" s="1">
        <f>VLOOKUP(B1107,rq_evidence_review!$B$1:$L$55,7,FALSE)</f>
        <v>7</v>
      </c>
      <c r="E1107" s="8" t="s">
        <v>1357</v>
      </c>
      <c r="H1107" s="1" t="str">
        <f t="shared" si="118"/>
        <v>Begum MR</v>
      </c>
      <c r="I1107" s="1" t="str">
        <f t="shared" si="120"/>
        <v>2009</v>
      </c>
      <c r="J1107" s="1" t="str">
        <f t="shared" si="119"/>
        <v>Begum MR et al., 2009</v>
      </c>
      <c r="K1107" s="1" t="str">
        <f t="shared" si="121"/>
        <v>10.1111/j.1447-0756.2008.00876.x</v>
      </c>
      <c r="L1107" s="1" t="str">
        <f t="shared" si="122"/>
        <v/>
      </c>
    </row>
    <row r="1108" spans="1:15" ht="30" hidden="1" x14ac:dyDescent="0.25">
      <c r="A1108" s="1">
        <f>INDEX(rq_evidence_review!A:A, MATCH(B1108, rq_evidence_review!B:B, 0))</f>
        <v>4</v>
      </c>
      <c r="B1108" s="6">
        <v>4.1100000000000003</v>
      </c>
      <c r="C1108" s="1">
        <f t="shared" si="124"/>
        <v>1102</v>
      </c>
      <c r="D1108" s="1">
        <f>VLOOKUP(B1108,rq_evidence_review!$B$1:$L$55,7,FALSE)</f>
        <v>7</v>
      </c>
      <c r="E1108" s="8" t="s">
        <v>1358</v>
      </c>
      <c r="H1108" s="1" t="str">
        <f t="shared" si="118"/>
        <v>Jamal A</v>
      </c>
      <c r="I1108" s="1" t="str">
        <f t="shared" si="120"/>
        <v>2012</v>
      </c>
      <c r="J1108" s="1" t="str">
        <f t="shared" si="119"/>
        <v>Jamal A et al., 2012</v>
      </c>
      <c r="K1108" s="1" t="str">
        <f t="shared" si="121"/>
        <v/>
      </c>
      <c r="L1108" s="1">
        <v>25243003</v>
      </c>
      <c r="M1108" s="1" t="s">
        <v>1835</v>
      </c>
      <c r="N1108" s="1">
        <v>18878695</v>
      </c>
    </row>
    <row r="1109" spans="1:15" ht="30" hidden="1" x14ac:dyDescent="0.25">
      <c r="A1109" s="1">
        <f>INDEX(rq_evidence_review!A:A, MATCH(B1109, rq_evidence_review!B:B, 0))</f>
        <v>5</v>
      </c>
      <c r="B1109" s="6">
        <f>rq_evidence_review!B41</f>
        <v>5.0999999999999996</v>
      </c>
      <c r="C1109" s="1">
        <f t="shared" si="124"/>
        <v>1103</v>
      </c>
      <c r="D1109" s="1">
        <f>VLOOKUP(B1109,rq_evidence_review!$B$1:$L$55,7,FALSE)</f>
        <v>65</v>
      </c>
      <c r="E1109" s="8" t="s">
        <v>789</v>
      </c>
      <c r="H1109" s="1" t="str">
        <f t="shared" si="118"/>
        <v>Abu-Fakher B</v>
      </c>
      <c r="I1109" s="1" t="str">
        <f t="shared" si="120"/>
        <v>2013</v>
      </c>
      <c r="J1109" s="1" t="str">
        <f t="shared" si="119"/>
        <v>Abu-Fakher B et al., 2013</v>
      </c>
      <c r="K1109" s="9" t="s">
        <v>1836</v>
      </c>
      <c r="L1109" s="1" t="str">
        <f t="shared" si="122"/>
        <v/>
      </c>
    </row>
    <row r="1110" spans="1:15" ht="30" hidden="1" x14ac:dyDescent="0.25">
      <c r="A1110" s="1">
        <f>INDEX(rq_evidence_review!A:A, MATCH(B1110, rq_evidence_review!B:B, 0))</f>
        <v>5</v>
      </c>
      <c r="B1110" s="6">
        <v>5.0999999999999996</v>
      </c>
      <c r="C1110" s="1">
        <f t="shared" si="124"/>
        <v>1104</v>
      </c>
      <c r="D1110" s="1">
        <f>VLOOKUP(B1110,rq_evidence_review!$B$1:$L$55,7,FALSE)</f>
        <v>65</v>
      </c>
      <c r="E1110" s="8" t="s">
        <v>790</v>
      </c>
      <c r="H1110" s="1" t="str">
        <f t="shared" si="118"/>
        <v>Akpınar F</v>
      </c>
      <c r="I1110" s="1" t="str">
        <f t="shared" si="120"/>
        <v>2014</v>
      </c>
      <c r="J1110" s="1" t="str">
        <f t="shared" si="119"/>
        <v>Akpınar F et al., 2014</v>
      </c>
      <c r="K1110" s="9" t="s">
        <v>1837</v>
      </c>
      <c r="L1110" s="1" t="str">
        <f t="shared" si="122"/>
        <v/>
      </c>
    </row>
    <row r="1111" spans="1:15" ht="30" hidden="1" x14ac:dyDescent="0.25">
      <c r="A1111" s="1">
        <f>INDEX(rq_evidence_review!A:A, MATCH(B1111, rq_evidence_review!B:B, 0))</f>
        <v>5</v>
      </c>
      <c r="B1111" s="6">
        <v>5.0999999999999996</v>
      </c>
      <c r="C1111" s="1">
        <f t="shared" si="124"/>
        <v>1105</v>
      </c>
      <c r="D1111" s="1">
        <f>VLOOKUP(B1111,rq_evidence_review!$B$1:$L$55,7,FALSE)</f>
        <v>65</v>
      </c>
      <c r="E1111" s="8" t="s">
        <v>791</v>
      </c>
      <c r="H1111" s="1" t="str">
        <f t="shared" si="118"/>
        <v>Al Safi WG</v>
      </c>
      <c r="I1111" s="1" t="str">
        <f t="shared" si="120"/>
        <v>2021</v>
      </c>
      <c r="J1111" s="1" t="str">
        <f t="shared" si="119"/>
        <v>Al Safi WG et al., 2021</v>
      </c>
      <c r="L1111" s="1" t="str">
        <f t="shared" si="122"/>
        <v/>
      </c>
      <c r="O1111" s="1" t="s">
        <v>1989</v>
      </c>
    </row>
    <row r="1112" spans="1:15" ht="30" hidden="1" x14ac:dyDescent="0.25">
      <c r="A1112" s="1">
        <f>INDEX(rq_evidence_review!A:A, MATCH(B1112, rq_evidence_review!B:B, 0))</f>
        <v>5</v>
      </c>
      <c r="B1112" s="6">
        <v>5.0999999999999996</v>
      </c>
      <c r="C1112" s="1">
        <f t="shared" si="124"/>
        <v>1106</v>
      </c>
      <c r="D1112" s="1">
        <f>VLOOKUP(B1112,rq_evidence_review!$B$1:$L$55,7,FALSE)</f>
        <v>65</v>
      </c>
      <c r="E1112" s="8" t="s">
        <v>792</v>
      </c>
      <c r="H1112" s="1" t="str">
        <f t="shared" si="118"/>
        <v>Al-Azemi M</v>
      </c>
      <c r="I1112" s="1" t="str">
        <f t="shared" si="120"/>
        <v>2004</v>
      </c>
      <c r="J1112" s="1" t="str">
        <f t="shared" si="119"/>
        <v>Al-Azemi M et al., 2004</v>
      </c>
      <c r="K1112" s="9" t="s">
        <v>1838</v>
      </c>
      <c r="L1112" s="1" t="str">
        <f t="shared" si="122"/>
        <v/>
      </c>
    </row>
    <row r="1113" spans="1:15" ht="30" hidden="1" x14ac:dyDescent="0.25">
      <c r="A1113" s="1">
        <f>INDEX(rq_evidence_review!A:A, MATCH(B1113, rq_evidence_review!B:B, 0))</f>
        <v>5</v>
      </c>
      <c r="B1113" s="6">
        <v>5.0999999999999996</v>
      </c>
      <c r="C1113" s="1">
        <f t="shared" si="124"/>
        <v>1107</v>
      </c>
      <c r="D1113" s="1">
        <f>VLOOKUP(B1113,rq_evidence_review!$B$1:$L$55,7,FALSE)</f>
        <v>65</v>
      </c>
      <c r="E1113" s="8" t="s">
        <v>793</v>
      </c>
      <c r="H1113" s="1" t="str">
        <f t="shared" si="118"/>
        <v>Aleyasin A</v>
      </c>
      <c r="I1113" s="1" t="str">
        <f t="shared" si="120"/>
        <v>2011</v>
      </c>
      <c r="J1113" s="1" t="str">
        <f t="shared" si="119"/>
        <v>Aleyasin A et al., 2011</v>
      </c>
      <c r="K1113" s="1" t="str">
        <f t="shared" si="121"/>
        <v/>
      </c>
      <c r="L1113" s="1">
        <v>22131240</v>
      </c>
      <c r="N1113" s="1">
        <v>42098596</v>
      </c>
    </row>
    <row r="1114" spans="1:15" ht="30" hidden="1" x14ac:dyDescent="0.25">
      <c r="A1114" s="1">
        <f>INDEX(rq_evidence_review!A:A, MATCH(B1114, rq_evidence_review!B:B, 0))</f>
        <v>5</v>
      </c>
      <c r="B1114" s="6">
        <v>5.0999999999999996</v>
      </c>
      <c r="C1114" s="1">
        <f t="shared" si="124"/>
        <v>1108</v>
      </c>
      <c r="D1114" s="1">
        <f>VLOOKUP(B1114,rq_evidence_review!$B$1:$L$55,7,FALSE)</f>
        <v>65</v>
      </c>
      <c r="E1114" s="8" t="s">
        <v>794</v>
      </c>
      <c r="H1114" s="1" t="str">
        <f t="shared" si="118"/>
        <v>Arabzadeh S</v>
      </c>
      <c r="I1114" s="1" t="str">
        <f t="shared" si="120"/>
        <v>2010</v>
      </c>
      <c r="J1114" s="1" t="str">
        <f t="shared" si="119"/>
        <v>Arabzadeh S et al., 2010</v>
      </c>
      <c r="K1114" s="9" t="s">
        <v>1839</v>
      </c>
      <c r="L1114" s="1" t="str">
        <f t="shared" si="122"/>
        <v/>
      </c>
    </row>
    <row r="1115" spans="1:15" ht="30" hidden="1" x14ac:dyDescent="0.25">
      <c r="A1115" s="1">
        <f>INDEX(rq_evidence_review!A:A, MATCH(B1115, rq_evidence_review!B:B, 0))</f>
        <v>5</v>
      </c>
      <c r="B1115" s="6">
        <v>5.0999999999999996</v>
      </c>
      <c r="C1115" s="1">
        <f t="shared" si="124"/>
        <v>1109</v>
      </c>
      <c r="D1115" s="1">
        <f>VLOOKUP(B1115,rq_evidence_review!$B$1:$L$55,7,FALSE)</f>
        <v>65</v>
      </c>
      <c r="E1115" s="8" t="s">
        <v>795</v>
      </c>
      <c r="H1115" s="1" t="str">
        <f t="shared" si="118"/>
        <v>Bailey AP</v>
      </c>
      <c r="I1115" s="1" t="str">
        <f t="shared" si="120"/>
        <v>2014</v>
      </c>
      <c r="J1115" s="1" t="str">
        <f t="shared" si="119"/>
        <v>Bailey AP et al., 2014</v>
      </c>
      <c r="K1115" s="9" t="s">
        <v>1840</v>
      </c>
      <c r="L1115" s="1" t="str">
        <f t="shared" si="122"/>
        <v/>
      </c>
    </row>
    <row r="1116" spans="1:15" ht="30" hidden="1" x14ac:dyDescent="0.25">
      <c r="A1116" s="1">
        <f>INDEX(rq_evidence_review!A:A, MATCH(B1116, rq_evidence_review!B:B, 0))</f>
        <v>5</v>
      </c>
      <c r="B1116" s="6">
        <v>5.0999999999999996</v>
      </c>
      <c r="C1116" s="1">
        <f t="shared" si="124"/>
        <v>1110</v>
      </c>
      <c r="D1116" s="1">
        <f>VLOOKUP(B1116,rq_evidence_review!$B$1:$L$55,7,FALSE)</f>
        <v>65</v>
      </c>
      <c r="E1116" s="8" t="s">
        <v>796</v>
      </c>
      <c r="H1116" s="1" t="str">
        <f t="shared" si="118"/>
        <v>Bakir VL</v>
      </c>
      <c r="I1116" s="1" t="str">
        <f t="shared" si="120"/>
        <v>2019</v>
      </c>
      <c r="J1116" s="1" t="str">
        <f t="shared" si="119"/>
        <v>Bakir VL et al., 2019</v>
      </c>
      <c r="K1116" s="9" t="s">
        <v>1841</v>
      </c>
      <c r="L1116" s="1" t="str">
        <f t="shared" si="122"/>
        <v/>
      </c>
    </row>
    <row r="1117" spans="1:15" ht="30" hidden="1" x14ac:dyDescent="0.25">
      <c r="A1117" s="1">
        <f>INDEX(rq_evidence_review!A:A, MATCH(B1117, rq_evidence_review!B:B, 0))</f>
        <v>5</v>
      </c>
      <c r="B1117" s="6">
        <v>5.0999999999999996</v>
      </c>
      <c r="C1117" s="1">
        <f t="shared" si="124"/>
        <v>1111</v>
      </c>
      <c r="D1117" s="1">
        <f>VLOOKUP(B1117,rq_evidence_review!$B$1:$L$55,7,FALSE)</f>
        <v>65</v>
      </c>
      <c r="E1117" s="8" t="s">
        <v>797</v>
      </c>
      <c r="H1117" s="1" t="str">
        <f t="shared" si="118"/>
        <v>Berker B</v>
      </c>
      <c r="I1117" s="1" t="str">
        <f t="shared" si="120"/>
        <v>2009</v>
      </c>
      <c r="J1117" s="1" t="str">
        <f t="shared" si="119"/>
        <v>Berker B et al., 2009</v>
      </c>
      <c r="K1117" s="9" t="s">
        <v>1842</v>
      </c>
      <c r="L1117" s="1" t="str">
        <f t="shared" si="122"/>
        <v/>
      </c>
    </row>
    <row r="1118" spans="1:15" ht="45" hidden="1" x14ac:dyDescent="0.25">
      <c r="A1118" s="1">
        <f>INDEX(rq_evidence_review!A:A, MATCH(B1118, rq_evidence_review!B:B, 0))</f>
        <v>5</v>
      </c>
      <c r="B1118" s="6">
        <v>5.0999999999999996</v>
      </c>
      <c r="C1118" s="1">
        <f t="shared" si="124"/>
        <v>1112</v>
      </c>
      <c r="D1118" s="1">
        <f>VLOOKUP(B1118,rq_evidence_review!$B$1:$L$55,7,FALSE)</f>
        <v>65</v>
      </c>
      <c r="E1118" s="8" t="s">
        <v>798</v>
      </c>
      <c r="H1118" s="1" t="str">
        <f t="shared" si="118"/>
        <v>Bousmpoula A</v>
      </c>
      <c r="I1118" s="1" t="str">
        <f t="shared" si="120"/>
        <v>2019</v>
      </c>
      <c r="J1118" s="1" t="str">
        <f t="shared" si="119"/>
        <v>Bousmpoula A et al., 2019</v>
      </c>
      <c r="K1118" s="9" t="s">
        <v>1843</v>
      </c>
      <c r="L1118" s="1" t="str">
        <f t="shared" si="122"/>
        <v/>
      </c>
    </row>
    <row r="1119" spans="1:15" ht="30" hidden="1" x14ac:dyDescent="0.25">
      <c r="A1119" s="1">
        <f>INDEX(rq_evidence_review!A:A, MATCH(B1119, rq_evidence_review!B:B, 0))</f>
        <v>5</v>
      </c>
      <c r="B1119" s="6">
        <v>5.0999999999999996</v>
      </c>
      <c r="C1119" s="1">
        <f t="shared" si="124"/>
        <v>1113</v>
      </c>
      <c r="D1119" s="1">
        <f>VLOOKUP(B1119,rq_evidence_review!$B$1:$L$55,7,FALSE)</f>
        <v>65</v>
      </c>
      <c r="E1119" s="8" t="s">
        <v>799</v>
      </c>
      <c r="H1119" s="1" t="str">
        <f t="shared" si="118"/>
        <v>Cakiroglu Y</v>
      </c>
      <c r="I1119" s="1" t="str">
        <f t="shared" si="120"/>
        <v>2016</v>
      </c>
      <c r="J1119" s="1" t="str">
        <f t="shared" si="119"/>
        <v>Cakiroglu Y et al., 2016</v>
      </c>
      <c r="K1119" s="9" t="s">
        <v>1844</v>
      </c>
      <c r="L1119" s="1" t="str">
        <f t="shared" si="122"/>
        <v/>
      </c>
    </row>
    <row r="1120" spans="1:15" ht="30" hidden="1" x14ac:dyDescent="0.25">
      <c r="A1120" s="1">
        <f>INDEX(rq_evidence_review!A:A, MATCH(B1120, rq_evidence_review!B:B, 0))</f>
        <v>5</v>
      </c>
      <c r="B1120" s="6">
        <v>5.0999999999999996</v>
      </c>
      <c r="C1120" s="1">
        <f t="shared" si="124"/>
        <v>1114</v>
      </c>
      <c r="D1120" s="1">
        <f>VLOOKUP(B1120,rq_evidence_review!$B$1:$L$55,7,FALSE)</f>
        <v>65</v>
      </c>
      <c r="E1120" s="8" t="s">
        <v>800</v>
      </c>
      <c r="H1120" s="1" t="str">
        <f t="shared" si="118"/>
        <v>Catak Z</v>
      </c>
      <c r="I1120" s="1" t="str">
        <f t="shared" si="120"/>
        <v>2019</v>
      </c>
      <c r="J1120" s="1" t="str">
        <f t="shared" si="119"/>
        <v>Catak Z et al., 2019</v>
      </c>
      <c r="K1120" s="1" t="str">
        <f t="shared" si="121"/>
        <v/>
      </c>
      <c r="L1120" s="1">
        <v>31897389</v>
      </c>
      <c r="M1120" s="1" t="s">
        <v>1845</v>
      </c>
      <c r="N1120" s="1">
        <v>204869967</v>
      </c>
    </row>
    <row r="1121" spans="1:12" ht="45" hidden="1" x14ac:dyDescent="0.25">
      <c r="A1121" s="1">
        <f>INDEX(rq_evidence_review!A:A, MATCH(B1121, rq_evidence_review!B:B, 0))</f>
        <v>5</v>
      </c>
      <c r="B1121" s="6">
        <v>5.0999999999999996</v>
      </c>
      <c r="C1121" s="1">
        <f t="shared" si="124"/>
        <v>1115</v>
      </c>
      <c r="D1121" s="1">
        <f>VLOOKUP(B1121,rq_evidence_review!$B$1:$L$55,7,FALSE)</f>
        <v>65</v>
      </c>
      <c r="E1121" s="8" t="s">
        <v>801</v>
      </c>
      <c r="H1121" s="1" t="str">
        <f t="shared" si="118"/>
        <v>Chen M</v>
      </c>
      <c r="I1121" s="1" t="str">
        <f t="shared" si="120"/>
        <v>2020</v>
      </c>
      <c r="J1121" s="1" t="str">
        <f t="shared" si="119"/>
        <v>Chen M et al., 2020</v>
      </c>
      <c r="K1121" s="9" t="s">
        <v>1846</v>
      </c>
      <c r="L1121" s="10">
        <v>32877771</v>
      </c>
    </row>
    <row r="1122" spans="1:12" ht="30" hidden="1" x14ac:dyDescent="0.25">
      <c r="A1122" s="1">
        <f>INDEX(rq_evidence_review!A:A, MATCH(B1122, rq_evidence_review!B:B, 0))</f>
        <v>5</v>
      </c>
      <c r="B1122" s="6">
        <v>5.0999999999999996</v>
      </c>
      <c r="C1122" s="1">
        <f t="shared" si="124"/>
        <v>1116</v>
      </c>
      <c r="D1122" s="1">
        <f>VLOOKUP(B1122,rq_evidence_review!$B$1:$L$55,7,FALSE)</f>
        <v>65</v>
      </c>
      <c r="E1122" s="8" t="s">
        <v>802</v>
      </c>
      <c r="H1122" s="1" t="str">
        <f t="shared" ref="H1122:H1185" si="125">LEFT(E1122, FIND(",", E1122) - 1)</f>
        <v>Chen R</v>
      </c>
      <c r="I1122" s="1" t="str">
        <f t="shared" si="120"/>
        <v>2018</v>
      </c>
      <c r="J1122" s="1" t="str">
        <f t="shared" ref="J1122:J1185" si="126">H1122 &amp; " et al., " &amp; I1122</f>
        <v>Chen R et al., 2018</v>
      </c>
      <c r="K1122" s="9" t="s">
        <v>1847</v>
      </c>
      <c r="L1122" s="10">
        <v>29636081</v>
      </c>
    </row>
    <row r="1123" spans="1:12" ht="30" hidden="1" x14ac:dyDescent="0.25">
      <c r="A1123" s="1">
        <f>INDEX(rq_evidence_review!A:A, MATCH(B1123, rq_evidence_review!B:B, 0))</f>
        <v>5</v>
      </c>
      <c r="B1123" s="6">
        <v>5.0999999999999996</v>
      </c>
      <c r="C1123" s="1">
        <f t="shared" si="124"/>
        <v>1117</v>
      </c>
      <c r="D1123" s="1">
        <f>VLOOKUP(B1123,rq_evidence_review!$B$1:$L$55,7,FALSE)</f>
        <v>65</v>
      </c>
      <c r="E1123" s="8" t="s">
        <v>803</v>
      </c>
      <c r="H1123" s="1" t="str">
        <f t="shared" si="125"/>
        <v>Fedorcsak P</v>
      </c>
      <c r="I1123" s="1" t="str">
        <f t="shared" ref="I1123:I1186" si="127">ExtractYear(E1123)</f>
        <v>2001</v>
      </c>
      <c r="J1123" s="1" t="str">
        <f t="shared" si="126"/>
        <v>Fedorcsak P et al., 2001</v>
      </c>
      <c r="K1123" s="9" t="s">
        <v>1848</v>
      </c>
    </row>
    <row r="1124" spans="1:12" ht="30" hidden="1" x14ac:dyDescent="0.25">
      <c r="A1124" s="1">
        <f>INDEX(rq_evidence_review!A:A, MATCH(B1124, rq_evidence_review!B:B, 0))</f>
        <v>5</v>
      </c>
      <c r="B1124" s="6">
        <v>5.0999999999999996</v>
      </c>
      <c r="C1124" s="1">
        <f t="shared" si="124"/>
        <v>1118</v>
      </c>
      <c r="D1124" s="1">
        <f>VLOOKUP(B1124,rq_evidence_review!$B$1:$L$55,7,FALSE)</f>
        <v>65</v>
      </c>
      <c r="E1124" s="8" t="s">
        <v>804</v>
      </c>
      <c r="H1124" s="1" t="str">
        <f t="shared" si="125"/>
        <v>Feng Y</v>
      </c>
      <c r="I1124" s="1" t="str">
        <f t="shared" si="127"/>
        <v>2022</v>
      </c>
      <c r="J1124" s="1" t="str">
        <f t="shared" si="126"/>
        <v>Feng Y et al., 2022</v>
      </c>
      <c r="K1124" s="9" t="s">
        <v>1849</v>
      </c>
      <c r="L1124" s="1" t="str">
        <f t="shared" ref="L1124:L1186" si="128">ExtractPMID(E1124)</f>
        <v/>
      </c>
    </row>
    <row r="1125" spans="1:12" ht="45" hidden="1" x14ac:dyDescent="0.25">
      <c r="A1125" s="1">
        <f>INDEX(rq_evidence_review!A:A, MATCH(B1125, rq_evidence_review!B:B, 0))</f>
        <v>5</v>
      </c>
      <c r="B1125" s="6">
        <v>5.0999999999999996</v>
      </c>
      <c r="C1125" s="1">
        <f t="shared" si="124"/>
        <v>1119</v>
      </c>
      <c r="D1125" s="1">
        <f>VLOOKUP(B1125,rq_evidence_review!$B$1:$L$55,7,FALSE)</f>
        <v>65</v>
      </c>
      <c r="E1125" s="8" t="s">
        <v>805</v>
      </c>
      <c r="H1125" s="1" t="str">
        <f t="shared" si="125"/>
        <v>Ganesh A</v>
      </c>
      <c r="I1125" s="1" t="str">
        <f t="shared" si="127"/>
        <v>2009</v>
      </c>
      <c r="J1125" s="1" t="str">
        <f t="shared" si="126"/>
        <v>Ganesh A et al., 2009</v>
      </c>
      <c r="K1125" s="9" t="s">
        <v>1850</v>
      </c>
      <c r="L1125" s="1" t="str">
        <f t="shared" si="128"/>
        <v/>
      </c>
    </row>
    <row r="1126" spans="1:12" ht="45" hidden="1" x14ac:dyDescent="0.25">
      <c r="A1126" s="1">
        <f>INDEX(rq_evidence_review!A:A, MATCH(B1126, rq_evidence_review!B:B, 0))</f>
        <v>5</v>
      </c>
      <c r="B1126" s="6">
        <v>5.0999999999999996</v>
      </c>
      <c r="C1126" s="1">
        <f t="shared" si="124"/>
        <v>1120</v>
      </c>
      <c r="D1126" s="1">
        <f>VLOOKUP(B1126,rq_evidence_review!$B$1:$L$55,7,FALSE)</f>
        <v>65</v>
      </c>
      <c r="E1126" s="8" t="s">
        <v>806</v>
      </c>
      <c r="H1126" s="1" t="str">
        <f t="shared" si="125"/>
        <v>Ghanem</v>
      </c>
      <c r="I1126" s="1" t="str">
        <f t="shared" si="127"/>
        <v>2013</v>
      </c>
      <c r="J1126" s="1" t="str">
        <f t="shared" si="126"/>
        <v>Ghanem et al., 2013</v>
      </c>
      <c r="K1126" s="1" t="str">
        <f>ExtractDOI(E1126)</f>
        <v>10.1007/s10815-013-0090-2</v>
      </c>
      <c r="L1126" s="1" t="str">
        <f t="shared" si="128"/>
        <v/>
      </c>
    </row>
    <row r="1127" spans="1:12" ht="30" hidden="1" x14ac:dyDescent="0.25">
      <c r="A1127" s="1">
        <f>INDEX(rq_evidence_review!A:A, MATCH(B1127, rq_evidence_review!B:B, 0))</f>
        <v>5</v>
      </c>
      <c r="B1127" s="6">
        <v>5.0999999999999996</v>
      </c>
      <c r="C1127" s="1">
        <f t="shared" si="124"/>
        <v>1121</v>
      </c>
      <c r="D1127" s="1">
        <f>VLOOKUP(B1127,rq_evidence_review!$B$1:$L$55,7,FALSE)</f>
        <v>65</v>
      </c>
      <c r="E1127" s="8" t="s">
        <v>807</v>
      </c>
      <c r="H1127" s="1" t="str">
        <f t="shared" si="125"/>
        <v>Guan HJ</v>
      </c>
      <c r="I1127" s="1" t="str">
        <f t="shared" si="127"/>
        <v>2021</v>
      </c>
      <c r="J1127" s="1" t="str">
        <f t="shared" si="126"/>
        <v>Guan HJ et al., 2021</v>
      </c>
      <c r="K1127" s="9" t="s">
        <v>1851</v>
      </c>
      <c r="L1127" s="1" t="str">
        <f t="shared" si="128"/>
        <v/>
      </c>
    </row>
    <row r="1128" spans="1:12" ht="30" hidden="1" x14ac:dyDescent="0.25">
      <c r="A1128" s="1">
        <f>INDEX(rq_evidence_review!A:A, MATCH(B1128, rq_evidence_review!B:B, 0))</f>
        <v>5</v>
      </c>
      <c r="B1128" s="6">
        <v>5.0999999999999996</v>
      </c>
      <c r="C1128" s="1">
        <f t="shared" si="124"/>
        <v>1122</v>
      </c>
      <c r="D1128" s="1">
        <f>VLOOKUP(B1128,rq_evidence_review!$B$1:$L$55,7,FALSE)</f>
        <v>65</v>
      </c>
      <c r="E1128" s="8" t="s">
        <v>808</v>
      </c>
      <c r="H1128" s="1" t="str">
        <f t="shared" si="125"/>
        <v>Guido M</v>
      </c>
      <c r="I1128" s="1" t="str">
        <f t="shared" si="127"/>
        <v>2003</v>
      </c>
      <c r="J1128" s="1" t="str">
        <f t="shared" si="126"/>
        <v>Guido M et al., 2003</v>
      </c>
      <c r="K1128" s="9" t="s">
        <v>1852</v>
      </c>
      <c r="L1128" s="1" t="str">
        <f t="shared" si="128"/>
        <v/>
      </c>
    </row>
    <row r="1129" spans="1:12" ht="30" hidden="1" x14ac:dyDescent="0.25">
      <c r="A1129" s="1">
        <f>INDEX(rq_evidence_review!A:A, MATCH(B1129, rq_evidence_review!B:B, 0))</f>
        <v>5</v>
      </c>
      <c r="B1129" s="6">
        <v>5.0999999999999996</v>
      </c>
      <c r="C1129" s="1">
        <f t="shared" si="124"/>
        <v>1123</v>
      </c>
      <c r="D1129" s="1">
        <f>VLOOKUP(B1129,rq_evidence_review!$B$1:$L$55,7,FALSE)</f>
        <v>65</v>
      </c>
      <c r="E1129" s="8" t="s">
        <v>809</v>
      </c>
      <c r="H1129" s="1" t="str">
        <f t="shared" si="125"/>
        <v>Hashimoto DM</v>
      </c>
      <c r="I1129" s="1" t="str">
        <f t="shared" si="127"/>
        <v>2003</v>
      </c>
      <c r="J1129" s="1" t="str">
        <f t="shared" si="126"/>
        <v>Hashimoto DM et al., 2003</v>
      </c>
      <c r="K1129" s="9" t="s">
        <v>1853</v>
      </c>
      <c r="L1129" s="1" t="str">
        <f t="shared" si="128"/>
        <v/>
      </c>
    </row>
    <row r="1130" spans="1:12" ht="30" hidden="1" x14ac:dyDescent="0.25">
      <c r="A1130" s="1">
        <f>INDEX(rq_evidence_review!A:A, MATCH(B1130, rq_evidence_review!B:B, 0))</f>
        <v>5</v>
      </c>
      <c r="B1130" s="6">
        <v>5.0999999999999996</v>
      </c>
      <c r="C1130" s="1">
        <f t="shared" si="124"/>
        <v>1124</v>
      </c>
      <c r="D1130" s="1">
        <f>VLOOKUP(B1130,rq_evidence_review!$B$1:$L$55,7,FALSE)</f>
        <v>65</v>
      </c>
      <c r="E1130" s="8" t="s">
        <v>810</v>
      </c>
      <c r="H1130" s="1" t="str">
        <f t="shared" si="125"/>
        <v>Hassani F</v>
      </c>
      <c r="I1130" s="1" t="str">
        <f t="shared" si="127"/>
        <v>2019</v>
      </c>
      <c r="J1130" s="1" t="str">
        <f t="shared" si="126"/>
        <v>Hassani F et al., 2019</v>
      </c>
      <c r="K1130" s="9" t="s">
        <v>1854</v>
      </c>
      <c r="L1130" s="1" t="str">
        <f t="shared" si="128"/>
        <v/>
      </c>
    </row>
    <row r="1131" spans="1:12" ht="30" hidden="1" x14ac:dyDescent="0.25">
      <c r="A1131" s="1">
        <f>INDEX(rq_evidence_review!A:A, MATCH(B1131, rq_evidence_review!B:B, 0))</f>
        <v>5</v>
      </c>
      <c r="B1131" s="6">
        <v>5.0999999999999996</v>
      </c>
      <c r="C1131" s="1">
        <f t="shared" si="124"/>
        <v>1125</v>
      </c>
      <c r="D1131" s="1">
        <f>VLOOKUP(B1131,rq_evidence_review!$B$1:$L$55,7,FALSE)</f>
        <v>65</v>
      </c>
      <c r="E1131" s="8" t="s">
        <v>811</v>
      </c>
      <c r="H1131" s="1" t="str">
        <f t="shared" si="125"/>
        <v>Ho VNA</v>
      </c>
      <c r="I1131" s="1" t="str">
        <f t="shared" si="127"/>
        <v>2018</v>
      </c>
      <c r="J1131" s="1" t="str">
        <f t="shared" si="126"/>
        <v>Ho VNA et al., 2018</v>
      </c>
      <c r="K1131" s="9" t="s">
        <v>1855</v>
      </c>
      <c r="L1131" s="1" t="str">
        <f t="shared" si="128"/>
        <v/>
      </c>
    </row>
    <row r="1132" spans="1:12" ht="30" hidden="1" x14ac:dyDescent="0.25">
      <c r="A1132" s="1">
        <f>INDEX(rq_evidence_review!A:A, MATCH(B1132, rq_evidence_review!B:B, 0))</f>
        <v>5</v>
      </c>
      <c r="B1132" s="6">
        <v>5.0999999999999996</v>
      </c>
      <c r="C1132" s="1">
        <f t="shared" si="124"/>
        <v>1126</v>
      </c>
      <c r="D1132" s="1">
        <f>VLOOKUP(B1132,rq_evidence_review!$B$1:$L$55,7,FALSE)</f>
        <v>65</v>
      </c>
      <c r="E1132" s="8" t="s">
        <v>812</v>
      </c>
      <c r="H1132" s="1" t="str">
        <f t="shared" si="125"/>
        <v>Huang Q</v>
      </c>
      <c r="I1132" s="1" t="str">
        <f t="shared" si="127"/>
        <v>2018</v>
      </c>
      <c r="J1132" s="1" t="str">
        <f t="shared" si="126"/>
        <v>Huang Q et al., 2018</v>
      </c>
      <c r="K1132" s="9" t="s">
        <v>1856</v>
      </c>
      <c r="L1132" s="10">
        <v>30142848</v>
      </c>
    </row>
    <row r="1133" spans="1:12" ht="30" hidden="1" x14ac:dyDescent="0.25">
      <c r="A1133" s="1">
        <f>INDEX(rq_evidence_review!A:A, MATCH(B1133, rq_evidence_review!B:B, 0))</f>
        <v>5</v>
      </c>
      <c r="B1133" s="6">
        <v>5.0999999999999996</v>
      </c>
      <c r="C1133" s="1">
        <f t="shared" si="124"/>
        <v>1127</v>
      </c>
      <c r="D1133" s="1">
        <f>VLOOKUP(B1133,rq_evidence_review!$B$1:$L$55,7,FALSE)</f>
        <v>65</v>
      </c>
      <c r="E1133" s="8" t="s">
        <v>813</v>
      </c>
      <c r="H1133" s="1" t="str">
        <f t="shared" si="125"/>
        <v>Hwang YI</v>
      </c>
      <c r="I1133" s="1" t="str">
        <f t="shared" si="127"/>
        <v>2016</v>
      </c>
      <c r="J1133" s="1" t="str">
        <f t="shared" si="126"/>
        <v>Hwang YI et al., 2016</v>
      </c>
      <c r="K1133" s="9" t="s">
        <v>1857</v>
      </c>
      <c r="L1133" s="1" t="str">
        <f t="shared" si="128"/>
        <v/>
      </c>
    </row>
    <row r="1134" spans="1:12" ht="30" hidden="1" x14ac:dyDescent="0.25">
      <c r="A1134" s="1">
        <f>INDEX(rq_evidence_review!A:A, MATCH(B1134, rq_evidence_review!B:B, 0))</f>
        <v>5</v>
      </c>
      <c r="B1134" s="6">
        <v>5.0999999999999996</v>
      </c>
      <c r="C1134" s="1">
        <f t="shared" si="124"/>
        <v>1128</v>
      </c>
      <c r="D1134" s="1">
        <f>VLOOKUP(B1134,rq_evidence_review!$B$1:$L$55,7,FALSE)</f>
        <v>65</v>
      </c>
      <c r="E1134" s="8" t="s">
        <v>814</v>
      </c>
      <c r="H1134" s="1" t="str">
        <f t="shared" si="125"/>
        <v>Inal HA</v>
      </c>
      <c r="I1134" s="1" t="str">
        <f t="shared" si="127"/>
        <v>2016</v>
      </c>
      <c r="J1134" s="1" t="str">
        <f t="shared" si="126"/>
        <v>Inal HA et al., 2016</v>
      </c>
      <c r="K1134" s="9" t="s">
        <v>1858</v>
      </c>
      <c r="L1134" s="1" t="str">
        <f t="shared" si="128"/>
        <v/>
      </c>
    </row>
    <row r="1135" spans="1:12" ht="30" hidden="1" x14ac:dyDescent="0.25">
      <c r="A1135" s="1">
        <f>INDEX(rq_evidence_review!A:A, MATCH(B1135, rq_evidence_review!B:B, 0))</f>
        <v>5</v>
      </c>
      <c r="B1135" s="6">
        <v>5.0999999999999996</v>
      </c>
      <c r="C1135" s="1">
        <f t="shared" si="124"/>
        <v>1129</v>
      </c>
      <c r="D1135" s="1">
        <f>VLOOKUP(B1135,rq_evidence_review!$B$1:$L$55,7,FALSE)</f>
        <v>65</v>
      </c>
      <c r="E1135" s="8" t="s">
        <v>815</v>
      </c>
      <c r="H1135" s="1" t="str">
        <f t="shared" si="125"/>
        <v>Inal ZO</v>
      </c>
      <c r="I1135" s="1" t="str">
        <f t="shared" si="127"/>
        <v>2018</v>
      </c>
      <c r="J1135" s="1" t="str">
        <f t="shared" si="126"/>
        <v>Inal ZO et al., 2018</v>
      </c>
      <c r="K1135" s="9" t="s">
        <v>1859</v>
      </c>
      <c r="L1135" s="1" t="str">
        <f t="shared" si="128"/>
        <v/>
      </c>
    </row>
    <row r="1136" spans="1:12" ht="30" hidden="1" x14ac:dyDescent="0.25">
      <c r="A1136" s="1">
        <f>INDEX(rq_evidence_review!A:A, MATCH(B1136, rq_evidence_review!B:B, 0))</f>
        <v>5</v>
      </c>
      <c r="B1136" s="6">
        <v>5.0999999999999996</v>
      </c>
      <c r="C1136" s="1">
        <f t="shared" si="124"/>
        <v>1130</v>
      </c>
      <c r="D1136" s="1">
        <f>VLOOKUP(B1136,rq_evidence_review!$B$1:$L$55,7,FALSE)</f>
        <v>65</v>
      </c>
      <c r="E1136" s="8" t="s">
        <v>816</v>
      </c>
      <c r="H1136" s="1" t="str">
        <f t="shared" si="125"/>
        <v>Janati S</v>
      </c>
      <c r="I1136" s="1" t="str">
        <f t="shared" si="127"/>
        <v>2021</v>
      </c>
      <c r="J1136" s="1" t="str">
        <f t="shared" si="126"/>
        <v>Janati S et al., 2021</v>
      </c>
      <c r="K1136" s="9" t="s">
        <v>1860</v>
      </c>
      <c r="L1136" s="1" t="str">
        <f t="shared" si="128"/>
        <v/>
      </c>
    </row>
    <row r="1137" spans="1:12" ht="30" hidden="1" x14ac:dyDescent="0.25">
      <c r="A1137" s="1">
        <f>INDEX(rq_evidence_review!A:A, MATCH(B1137, rq_evidence_review!B:B, 0))</f>
        <v>5</v>
      </c>
      <c r="B1137" s="6">
        <v>5.0999999999999996</v>
      </c>
      <c r="C1137" s="1">
        <f t="shared" si="124"/>
        <v>1131</v>
      </c>
      <c r="D1137" s="1">
        <f>VLOOKUP(B1137,rq_evidence_review!$B$1:$L$55,7,FALSE)</f>
        <v>65</v>
      </c>
      <c r="E1137" s="8" t="s">
        <v>817</v>
      </c>
      <c r="H1137" s="1" t="str">
        <f t="shared" si="125"/>
        <v>Jaschke N</v>
      </c>
      <c r="I1137" s="1" t="str">
        <f t="shared" si="127"/>
        <v>2018</v>
      </c>
      <c r="J1137" s="1" t="str">
        <f t="shared" si="126"/>
        <v>Jaschke N et al., 2018</v>
      </c>
      <c r="K1137" s="1" t="s">
        <v>1861</v>
      </c>
      <c r="L1137" s="1" t="str">
        <f t="shared" si="128"/>
        <v/>
      </c>
    </row>
    <row r="1138" spans="1:12" ht="30" hidden="1" x14ac:dyDescent="0.25">
      <c r="A1138" s="1">
        <f>INDEX(rq_evidence_review!A:A, MATCH(B1138, rq_evidence_review!B:B, 0))</f>
        <v>5</v>
      </c>
      <c r="B1138" s="6">
        <v>5.0999999999999996</v>
      </c>
      <c r="C1138" s="1">
        <f t="shared" si="124"/>
        <v>1132</v>
      </c>
      <c r="D1138" s="1">
        <f>VLOOKUP(B1138,rq_evidence_review!$B$1:$L$55,7,FALSE)</f>
        <v>65</v>
      </c>
      <c r="E1138" s="8" t="s">
        <v>818</v>
      </c>
      <c r="H1138" s="1" t="str">
        <f t="shared" si="125"/>
        <v>Jin Y</v>
      </c>
      <c r="I1138" s="1" t="str">
        <f t="shared" si="127"/>
        <v>2019</v>
      </c>
      <c r="J1138" s="1" t="str">
        <f t="shared" si="126"/>
        <v>Jin Y et al., 2019</v>
      </c>
      <c r="K1138" s="9" t="s">
        <v>1862</v>
      </c>
      <c r="L1138" s="1" t="str">
        <f t="shared" si="128"/>
        <v/>
      </c>
    </row>
    <row r="1139" spans="1:12" ht="30" hidden="1" x14ac:dyDescent="0.25">
      <c r="A1139" s="1">
        <f>INDEX(rq_evidence_review!A:A, MATCH(B1139, rq_evidence_review!B:B, 0))</f>
        <v>5</v>
      </c>
      <c r="B1139" s="6">
        <v>5.0999999999999996</v>
      </c>
      <c r="C1139" s="1">
        <f t="shared" si="124"/>
        <v>1133</v>
      </c>
      <c r="D1139" s="1">
        <f>VLOOKUP(B1139,rq_evidence_review!$B$1:$L$55,7,FALSE)</f>
        <v>65</v>
      </c>
      <c r="E1139" s="8" t="s">
        <v>819</v>
      </c>
      <c r="H1139" s="1" t="str">
        <f t="shared" si="125"/>
        <v>Johnson NP</v>
      </c>
      <c r="I1139" s="1" t="str">
        <f t="shared" si="127"/>
        <v>2011</v>
      </c>
      <c r="J1139" s="1" t="str">
        <f t="shared" si="126"/>
        <v>Johnson NP et al., 2011</v>
      </c>
      <c r="K1139" s="9" t="s">
        <v>1863</v>
      </c>
      <c r="L1139" s="1" t="str">
        <f t="shared" si="128"/>
        <v/>
      </c>
    </row>
    <row r="1140" spans="1:12" ht="45" hidden="1" x14ac:dyDescent="0.25">
      <c r="A1140" s="1">
        <f>INDEX(rq_evidence_review!A:A, MATCH(B1140, rq_evidence_review!B:B, 0))</f>
        <v>5</v>
      </c>
      <c r="B1140" s="6">
        <v>5.0999999999999996</v>
      </c>
      <c r="C1140" s="1">
        <f t="shared" si="124"/>
        <v>1134</v>
      </c>
      <c r="D1140" s="1">
        <f>VLOOKUP(B1140,rq_evidence_review!$B$1:$L$55,7,FALSE)</f>
        <v>65</v>
      </c>
      <c r="E1140" s="8" t="s">
        <v>820</v>
      </c>
      <c r="H1140" s="1" t="str">
        <f t="shared" si="125"/>
        <v>Johnson</v>
      </c>
      <c r="I1140" s="1" t="str">
        <f t="shared" si="127"/>
        <v>2010</v>
      </c>
      <c r="J1140" s="1" t="str">
        <f t="shared" si="126"/>
        <v>Johnson et al., 2010</v>
      </c>
      <c r="K1140" s="1" t="str">
        <f>ExtractDOI(E1140)</f>
        <v>10.1093/humrep/deq100</v>
      </c>
      <c r="L1140" s="1" t="str">
        <f t="shared" si="128"/>
        <v/>
      </c>
    </row>
    <row r="1141" spans="1:12" ht="30" hidden="1" x14ac:dyDescent="0.25">
      <c r="A1141" s="1">
        <f>INDEX(rq_evidence_review!A:A, MATCH(B1141, rq_evidence_review!B:B, 0))</f>
        <v>5</v>
      </c>
      <c r="B1141" s="6">
        <v>5.0999999999999996</v>
      </c>
      <c r="C1141" s="1">
        <f t="shared" si="124"/>
        <v>1135</v>
      </c>
      <c r="D1141" s="1">
        <f>VLOOKUP(B1141,rq_evidence_review!$B$1:$L$55,7,FALSE)</f>
        <v>65</v>
      </c>
      <c r="E1141" s="8" t="s">
        <v>821</v>
      </c>
      <c r="H1141" s="1" t="str">
        <f t="shared" si="125"/>
        <v>Kalra SK</v>
      </c>
      <c r="I1141" s="1" t="str">
        <f t="shared" si="127"/>
        <v>2013</v>
      </c>
      <c r="J1141" s="1" t="str">
        <f t="shared" si="126"/>
        <v>Kalra SK et al., 2013</v>
      </c>
      <c r="K1141" s="9" t="s">
        <v>1864</v>
      </c>
      <c r="L1141" s="1" t="str">
        <f t="shared" si="128"/>
        <v/>
      </c>
    </row>
    <row r="1142" spans="1:12" ht="30" hidden="1" x14ac:dyDescent="0.25">
      <c r="A1142" s="1">
        <f>INDEX(rq_evidence_review!A:A, MATCH(B1142, rq_evidence_review!B:B, 0))</f>
        <v>5</v>
      </c>
      <c r="B1142" s="6">
        <v>5.0999999999999996</v>
      </c>
      <c r="C1142" s="1">
        <f t="shared" si="124"/>
        <v>1136</v>
      </c>
      <c r="D1142" s="1">
        <f>VLOOKUP(B1142,rq_evidence_review!$B$1:$L$55,7,FALSE)</f>
        <v>65</v>
      </c>
      <c r="E1142" s="8" t="s">
        <v>822</v>
      </c>
      <c r="H1142" s="1" t="str">
        <f t="shared" si="125"/>
        <v>Kamardi S</v>
      </c>
      <c r="I1142" s="1" t="str">
        <f t="shared" si="127"/>
        <v>2021</v>
      </c>
      <c r="J1142" s="1" t="str">
        <f t="shared" si="126"/>
        <v>Kamardi S et al., 2021</v>
      </c>
      <c r="K1142" s="9" t="s">
        <v>1865</v>
      </c>
      <c r="L1142" s="1" t="str">
        <f t="shared" si="128"/>
        <v/>
      </c>
    </row>
    <row r="1143" spans="1:12" ht="45" hidden="1" x14ac:dyDescent="0.25">
      <c r="A1143" s="1">
        <f>INDEX(rq_evidence_review!A:A, MATCH(B1143, rq_evidence_review!B:B, 0))</f>
        <v>5</v>
      </c>
      <c r="B1143" s="6">
        <v>5.0999999999999996</v>
      </c>
      <c r="C1143" s="1">
        <f t="shared" si="124"/>
        <v>1137</v>
      </c>
      <c r="D1143" s="1">
        <f>VLOOKUP(B1143,rq_evidence_review!$B$1:$L$55,7,FALSE)</f>
        <v>65</v>
      </c>
      <c r="E1143" s="8" t="s">
        <v>823</v>
      </c>
      <c r="H1143" s="1" t="str">
        <f t="shared" si="125"/>
        <v>Kjotrod</v>
      </c>
      <c r="I1143" s="1" t="str">
        <f t="shared" si="127"/>
        <v>2011</v>
      </c>
      <c r="J1143" s="1" t="str">
        <f t="shared" si="126"/>
        <v>Kjotrod et al., 2011</v>
      </c>
      <c r="K1143" s="1" t="str">
        <f>ExtractDOI(E1143)</f>
        <v>10.1093/humrep/der154</v>
      </c>
      <c r="L1143" s="1" t="str">
        <f t="shared" si="128"/>
        <v/>
      </c>
    </row>
    <row r="1144" spans="1:12" ht="30" hidden="1" x14ac:dyDescent="0.25">
      <c r="A1144" s="1">
        <f>INDEX(rq_evidence_review!A:A, MATCH(B1144, rq_evidence_review!B:B, 0))</f>
        <v>5</v>
      </c>
      <c r="B1144" s="6">
        <v>5.0999999999999996</v>
      </c>
      <c r="C1144" s="1">
        <f t="shared" si="124"/>
        <v>1138</v>
      </c>
      <c r="D1144" s="1">
        <f>VLOOKUP(B1144,rq_evidence_review!$B$1:$L$55,7,FALSE)</f>
        <v>65</v>
      </c>
      <c r="E1144" s="8" t="s">
        <v>824</v>
      </c>
      <c r="H1144" s="1" t="str">
        <f t="shared" si="125"/>
        <v>Kolibianakis E</v>
      </c>
      <c r="I1144" s="1" t="str">
        <f t="shared" si="127"/>
        <v>2003</v>
      </c>
      <c r="J1144" s="1" t="str">
        <f t="shared" si="126"/>
        <v>Kolibianakis E et al., 2003</v>
      </c>
      <c r="K1144" s="9" t="s">
        <v>1866</v>
      </c>
      <c r="L1144" s="1" t="str">
        <f t="shared" si="128"/>
        <v/>
      </c>
    </row>
    <row r="1145" spans="1:12" ht="30" hidden="1" x14ac:dyDescent="0.25">
      <c r="A1145" s="1">
        <f>INDEX(rq_evidence_review!A:A, MATCH(B1145, rq_evidence_review!B:B, 0))</f>
        <v>5</v>
      </c>
      <c r="B1145" s="6">
        <v>5.0999999999999996</v>
      </c>
      <c r="C1145" s="1">
        <f t="shared" si="124"/>
        <v>1139</v>
      </c>
      <c r="D1145" s="1">
        <f>VLOOKUP(B1145,rq_evidence_review!$B$1:$L$55,7,FALSE)</f>
        <v>65</v>
      </c>
      <c r="E1145" s="8" t="s">
        <v>825</v>
      </c>
      <c r="H1145" s="1" t="str">
        <f t="shared" si="125"/>
        <v>Kudesia R</v>
      </c>
      <c r="I1145" s="1" t="str">
        <f t="shared" si="127"/>
        <v>2018</v>
      </c>
      <c r="J1145" s="1" t="str">
        <f t="shared" si="126"/>
        <v>Kudesia R et al., 2018</v>
      </c>
      <c r="K1145" s="9" t="s">
        <v>1867</v>
      </c>
      <c r="L1145" s="1" t="str">
        <f t="shared" si="128"/>
        <v/>
      </c>
    </row>
    <row r="1146" spans="1:12" ht="30" hidden="1" x14ac:dyDescent="0.25">
      <c r="A1146" s="1">
        <f>INDEX(rq_evidence_review!A:A, MATCH(B1146, rq_evidence_review!B:B, 0))</f>
        <v>5</v>
      </c>
      <c r="B1146" s="6">
        <v>5.0999999999999996</v>
      </c>
      <c r="C1146" s="1">
        <f t="shared" si="124"/>
        <v>1140</v>
      </c>
      <c r="D1146" s="1">
        <f>VLOOKUP(B1146,rq_evidence_review!$B$1:$L$55,7,FALSE)</f>
        <v>65</v>
      </c>
      <c r="E1146" s="8" t="s">
        <v>826</v>
      </c>
      <c r="H1146" s="1" t="str">
        <f t="shared" si="125"/>
        <v>Lai Q</v>
      </c>
      <c r="I1146" s="1" t="str">
        <f t="shared" si="127"/>
        <v>2018</v>
      </c>
      <c r="J1146" s="1" t="str">
        <f t="shared" si="126"/>
        <v>Lai Q et al., 2018</v>
      </c>
      <c r="K1146" s="9" t="s">
        <v>1868</v>
      </c>
      <c r="L1146" s="1" t="str">
        <f t="shared" si="128"/>
        <v/>
      </c>
    </row>
    <row r="1147" spans="1:12" ht="30" hidden="1" x14ac:dyDescent="0.25">
      <c r="A1147" s="1">
        <f>INDEX(rq_evidence_review!A:A, MATCH(B1147, rq_evidence_review!B:B, 0))</f>
        <v>5</v>
      </c>
      <c r="B1147" s="6">
        <v>5.0999999999999996</v>
      </c>
      <c r="C1147" s="1">
        <f t="shared" si="124"/>
        <v>1141</v>
      </c>
      <c r="D1147" s="1">
        <f>VLOOKUP(B1147,rq_evidence_review!$B$1:$L$55,7,FALSE)</f>
        <v>65</v>
      </c>
      <c r="E1147" s="8" t="s">
        <v>827</v>
      </c>
      <c r="H1147" s="1" t="str">
        <f t="shared" si="125"/>
        <v>Legro</v>
      </c>
      <c r="I1147" s="1" t="str">
        <f t="shared" si="127"/>
        <v>2014</v>
      </c>
      <c r="J1147" s="1" t="str">
        <f t="shared" si="126"/>
        <v>Legro et al., 2014</v>
      </c>
      <c r="K1147" s="1" t="str">
        <f>ExtractDOI(E1147)</f>
        <v>10.1056/NEJMoa1313517</v>
      </c>
      <c r="L1147" s="1" t="str">
        <f t="shared" si="128"/>
        <v/>
      </c>
    </row>
    <row r="1148" spans="1:12" ht="30" hidden="1" x14ac:dyDescent="0.25">
      <c r="A1148" s="1">
        <f>INDEX(rq_evidence_review!A:A, MATCH(B1148, rq_evidence_review!B:B, 0))</f>
        <v>5</v>
      </c>
      <c r="B1148" s="6">
        <v>5.0999999999999996</v>
      </c>
      <c r="C1148" s="1">
        <f t="shared" si="124"/>
        <v>1142</v>
      </c>
      <c r="D1148" s="1">
        <f>VLOOKUP(B1148,rq_evidence_review!$B$1:$L$55,7,FALSE)</f>
        <v>65</v>
      </c>
      <c r="E1148" s="8" t="s">
        <v>828</v>
      </c>
      <c r="H1148" s="1" t="str">
        <f t="shared" si="125"/>
        <v>Li Y</v>
      </c>
      <c r="I1148" s="1" t="str">
        <f t="shared" si="127"/>
        <v>2018</v>
      </c>
      <c r="J1148" s="1" t="str">
        <f t="shared" si="126"/>
        <v>Li Y et al., 2018</v>
      </c>
      <c r="K1148" s="9" t="s">
        <v>1869</v>
      </c>
      <c r="L1148" s="1" t="str">
        <f t="shared" si="128"/>
        <v/>
      </c>
    </row>
    <row r="1149" spans="1:12" ht="30" hidden="1" x14ac:dyDescent="0.25">
      <c r="A1149" s="1">
        <f>INDEX(rq_evidence_review!A:A, MATCH(B1149, rq_evidence_review!B:B, 0))</f>
        <v>5</v>
      </c>
      <c r="B1149" s="6">
        <v>5.0999999999999996</v>
      </c>
      <c r="C1149" s="1">
        <f t="shared" si="124"/>
        <v>1143</v>
      </c>
      <c r="D1149" s="1">
        <f>VLOOKUP(B1149,rq_evidence_review!$B$1:$L$55,7,FALSE)</f>
        <v>65</v>
      </c>
      <c r="E1149" s="8" t="s">
        <v>829</v>
      </c>
      <c r="H1149" s="1" t="str">
        <f t="shared" si="125"/>
        <v>Lin J</v>
      </c>
      <c r="I1149" s="1" t="str">
        <f t="shared" si="127"/>
        <v>2019</v>
      </c>
      <c r="J1149" s="1" t="str">
        <f t="shared" si="126"/>
        <v>Lin J et al., 2019</v>
      </c>
      <c r="K1149" s="9" t="s">
        <v>1870</v>
      </c>
      <c r="L1149" s="1" t="str">
        <f t="shared" si="128"/>
        <v/>
      </c>
    </row>
    <row r="1150" spans="1:12" ht="45" hidden="1" x14ac:dyDescent="0.25">
      <c r="A1150" s="1">
        <f>INDEX(rq_evidence_review!A:A, MATCH(B1150, rq_evidence_review!B:B, 0))</f>
        <v>5</v>
      </c>
      <c r="B1150" s="6">
        <v>5.0999999999999996</v>
      </c>
      <c r="C1150" s="1">
        <f t="shared" si="124"/>
        <v>1144</v>
      </c>
      <c r="D1150" s="1">
        <f>VLOOKUP(B1150,rq_evidence_review!$B$1:$L$55,7,FALSE)</f>
        <v>65</v>
      </c>
      <c r="E1150" s="8" t="s">
        <v>830</v>
      </c>
      <c r="H1150" s="1" t="str">
        <f t="shared" si="125"/>
        <v>Lujan ME</v>
      </c>
      <c r="I1150" s="1" t="str">
        <f t="shared" si="127"/>
        <v>2010</v>
      </c>
      <c r="J1150" s="1" t="str">
        <f t="shared" si="126"/>
        <v>Lujan ME et al., 2010</v>
      </c>
      <c r="K1150" s="9" t="s">
        <v>1871</v>
      </c>
      <c r="L1150" s="1" t="str">
        <f t="shared" si="128"/>
        <v/>
      </c>
    </row>
    <row r="1151" spans="1:12" ht="30" hidden="1" x14ac:dyDescent="0.25">
      <c r="A1151" s="1">
        <f>INDEX(rq_evidence_review!A:A, MATCH(B1151, rq_evidence_review!B:B, 0))</f>
        <v>5</v>
      </c>
      <c r="B1151" s="6">
        <v>5.0999999999999996</v>
      </c>
      <c r="C1151" s="1">
        <f t="shared" si="124"/>
        <v>1145</v>
      </c>
      <c r="D1151" s="1">
        <f>VLOOKUP(B1151,rq_evidence_review!$B$1:$L$55,7,FALSE)</f>
        <v>65</v>
      </c>
      <c r="E1151" s="8" t="s">
        <v>831</v>
      </c>
      <c r="H1151" s="1" t="str">
        <f t="shared" si="125"/>
        <v>Luo L</v>
      </c>
      <c r="I1151" s="1" t="str">
        <f t="shared" si="127"/>
        <v>2016</v>
      </c>
      <c r="J1151" s="1" t="str">
        <f t="shared" si="126"/>
        <v>Luo L et al., 2016</v>
      </c>
      <c r="K1151" s="9" t="s">
        <v>1872</v>
      </c>
      <c r="L1151" s="1" t="str">
        <f t="shared" si="128"/>
        <v/>
      </c>
    </row>
    <row r="1152" spans="1:12" ht="30" hidden="1" x14ac:dyDescent="0.25">
      <c r="A1152" s="1">
        <f>INDEX(rq_evidence_review!A:A, MATCH(B1152, rq_evidence_review!B:B, 0))</f>
        <v>5</v>
      </c>
      <c r="B1152" s="6">
        <v>5.0999999999999996</v>
      </c>
      <c r="C1152" s="1">
        <f t="shared" si="124"/>
        <v>1146</v>
      </c>
      <c r="D1152" s="1">
        <f>VLOOKUP(B1152,rq_evidence_review!$B$1:$L$55,7,FALSE)</f>
        <v>65</v>
      </c>
      <c r="E1152" s="8" t="s">
        <v>832</v>
      </c>
      <c r="H1152" s="1" t="str">
        <f t="shared" si="125"/>
        <v>Mackens S</v>
      </c>
      <c r="I1152" s="1" t="str">
        <f t="shared" si="127"/>
        <v>2020</v>
      </c>
      <c r="J1152" s="1" t="str">
        <f t="shared" si="126"/>
        <v>Mackens S et al., 2020</v>
      </c>
      <c r="K1152" s="9" t="s">
        <v>1873</v>
      </c>
      <c r="L1152" s="1" t="str">
        <f t="shared" si="128"/>
        <v/>
      </c>
    </row>
    <row r="1153" spans="1:14" ht="30" hidden="1" x14ac:dyDescent="0.25">
      <c r="A1153" s="1">
        <f>INDEX(rq_evidence_review!A:A, MATCH(B1153, rq_evidence_review!B:B, 0))</f>
        <v>5</v>
      </c>
      <c r="B1153" s="6">
        <v>5.0999999999999996</v>
      </c>
      <c r="C1153" s="1">
        <f t="shared" si="124"/>
        <v>1147</v>
      </c>
      <c r="D1153" s="1">
        <f>VLOOKUP(B1153,rq_evidence_review!$B$1:$L$55,7,FALSE)</f>
        <v>65</v>
      </c>
      <c r="E1153" s="8" t="s">
        <v>833</v>
      </c>
      <c r="H1153" s="1" t="str">
        <f t="shared" si="125"/>
        <v>Madani T</v>
      </c>
      <c r="I1153" s="1" t="str">
        <f t="shared" si="127"/>
        <v>2012</v>
      </c>
      <c r="J1153" s="1" t="str">
        <f t="shared" si="126"/>
        <v>Madani T et al., 2012</v>
      </c>
      <c r="K1153" s="1" t="str">
        <f>ExtractDOI(E1153)</f>
        <v/>
      </c>
      <c r="L1153" s="10">
        <v>25505514</v>
      </c>
      <c r="N1153" s="1">
        <v>16735901</v>
      </c>
    </row>
    <row r="1154" spans="1:14" ht="30" hidden="1" x14ac:dyDescent="0.25">
      <c r="A1154" s="1">
        <f>INDEX(rq_evidence_review!A:A, MATCH(B1154, rq_evidence_review!B:B, 0))</f>
        <v>5</v>
      </c>
      <c r="B1154" s="6">
        <v>5.0999999999999996</v>
      </c>
      <c r="C1154" s="1">
        <f t="shared" si="124"/>
        <v>1148</v>
      </c>
      <c r="D1154" s="1">
        <f>VLOOKUP(B1154,rq_evidence_review!$B$1:$L$55,7,FALSE)</f>
        <v>65</v>
      </c>
      <c r="E1154" s="8" t="s">
        <v>834</v>
      </c>
      <c r="H1154" s="1" t="str">
        <f t="shared" si="125"/>
        <v>Mahajan N</v>
      </c>
      <c r="I1154" s="1" t="str">
        <f t="shared" si="127"/>
        <v>2019</v>
      </c>
      <c r="J1154" s="1" t="str">
        <f t="shared" si="126"/>
        <v>Mahajan N et al., 2019</v>
      </c>
      <c r="K1154" s="9" t="s">
        <v>1874</v>
      </c>
      <c r="L1154" s="1" t="str">
        <f t="shared" si="128"/>
        <v/>
      </c>
    </row>
    <row r="1155" spans="1:14" ht="45" hidden="1" x14ac:dyDescent="0.25">
      <c r="A1155" s="1">
        <f>INDEX(rq_evidence_review!A:A, MATCH(B1155, rq_evidence_review!B:B, 0))</f>
        <v>5</v>
      </c>
      <c r="B1155" s="6">
        <v>5.0999999999999996</v>
      </c>
      <c r="C1155" s="1">
        <f t="shared" si="124"/>
        <v>1149</v>
      </c>
      <c r="D1155" s="1">
        <f>VLOOKUP(B1155,rq_evidence_review!$B$1:$L$55,7,FALSE)</f>
        <v>65</v>
      </c>
      <c r="E1155" s="8" t="s">
        <v>835</v>
      </c>
      <c r="H1155" s="1" t="str">
        <f t="shared" si="125"/>
        <v>Mahran A</v>
      </c>
      <c r="I1155" s="1" t="str">
        <f t="shared" si="127"/>
        <v>2013</v>
      </c>
      <c r="J1155" s="1" t="str">
        <f t="shared" si="126"/>
        <v>Mahran A et al., 2013</v>
      </c>
      <c r="K1155" s="9" t="s">
        <v>1875</v>
      </c>
      <c r="L1155" s="1" t="str">
        <f t="shared" si="128"/>
        <v/>
      </c>
    </row>
    <row r="1156" spans="1:14" ht="30" hidden="1" x14ac:dyDescent="0.25">
      <c r="A1156" s="1">
        <f>INDEX(rq_evidence_review!A:A, MATCH(B1156, rq_evidence_review!B:B, 0))</f>
        <v>5</v>
      </c>
      <c r="B1156" s="6">
        <v>5.0999999999999996</v>
      </c>
      <c r="C1156" s="1">
        <f t="shared" si="124"/>
        <v>1150</v>
      </c>
      <c r="D1156" s="1">
        <f>VLOOKUP(B1156,rq_evidence_review!$B$1:$L$55,7,FALSE)</f>
        <v>65</v>
      </c>
      <c r="E1156" s="8" t="s">
        <v>836</v>
      </c>
      <c r="H1156" s="1" t="str">
        <f t="shared" si="125"/>
        <v>McCormick B</v>
      </c>
      <c r="I1156" s="1" t="str">
        <f t="shared" si="127"/>
        <v>2008</v>
      </c>
      <c r="J1156" s="1" t="str">
        <f t="shared" si="126"/>
        <v>McCormick B et al., 2008</v>
      </c>
      <c r="K1156" s="9" t="s">
        <v>1876</v>
      </c>
      <c r="L1156" s="1" t="str">
        <f t="shared" si="128"/>
        <v/>
      </c>
    </row>
    <row r="1157" spans="1:14" ht="45" hidden="1" x14ac:dyDescent="0.25">
      <c r="A1157" s="1">
        <f>INDEX(rq_evidence_review!A:A, MATCH(B1157, rq_evidence_review!B:B, 0))</f>
        <v>5</v>
      </c>
      <c r="B1157" s="6">
        <v>5.0999999999999996</v>
      </c>
      <c r="C1157" s="1">
        <f t="shared" si="124"/>
        <v>1151</v>
      </c>
      <c r="D1157" s="1">
        <f>VLOOKUP(B1157,rq_evidence_review!$B$1:$L$55,7,FALSE)</f>
        <v>65</v>
      </c>
      <c r="E1157" s="8" t="s">
        <v>837</v>
      </c>
      <c r="H1157" s="1" t="str">
        <f t="shared" si="125"/>
        <v>Morin-Papunen L</v>
      </c>
      <c r="I1157" s="1" t="str">
        <f t="shared" si="127"/>
        <v>2012</v>
      </c>
      <c r="J1157" s="1" t="str">
        <f t="shared" si="126"/>
        <v>Morin-Papunen L et al., 2012</v>
      </c>
      <c r="K1157" s="9" t="s">
        <v>1765</v>
      </c>
      <c r="L1157" s="1" t="str">
        <f t="shared" si="128"/>
        <v/>
      </c>
    </row>
    <row r="1158" spans="1:14" ht="30" hidden="1" x14ac:dyDescent="0.25">
      <c r="A1158" s="1">
        <f>INDEX(rq_evidence_review!A:A, MATCH(B1158, rq_evidence_review!B:B, 0))</f>
        <v>5</v>
      </c>
      <c r="B1158" s="6">
        <v>5.0999999999999996</v>
      </c>
      <c r="C1158" s="1">
        <f t="shared" si="124"/>
        <v>1152</v>
      </c>
      <c r="D1158" s="1">
        <f>VLOOKUP(B1158,rq_evidence_review!$B$1:$L$55,7,FALSE)</f>
        <v>65</v>
      </c>
      <c r="E1158" s="8" t="s">
        <v>838</v>
      </c>
      <c r="H1158" s="1" t="str">
        <f t="shared" si="125"/>
        <v>Mostinckx L</v>
      </c>
      <c r="I1158" s="1" t="str">
        <f t="shared" si="127"/>
        <v>2019</v>
      </c>
      <c r="J1158" s="1" t="str">
        <f t="shared" si="126"/>
        <v>Mostinckx L et al., 2019</v>
      </c>
      <c r="K1158" s="9" t="s">
        <v>1877</v>
      </c>
      <c r="L1158" s="1" t="str">
        <f t="shared" si="128"/>
        <v/>
      </c>
    </row>
    <row r="1159" spans="1:14" ht="30" hidden="1" x14ac:dyDescent="0.25">
      <c r="A1159" s="1">
        <f>INDEX(rq_evidence_review!A:A, MATCH(B1159, rq_evidence_review!B:B, 0))</f>
        <v>5</v>
      </c>
      <c r="B1159" s="6">
        <v>5.0999999999999996</v>
      </c>
      <c r="C1159" s="1">
        <f t="shared" si="124"/>
        <v>1153</v>
      </c>
      <c r="D1159" s="1">
        <f>VLOOKUP(B1159,rq_evidence_review!$B$1:$L$55,7,FALSE)</f>
        <v>65</v>
      </c>
      <c r="E1159" s="8" t="s">
        <v>839</v>
      </c>
      <c r="H1159" s="1" t="str">
        <f t="shared" si="125"/>
        <v>Muharam R</v>
      </c>
      <c r="I1159" s="1" t="str">
        <f t="shared" si="127"/>
        <v>2022</v>
      </c>
      <c r="J1159" s="1" t="str">
        <f t="shared" si="126"/>
        <v>Muharam R et al., 2022</v>
      </c>
      <c r="K1159" s="9" t="s">
        <v>1878</v>
      </c>
      <c r="L1159" s="1" t="str">
        <f t="shared" si="128"/>
        <v/>
      </c>
    </row>
    <row r="1160" spans="1:14" ht="30" hidden="1" x14ac:dyDescent="0.25">
      <c r="A1160" s="1">
        <f>INDEX(rq_evidence_review!A:A, MATCH(B1160, rq_evidence_review!B:B, 0))</f>
        <v>5</v>
      </c>
      <c r="B1160" s="6">
        <v>5.0999999999999996</v>
      </c>
      <c r="C1160" s="1">
        <f t="shared" si="124"/>
        <v>1154</v>
      </c>
      <c r="D1160" s="1">
        <f>VLOOKUP(B1160,rq_evidence_review!$B$1:$L$55,7,FALSE)</f>
        <v>65</v>
      </c>
      <c r="E1160" s="8" t="s">
        <v>840</v>
      </c>
      <c r="H1160" s="1" t="str">
        <f t="shared" si="125"/>
        <v>Namlı Kalem M</v>
      </c>
      <c r="I1160" s="1" t="str">
        <f t="shared" si="127"/>
        <v>2016</v>
      </c>
      <c r="J1160" s="1" t="str">
        <f t="shared" si="126"/>
        <v>Namlı Kalem M et al., 2016</v>
      </c>
      <c r="K1160" s="9" t="s">
        <v>1879</v>
      </c>
      <c r="L1160" s="1" t="str">
        <f t="shared" si="128"/>
        <v/>
      </c>
    </row>
    <row r="1161" spans="1:14" ht="30" hidden="1" x14ac:dyDescent="0.25">
      <c r="A1161" s="1">
        <f>INDEX(rq_evidence_review!A:A, MATCH(B1161, rq_evidence_review!B:B, 0))</f>
        <v>5</v>
      </c>
      <c r="B1161" s="6">
        <v>5.0999999999999996</v>
      </c>
      <c r="C1161" s="1">
        <f t="shared" si="124"/>
        <v>1155</v>
      </c>
      <c r="D1161" s="1">
        <f>VLOOKUP(B1161,rq_evidence_review!$B$1:$L$55,7,FALSE)</f>
        <v>65</v>
      </c>
      <c r="E1161" s="8" t="s">
        <v>841</v>
      </c>
      <c r="H1161" s="1" t="str">
        <f t="shared" si="125"/>
        <v>Niu Z</v>
      </c>
      <c r="I1161" s="1" t="str">
        <f t="shared" si="127"/>
        <v>2017</v>
      </c>
      <c r="J1161" s="1" t="str">
        <f t="shared" si="126"/>
        <v>Niu Z et al., 2017</v>
      </c>
      <c r="K1161" s="9" t="s">
        <v>1880</v>
      </c>
      <c r="L1161" s="1" t="str">
        <f t="shared" si="128"/>
        <v/>
      </c>
    </row>
    <row r="1162" spans="1:14" ht="30" hidden="1" x14ac:dyDescent="0.25">
      <c r="A1162" s="1">
        <f>INDEX(rq_evidence_review!A:A, MATCH(B1162, rq_evidence_review!B:B, 0))</f>
        <v>5</v>
      </c>
      <c r="B1162" s="6">
        <v>5.0999999999999996</v>
      </c>
      <c r="C1162" s="1">
        <f t="shared" si="124"/>
        <v>1156</v>
      </c>
      <c r="D1162" s="1">
        <f>VLOOKUP(B1162,rq_evidence_review!$B$1:$L$55,7,FALSE)</f>
        <v>65</v>
      </c>
      <c r="E1162" s="8" t="s">
        <v>842</v>
      </c>
      <c r="H1162" s="1" t="str">
        <f t="shared" si="125"/>
        <v>Oberg E</v>
      </c>
      <c r="I1162" s="1" t="str">
        <f t="shared" si="127"/>
        <v>2019</v>
      </c>
      <c r="J1162" s="1" t="str">
        <f t="shared" si="126"/>
        <v>Oberg E et al., 2019</v>
      </c>
      <c r="K1162" s="9" t="s">
        <v>1881</v>
      </c>
      <c r="L1162" s="1" t="str">
        <f t="shared" si="128"/>
        <v/>
      </c>
    </row>
    <row r="1163" spans="1:14" ht="30" hidden="1" x14ac:dyDescent="0.25">
      <c r="A1163" s="1">
        <f>INDEX(rq_evidence_review!A:A, MATCH(B1163, rq_evidence_review!B:B, 0))</f>
        <v>5</v>
      </c>
      <c r="B1163" s="6">
        <v>5.0999999999999996</v>
      </c>
      <c r="C1163" s="1">
        <f t="shared" si="124"/>
        <v>1157</v>
      </c>
      <c r="D1163" s="1">
        <f>VLOOKUP(B1163,rq_evidence_review!$B$1:$L$55,7,FALSE)</f>
        <v>65</v>
      </c>
      <c r="E1163" s="8" t="s">
        <v>843</v>
      </c>
      <c r="H1163" s="1" t="str">
        <f t="shared" si="125"/>
        <v>Palomba S</v>
      </c>
      <c r="I1163" s="1" t="str">
        <f t="shared" si="127"/>
        <v>2012</v>
      </c>
      <c r="J1163" s="1" t="str">
        <f t="shared" si="126"/>
        <v>Palomba S et al., 2012</v>
      </c>
      <c r="K1163" s="9" t="s">
        <v>1882</v>
      </c>
      <c r="L1163" s="1" t="str">
        <f t="shared" si="128"/>
        <v/>
      </c>
    </row>
    <row r="1164" spans="1:14" ht="45" hidden="1" x14ac:dyDescent="0.25">
      <c r="A1164" s="1">
        <f>INDEX(rq_evidence_review!A:A, MATCH(B1164, rq_evidence_review!B:B, 0))</f>
        <v>5</v>
      </c>
      <c r="B1164" s="6">
        <v>5.0999999999999996</v>
      </c>
      <c r="C1164" s="1">
        <f t="shared" si="124"/>
        <v>1158</v>
      </c>
      <c r="D1164" s="1">
        <f>VLOOKUP(B1164,rq_evidence_review!$B$1:$L$55,7,FALSE)</f>
        <v>65</v>
      </c>
      <c r="E1164" s="8" t="s">
        <v>844</v>
      </c>
      <c r="H1164" s="1" t="str">
        <f t="shared" si="125"/>
        <v>Provost MP</v>
      </c>
      <c r="I1164" s="1" t="str">
        <f t="shared" si="127"/>
        <v>2008</v>
      </c>
      <c r="J1164" s="1" t="str">
        <f t="shared" si="126"/>
        <v>Provost MP et al., 2008</v>
      </c>
      <c r="K1164" s="9" t="s">
        <v>1883</v>
      </c>
      <c r="L1164" s="1" t="str">
        <f t="shared" si="128"/>
        <v/>
      </c>
    </row>
    <row r="1165" spans="1:14" ht="30" hidden="1" x14ac:dyDescent="0.25">
      <c r="A1165" s="1">
        <f>INDEX(rq_evidence_review!A:A, MATCH(B1165, rq_evidence_review!B:B, 0))</f>
        <v>5</v>
      </c>
      <c r="B1165" s="6">
        <v>5.0999999999999996</v>
      </c>
      <c r="C1165" s="1">
        <f t="shared" si="124"/>
        <v>1159</v>
      </c>
      <c r="D1165" s="1">
        <f>VLOOKUP(B1165,rq_evidence_review!$B$1:$L$55,7,FALSE)</f>
        <v>65</v>
      </c>
      <c r="E1165" s="8" t="s">
        <v>845</v>
      </c>
      <c r="H1165" s="1" t="str">
        <f t="shared" si="125"/>
        <v>Shalom-Paz E</v>
      </c>
      <c r="I1165" s="1" t="str">
        <f t="shared" si="127"/>
        <v>2011</v>
      </c>
      <c r="J1165" s="1" t="str">
        <f t="shared" si="126"/>
        <v>Shalom-Paz E et al., 2011</v>
      </c>
      <c r="K1165" s="9" t="s">
        <v>1884</v>
      </c>
      <c r="L1165" s="1" t="str">
        <f t="shared" si="128"/>
        <v/>
      </c>
    </row>
    <row r="1166" spans="1:14" ht="30" hidden="1" x14ac:dyDescent="0.25">
      <c r="A1166" s="1">
        <f>INDEX(rq_evidence_review!A:A, MATCH(B1166, rq_evidence_review!B:B, 0))</f>
        <v>5</v>
      </c>
      <c r="B1166" s="6">
        <v>5.0999999999999996</v>
      </c>
      <c r="C1166" s="1">
        <f t="shared" ref="C1166:C1229" si="129">C1165+1</f>
        <v>1160</v>
      </c>
      <c r="D1166" s="1">
        <f>VLOOKUP(B1166,rq_evidence_review!$B$1:$L$55,7,FALSE)</f>
        <v>65</v>
      </c>
      <c r="E1166" s="8" t="s">
        <v>846</v>
      </c>
      <c r="H1166" s="1" t="str">
        <f t="shared" si="125"/>
        <v>Sheng Y</v>
      </c>
      <c r="I1166" s="1" t="str">
        <f t="shared" si="127"/>
        <v>2017</v>
      </c>
      <c r="J1166" s="1" t="str">
        <f t="shared" si="126"/>
        <v>Sheng Y et al., 2017</v>
      </c>
      <c r="K1166" s="1" t="s">
        <v>1885</v>
      </c>
      <c r="L1166" s="1" t="str">
        <f t="shared" si="128"/>
        <v/>
      </c>
    </row>
    <row r="1167" spans="1:14" ht="30" hidden="1" x14ac:dyDescent="0.25">
      <c r="A1167" s="1">
        <f>INDEX(rq_evidence_review!A:A, MATCH(B1167, rq_evidence_review!B:B, 0))</f>
        <v>5</v>
      </c>
      <c r="B1167" s="6">
        <v>5.0999999999999996</v>
      </c>
      <c r="C1167" s="1">
        <f t="shared" si="129"/>
        <v>1161</v>
      </c>
      <c r="D1167" s="1">
        <f>VLOOKUP(B1167,rq_evidence_review!$B$1:$L$55,7,FALSE)</f>
        <v>65</v>
      </c>
      <c r="E1167" s="8" t="s">
        <v>847</v>
      </c>
      <c r="H1167" s="1" t="str">
        <f t="shared" si="125"/>
        <v>Siebert T</v>
      </c>
      <c r="I1167" s="1" t="str">
        <f t="shared" si="127"/>
        <v>2009</v>
      </c>
      <c r="J1167" s="1" t="str">
        <f t="shared" si="126"/>
        <v>Siebert T et al., 2009</v>
      </c>
      <c r="K1167" s="9" t="s">
        <v>1886</v>
      </c>
      <c r="L1167" s="1" t="str">
        <f t="shared" si="128"/>
        <v/>
      </c>
    </row>
    <row r="1168" spans="1:14" ht="30" hidden="1" x14ac:dyDescent="0.25">
      <c r="A1168" s="1">
        <f>INDEX(rq_evidence_review!A:A, MATCH(B1168, rq_evidence_review!B:B, 0))</f>
        <v>5</v>
      </c>
      <c r="B1168" s="6">
        <v>5.0999999999999996</v>
      </c>
      <c r="C1168" s="1">
        <f t="shared" si="129"/>
        <v>1162</v>
      </c>
      <c r="D1168" s="1">
        <f>VLOOKUP(B1168,rq_evidence_review!$B$1:$L$55,7,FALSE)</f>
        <v>65</v>
      </c>
      <c r="E1168" s="8" t="s">
        <v>848</v>
      </c>
      <c r="H1168" s="1" t="str">
        <f t="shared" si="125"/>
        <v>Wang J</v>
      </c>
      <c r="I1168" s="1" t="str">
        <f t="shared" si="127"/>
        <v>2013</v>
      </c>
      <c r="J1168" s="1" t="str">
        <f t="shared" si="126"/>
        <v>Wang J et al., 2013</v>
      </c>
      <c r="K1168" s="9" t="s">
        <v>1887</v>
      </c>
      <c r="L1168" s="1" t="str">
        <f t="shared" si="128"/>
        <v/>
      </c>
    </row>
    <row r="1169" spans="1:12" ht="30" hidden="1" x14ac:dyDescent="0.25">
      <c r="A1169" s="1">
        <f>INDEX(rq_evidence_review!A:A, MATCH(B1169, rq_evidence_review!B:B, 0))</f>
        <v>5</v>
      </c>
      <c r="B1169" s="6">
        <v>5.0999999999999996</v>
      </c>
      <c r="C1169" s="1">
        <f t="shared" si="129"/>
        <v>1163</v>
      </c>
      <c r="D1169" s="1">
        <f>VLOOKUP(B1169,rq_evidence_review!$B$1:$L$55,7,FALSE)</f>
        <v>65</v>
      </c>
      <c r="E1169" s="8" t="s">
        <v>849</v>
      </c>
      <c r="H1169" s="1" t="str">
        <f t="shared" si="125"/>
        <v>Wang JX</v>
      </c>
      <c r="I1169" s="1" t="str">
        <f t="shared" si="127"/>
        <v>2001</v>
      </c>
      <c r="J1169" s="1" t="str">
        <f t="shared" si="126"/>
        <v>Wang JX et al., 2001</v>
      </c>
      <c r="K1169" s="9" t="s">
        <v>1826</v>
      </c>
      <c r="L1169" s="1" t="str">
        <f t="shared" si="128"/>
        <v/>
      </c>
    </row>
    <row r="1170" spans="1:12" ht="30" hidden="1" x14ac:dyDescent="0.25">
      <c r="A1170" s="1">
        <f>INDEX(rq_evidence_review!A:A, MATCH(B1170, rq_evidence_review!B:B, 0))</f>
        <v>5</v>
      </c>
      <c r="B1170" s="6">
        <v>5.0999999999999996</v>
      </c>
      <c r="C1170" s="1">
        <f t="shared" si="129"/>
        <v>1164</v>
      </c>
      <c r="D1170" s="1">
        <f>VLOOKUP(B1170,rq_evidence_review!$B$1:$L$55,7,FALSE)</f>
        <v>65</v>
      </c>
      <c r="E1170" s="8" t="s">
        <v>850</v>
      </c>
      <c r="H1170" s="1" t="str">
        <f t="shared" si="125"/>
        <v>Yang W</v>
      </c>
      <c r="I1170" s="1" t="str">
        <f t="shared" si="127"/>
        <v>2018</v>
      </c>
      <c r="J1170" s="1" t="str">
        <f t="shared" si="126"/>
        <v>Yang W et al., 2018</v>
      </c>
      <c r="K1170" s="9" t="s">
        <v>1888</v>
      </c>
      <c r="L1170" s="1" t="str">
        <f t="shared" si="128"/>
        <v/>
      </c>
    </row>
    <row r="1171" spans="1:12" ht="30" hidden="1" x14ac:dyDescent="0.25">
      <c r="A1171" s="1">
        <f>INDEX(rq_evidence_review!A:A, MATCH(B1171, rq_evidence_review!B:B, 0))</f>
        <v>5</v>
      </c>
      <c r="B1171" s="6">
        <v>5.0999999999999996</v>
      </c>
      <c r="C1171" s="1">
        <f t="shared" si="129"/>
        <v>1165</v>
      </c>
      <c r="D1171" s="1">
        <f>VLOOKUP(B1171,rq_evidence_review!$B$1:$L$55,7,FALSE)</f>
        <v>65</v>
      </c>
      <c r="E1171" s="8" t="s">
        <v>851</v>
      </c>
      <c r="H1171" s="1" t="str">
        <f t="shared" si="125"/>
        <v>Zhang CM</v>
      </c>
      <c r="I1171" s="1" t="str">
        <f t="shared" si="127"/>
        <v>2014</v>
      </c>
      <c r="J1171" s="1" t="str">
        <f t="shared" si="126"/>
        <v>Zhang CM et al., 2014</v>
      </c>
      <c r="K1171" s="9" t="s">
        <v>1889</v>
      </c>
      <c r="L1171" s="1" t="str">
        <f t="shared" si="128"/>
        <v/>
      </c>
    </row>
    <row r="1172" spans="1:12" ht="30" hidden="1" x14ac:dyDescent="0.25">
      <c r="A1172" s="1">
        <f>INDEX(rq_evidence_review!A:A, MATCH(B1172, rq_evidence_review!B:B, 0))</f>
        <v>5</v>
      </c>
      <c r="B1172" s="6">
        <v>5.0999999999999996</v>
      </c>
      <c r="C1172" s="1">
        <f t="shared" si="129"/>
        <v>1166</v>
      </c>
      <c r="D1172" s="1">
        <f>VLOOKUP(B1172,rq_evidence_review!$B$1:$L$55,7,FALSE)</f>
        <v>65</v>
      </c>
      <c r="E1172" s="8" t="s">
        <v>852</v>
      </c>
      <c r="H1172" s="1" t="str">
        <f t="shared" si="125"/>
        <v>Zhao Y</v>
      </c>
      <c r="I1172" s="1" t="str">
        <f t="shared" si="127"/>
        <v>2017</v>
      </c>
      <c r="J1172" s="1" t="str">
        <f t="shared" si="126"/>
        <v>Zhao Y et al., 2017</v>
      </c>
      <c r="K1172" s="9" t="s">
        <v>1890</v>
      </c>
      <c r="L1172" s="1" t="str">
        <f t="shared" si="128"/>
        <v/>
      </c>
    </row>
    <row r="1173" spans="1:12" ht="30" hidden="1" x14ac:dyDescent="0.25">
      <c r="A1173" s="1">
        <f>INDEX(rq_evidence_review!A:A, MATCH(B1173, rq_evidence_review!B:B, 0))</f>
        <v>5</v>
      </c>
      <c r="B1173" s="6">
        <v>5.0999999999999996</v>
      </c>
      <c r="C1173" s="1">
        <f t="shared" si="129"/>
        <v>1167</v>
      </c>
      <c r="D1173" s="1">
        <f>VLOOKUP(B1173,rq_evidence_review!$B$1:$L$55,7,FALSE)</f>
        <v>65</v>
      </c>
      <c r="E1173" s="8" t="s">
        <v>853</v>
      </c>
      <c r="H1173" s="1" t="str">
        <f t="shared" si="125"/>
        <v>Zhou H</v>
      </c>
      <c r="I1173" s="1" t="str">
        <f t="shared" si="127"/>
        <v>2020</v>
      </c>
      <c r="J1173" s="1" t="str">
        <f t="shared" si="126"/>
        <v>Zhou H et al., 2020</v>
      </c>
      <c r="K1173" s="9" t="s">
        <v>1891</v>
      </c>
      <c r="L1173" s="1" t="str">
        <f t="shared" si="128"/>
        <v/>
      </c>
    </row>
    <row r="1174" spans="1:12" hidden="1" x14ac:dyDescent="0.25">
      <c r="A1174" s="1">
        <f>INDEX(rq_evidence_review!A:A, MATCH(B1174, rq_evidence_review!B:B, 0))</f>
        <v>5</v>
      </c>
      <c r="B1174" s="6">
        <f>rq_evidence_review!B42</f>
        <v>5.2</v>
      </c>
      <c r="D1174" s="1">
        <f>VLOOKUP(B1174,rq_evidence_review!$B$1:$L$55,7,FALSE)</f>
        <v>0</v>
      </c>
      <c r="H1174" s="1" t="e">
        <f t="shared" si="125"/>
        <v>#VALUE!</v>
      </c>
      <c r="I1174" s="1" t="str">
        <f t="shared" si="127"/>
        <v/>
      </c>
      <c r="J1174" s="1" t="e">
        <f t="shared" si="126"/>
        <v>#VALUE!</v>
      </c>
      <c r="K1174" s="1" t="str">
        <f>ExtractDOI(E1174)</f>
        <v/>
      </c>
      <c r="L1174" s="1" t="str">
        <f t="shared" si="128"/>
        <v/>
      </c>
    </row>
    <row r="1175" spans="1:12" ht="30" hidden="1" x14ac:dyDescent="0.25">
      <c r="A1175" s="1">
        <f>INDEX(rq_evidence_review!A:A, MATCH(B1175, rq_evidence_review!B:B, 0))</f>
        <v>5</v>
      </c>
      <c r="B1175" s="6">
        <f>rq_evidence_review!B43</f>
        <v>5.3</v>
      </c>
      <c r="C1175" s="1">
        <f>C1173+1</f>
        <v>1168</v>
      </c>
      <c r="D1175" s="1">
        <f>VLOOKUP(B1175,rq_evidence_review!$B$1:$L$55,7,FALSE)</f>
        <v>14</v>
      </c>
      <c r="E1175" s="8" t="s">
        <v>854</v>
      </c>
      <c r="H1175" s="1" t="str">
        <f t="shared" si="125"/>
        <v>Atay</v>
      </c>
      <c r="I1175" s="1" t="str">
        <f t="shared" si="127"/>
        <v>2006</v>
      </c>
      <c r="J1175" s="1" t="str">
        <f t="shared" si="126"/>
        <v>Atay et al., 2006</v>
      </c>
      <c r="K1175" s="9" t="s">
        <v>1892</v>
      </c>
      <c r="L1175" s="1" t="str">
        <f t="shared" si="128"/>
        <v/>
      </c>
    </row>
    <row r="1176" spans="1:12" ht="30" hidden="1" x14ac:dyDescent="0.25">
      <c r="A1176" s="1">
        <f>INDEX(rq_evidence_review!A:A, MATCH(B1176, rq_evidence_review!B:B, 0))</f>
        <v>5</v>
      </c>
      <c r="B1176" s="6">
        <v>5.3</v>
      </c>
      <c r="C1176" s="1">
        <f t="shared" si="129"/>
        <v>1169</v>
      </c>
      <c r="D1176" s="1">
        <f>VLOOKUP(B1176,rq_evidence_review!$B$1:$L$55,7,FALSE)</f>
        <v>14</v>
      </c>
      <c r="E1176" s="8" t="s">
        <v>855</v>
      </c>
      <c r="H1176" s="1" t="str">
        <f t="shared" si="125"/>
        <v>Amer SA</v>
      </c>
      <c r="I1176" s="1" t="str">
        <f t="shared" si="127"/>
        <v>2017</v>
      </c>
      <c r="J1176" s="1" t="str">
        <f t="shared" si="126"/>
        <v>Amer SA et al., 2017</v>
      </c>
      <c r="K1176" s="1" t="str">
        <f>ExtractDOI(E1176)</f>
        <v>10.1093/humrep/dex227</v>
      </c>
      <c r="L1176" s="1" t="str">
        <f t="shared" si="128"/>
        <v>28854590</v>
      </c>
    </row>
    <row r="1177" spans="1:12" ht="30" hidden="1" x14ac:dyDescent="0.25">
      <c r="A1177" s="1">
        <f>INDEX(rq_evidence_review!A:A, MATCH(B1177, rq_evidence_review!B:B, 0))</f>
        <v>5</v>
      </c>
      <c r="B1177" s="6">
        <v>5.3</v>
      </c>
      <c r="C1177" s="1">
        <f t="shared" si="129"/>
        <v>1170</v>
      </c>
      <c r="D1177" s="1">
        <f>VLOOKUP(B1177,rq_evidence_review!$B$1:$L$55,7,FALSE)</f>
        <v>14</v>
      </c>
      <c r="E1177" s="8" t="s">
        <v>856</v>
      </c>
      <c r="H1177" s="1" t="str">
        <f t="shared" si="125"/>
        <v>Bansal S</v>
      </c>
      <c r="I1177" s="1" t="str">
        <f t="shared" si="127"/>
        <v>2021</v>
      </c>
      <c r="J1177" s="1" t="str">
        <f t="shared" si="126"/>
        <v>Bansal S et al., 2021</v>
      </c>
      <c r="K1177" s="1" t="str">
        <f>ExtractDOI(E1177)</f>
        <v>10.1002/ijgo.13375</v>
      </c>
      <c r="L1177" s="1" t="str">
        <f t="shared" si="128"/>
        <v>32920843</v>
      </c>
    </row>
    <row r="1178" spans="1:12" ht="30" hidden="1" x14ac:dyDescent="0.25">
      <c r="A1178" s="1">
        <f>INDEX(rq_evidence_review!A:A, MATCH(B1178, rq_evidence_review!B:B, 0))</f>
        <v>5</v>
      </c>
      <c r="B1178" s="6">
        <v>5.3</v>
      </c>
      <c r="C1178" s="1">
        <f t="shared" si="129"/>
        <v>1171</v>
      </c>
      <c r="D1178" s="1">
        <f>VLOOKUP(B1178,rq_evidence_review!$B$1:$L$55,7,FALSE)</f>
        <v>14</v>
      </c>
      <c r="E1178" s="8" t="s">
        <v>857</v>
      </c>
      <c r="H1178" s="1" t="str">
        <f t="shared" si="125"/>
        <v>Bayar U</v>
      </c>
      <c r="I1178" s="1" t="str">
        <f t="shared" si="127"/>
        <v>2006</v>
      </c>
      <c r="J1178" s="1" t="str">
        <f t="shared" si="126"/>
        <v>Bayar U et al., 2006</v>
      </c>
      <c r="K1178" s="1" t="str">
        <f>ExtractDOI(E1178)</f>
        <v>10.1016/j.fertnstert.2006.04.026</v>
      </c>
      <c r="L1178" s="1" t="str">
        <f t="shared" si="128"/>
        <v>17070196</v>
      </c>
    </row>
    <row r="1179" spans="1:12" ht="30" hidden="1" x14ac:dyDescent="0.25">
      <c r="A1179" s="1">
        <f>INDEX(rq_evidence_review!A:A, MATCH(B1179, rq_evidence_review!B:B, 0))</f>
        <v>5</v>
      </c>
      <c r="B1179" s="6">
        <v>5.3</v>
      </c>
      <c r="C1179" s="1">
        <f t="shared" si="129"/>
        <v>1172</v>
      </c>
      <c r="D1179" s="1">
        <f>VLOOKUP(B1179,rq_evidence_review!$B$1:$L$55,7,FALSE)</f>
        <v>14</v>
      </c>
      <c r="E1179" s="8" t="s">
        <v>858</v>
      </c>
      <c r="H1179" s="1" t="str">
        <f t="shared" si="125"/>
        <v>Begum</v>
      </c>
      <c r="I1179" s="1" t="str">
        <f t="shared" si="127"/>
        <v>2009</v>
      </c>
      <c r="J1179" s="1" t="str">
        <f t="shared" si="126"/>
        <v>Begum et al., 2009</v>
      </c>
      <c r="K1179" s="9" t="s">
        <v>1893</v>
      </c>
      <c r="L1179" s="1" t="str">
        <f t="shared" si="128"/>
        <v/>
      </c>
    </row>
    <row r="1180" spans="1:12" ht="45" hidden="1" x14ac:dyDescent="0.25">
      <c r="A1180" s="1">
        <f>INDEX(rq_evidence_review!A:A, MATCH(B1180, rq_evidence_review!B:B, 0))</f>
        <v>5</v>
      </c>
      <c r="B1180" s="6">
        <v>5.3</v>
      </c>
      <c r="C1180" s="1">
        <f t="shared" si="129"/>
        <v>1173</v>
      </c>
      <c r="D1180" s="1">
        <f>VLOOKUP(B1180,rq_evidence_review!$B$1:$L$55,7,FALSE)</f>
        <v>14</v>
      </c>
      <c r="E1180" s="8" t="s">
        <v>859</v>
      </c>
      <c r="H1180" s="1" t="str">
        <f t="shared" si="125"/>
        <v>Ganesh A</v>
      </c>
      <c r="I1180" s="1" t="str">
        <f t="shared" si="127"/>
        <v>2009</v>
      </c>
      <c r="J1180" s="1" t="str">
        <f t="shared" si="126"/>
        <v>Ganesh A et al., 2009</v>
      </c>
      <c r="K1180" s="1" t="str">
        <f>ExtractDOI(E1180)</f>
        <v>10.1007/s10815-008-9284-4</v>
      </c>
      <c r="L1180" s="1" t="str">
        <f t="shared" si="128"/>
        <v/>
      </c>
    </row>
    <row r="1181" spans="1:12" ht="30" hidden="1" x14ac:dyDescent="0.25">
      <c r="A1181" s="1">
        <f>INDEX(rq_evidence_review!A:A, MATCH(B1181, rq_evidence_review!B:B, 0))</f>
        <v>5</v>
      </c>
      <c r="B1181" s="6">
        <v>5.3</v>
      </c>
      <c r="C1181" s="1">
        <f t="shared" si="129"/>
        <v>1174</v>
      </c>
      <c r="D1181" s="1">
        <f>VLOOKUP(B1181,rq_evidence_review!$B$1:$L$55,7,FALSE)</f>
        <v>14</v>
      </c>
      <c r="E1181" s="8" t="s">
        <v>860</v>
      </c>
      <c r="H1181" s="1" t="str">
        <f t="shared" si="125"/>
        <v>Legro</v>
      </c>
      <c r="I1181" s="1" t="str">
        <f t="shared" si="127"/>
        <v>2014</v>
      </c>
      <c r="J1181" s="1" t="str">
        <f t="shared" si="126"/>
        <v>Legro et al., 2014</v>
      </c>
      <c r="K1181" s="9" t="s">
        <v>1894</v>
      </c>
      <c r="L1181" s="1" t="str">
        <f t="shared" si="128"/>
        <v/>
      </c>
    </row>
    <row r="1182" spans="1:12" ht="30" hidden="1" x14ac:dyDescent="0.25">
      <c r="A1182" s="1">
        <f>INDEX(rq_evidence_review!A:A, MATCH(B1182, rq_evidence_review!B:B, 0))</f>
        <v>5</v>
      </c>
      <c r="B1182" s="6">
        <v>5.3</v>
      </c>
      <c r="C1182" s="1">
        <f t="shared" si="129"/>
        <v>1175</v>
      </c>
      <c r="D1182" s="1">
        <f>VLOOKUP(B1182,rq_evidence_review!$B$1:$L$55,7,FALSE)</f>
        <v>14</v>
      </c>
      <c r="E1182" s="8" t="s">
        <v>861</v>
      </c>
      <c r="H1182" s="1" t="str">
        <f t="shared" si="125"/>
        <v>Liu</v>
      </c>
      <c r="I1182" s="1" t="str">
        <f t="shared" si="127"/>
        <v>2017</v>
      </c>
      <c r="J1182" s="1" t="str">
        <f t="shared" si="126"/>
        <v>Liu et al., 2017</v>
      </c>
      <c r="K1182" s="9" t="s">
        <v>1895</v>
      </c>
      <c r="L1182" s="1" t="str">
        <f t="shared" si="128"/>
        <v/>
      </c>
    </row>
    <row r="1183" spans="1:12" ht="30" hidden="1" x14ac:dyDescent="0.25">
      <c r="A1183" s="1">
        <f>INDEX(rq_evidence_review!A:A, MATCH(B1183, rq_evidence_review!B:B, 0))</f>
        <v>5</v>
      </c>
      <c r="B1183" s="6">
        <v>5.3</v>
      </c>
      <c r="C1183" s="1">
        <f t="shared" si="129"/>
        <v>1176</v>
      </c>
      <c r="D1183" s="1">
        <f>VLOOKUP(B1183,rq_evidence_review!$B$1:$L$55,7,FALSE)</f>
        <v>14</v>
      </c>
      <c r="E1183" s="8" t="s">
        <v>862</v>
      </c>
      <c r="H1183" s="1" t="str">
        <f t="shared" si="125"/>
        <v>Nazik</v>
      </c>
      <c r="I1183" s="1" t="str">
        <f t="shared" si="127"/>
        <v>2012</v>
      </c>
      <c r="J1183" s="1" t="str">
        <f t="shared" si="126"/>
        <v>Nazik et al., 2012</v>
      </c>
      <c r="K1183" s="9" t="s">
        <v>1896</v>
      </c>
      <c r="L1183" s="1" t="str">
        <f t="shared" si="128"/>
        <v/>
      </c>
    </row>
    <row r="1184" spans="1:12" ht="30" hidden="1" x14ac:dyDescent="0.25">
      <c r="A1184" s="1">
        <f>INDEX(rq_evidence_review!A:A, MATCH(B1184, rq_evidence_review!B:B, 0))</f>
        <v>5</v>
      </c>
      <c r="B1184" s="6">
        <v>5.3</v>
      </c>
      <c r="C1184" s="1">
        <f t="shared" si="129"/>
        <v>1177</v>
      </c>
      <c r="D1184" s="1">
        <f>VLOOKUP(B1184,rq_evidence_review!$B$1:$L$55,7,FALSE)</f>
        <v>14</v>
      </c>
      <c r="E1184" s="8" t="s">
        <v>863</v>
      </c>
      <c r="H1184" s="1" t="str">
        <f t="shared" si="125"/>
        <v>Pourghasem S</v>
      </c>
      <c r="I1184" s="1" t="str">
        <f t="shared" si="127"/>
        <v>2019</v>
      </c>
      <c r="J1184" s="1" t="str">
        <f t="shared" si="126"/>
        <v>Pourghasem S et al., 2019</v>
      </c>
      <c r="K1184" s="1" t="str">
        <f>ExtractDOI(E1184)</f>
        <v>10.1007/s00404-019-05064-5</v>
      </c>
      <c r="L1184" s="1" t="str">
        <f t="shared" si="128"/>
        <v>30847561</v>
      </c>
    </row>
    <row r="1185" spans="1:12" ht="30" hidden="1" x14ac:dyDescent="0.25">
      <c r="A1185" s="1">
        <f>INDEX(rq_evidence_review!A:A, MATCH(B1185, rq_evidence_review!B:B, 0))</f>
        <v>5</v>
      </c>
      <c r="B1185" s="6">
        <v>5.3</v>
      </c>
      <c r="C1185" s="1">
        <f t="shared" si="129"/>
        <v>1178</v>
      </c>
      <c r="D1185" s="1">
        <f>VLOOKUP(B1185,rq_evidence_review!$B$1:$L$55,7,FALSE)</f>
        <v>14</v>
      </c>
      <c r="E1185" s="8" t="s">
        <v>864</v>
      </c>
      <c r="H1185" s="1" t="str">
        <f t="shared" si="125"/>
        <v>Ray Banerjee P</v>
      </c>
      <c r="I1185" s="1" t="str">
        <f t="shared" si="127"/>
        <v>2012</v>
      </c>
      <c r="J1185" s="1" t="str">
        <f t="shared" si="126"/>
        <v>Ray Banerjee P et al., 2012</v>
      </c>
      <c r="K1185" s="9" t="s">
        <v>1897</v>
      </c>
      <c r="L1185" s="1" t="str">
        <f t="shared" si="128"/>
        <v/>
      </c>
    </row>
    <row r="1186" spans="1:12" ht="45" hidden="1" x14ac:dyDescent="0.25">
      <c r="A1186" s="1">
        <f>INDEX(rq_evidence_review!A:A, MATCH(B1186, rq_evidence_review!B:B, 0))</f>
        <v>5</v>
      </c>
      <c r="B1186" s="6">
        <v>5.3</v>
      </c>
      <c r="C1186" s="1">
        <f t="shared" si="129"/>
        <v>1179</v>
      </c>
      <c r="D1186" s="1">
        <f>VLOOKUP(B1186,rq_evidence_review!$B$1:$L$55,7,FALSE)</f>
        <v>14</v>
      </c>
      <c r="E1186" s="8" t="s">
        <v>865</v>
      </c>
      <c r="H1186" s="1" t="str">
        <f t="shared" ref="H1186:H1249" si="130">LEFT(E1186, FIND(",", E1186) - 1)</f>
        <v>Roy KK</v>
      </c>
      <c r="I1186" s="1" t="str">
        <f t="shared" si="127"/>
        <v>2012</v>
      </c>
      <c r="J1186" s="1" t="str">
        <f t="shared" ref="J1186:J1249" si="131">H1186 &amp; " et al., " &amp; I1186</f>
        <v>Roy KK et al., 2012</v>
      </c>
      <c r="K1186" s="1" t="str">
        <f>ExtractDOI(E1186)</f>
        <v>10.4103/0974-1208.97789</v>
      </c>
      <c r="L1186" s="1" t="str">
        <f t="shared" si="128"/>
        <v>22870010</v>
      </c>
    </row>
    <row r="1187" spans="1:12" ht="30" hidden="1" x14ac:dyDescent="0.25">
      <c r="A1187" s="1">
        <f>INDEX(rq_evidence_review!A:A, MATCH(B1187, rq_evidence_review!B:B, 0))</f>
        <v>5</v>
      </c>
      <c r="B1187" s="6">
        <v>5.3</v>
      </c>
      <c r="C1187" s="1">
        <f t="shared" si="129"/>
        <v>1180</v>
      </c>
      <c r="D1187" s="1">
        <f>VLOOKUP(B1187,rq_evidence_review!$B$1:$L$55,7,FALSE)</f>
        <v>14</v>
      </c>
      <c r="E1187" s="8" t="s">
        <v>866</v>
      </c>
      <c r="H1187" s="1" t="str">
        <f t="shared" si="130"/>
        <v>Sohrabvand F</v>
      </c>
      <c r="I1187" s="1" t="str">
        <f t="shared" ref="I1187:I1250" si="132">ExtractYear(E1187)</f>
        <v>2006</v>
      </c>
      <c r="J1187" s="1" t="str">
        <f t="shared" si="131"/>
        <v>Sohrabvand F et al., 2006</v>
      </c>
      <c r="K1187" s="1" t="str">
        <f t="shared" ref="K1187:K1250" si="133">ExtractDOI(E1187)</f>
        <v>10.1093/humrep/del020</v>
      </c>
      <c r="L1187" s="1" t="str">
        <f t="shared" ref="L1187:L1250" si="134">ExtractPMID(E1187)</f>
        <v/>
      </c>
    </row>
    <row r="1188" spans="1:12" ht="30" hidden="1" x14ac:dyDescent="0.25">
      <c r="A1188" s="1">
        <f>INDEX(rq_evidence_review!A:A, MATCH(B1188, rq_evidence_review!B:B, 0))</f>
        <v>5</v>
      </c>
      <c r="B1188" s="6">
        <v>5.3</v>
      </c>
      <c r="C1188" s="1">
        <f t="shared" si="129"/>
        <v>1181</v>
      </c>
      <c r="D1188" s="1">
        <f>VLOOKUP(B1188,rq_evidence_review!$B$1:$L$55,7,FALSE)</f>
        <v>14</v>
      </c>
      <c r="E1188" s="8" t="s">
        <v>867</v>
      </c>
      <c r="H1188" s="1" t="str">
        <f t="shared" si="130"/>
        <v>Zeinalzadeh</v>
      </c>
      <c r="I1188" s="1" t="str">
        <f t="shared" si="132"/>
        <v>2010</v>
      </c>
      <c r="J1188" s="1" t="str">
        <f t="shared" si="131"/>
        <v>Zeinalzadeh et al., 2010</v>
      </c>
      <c r="K1188" s="1" t="str">
        <f t="shared" si="133"/>
        <v/>
      </c>
      <c r="L1188" s="10">
        <v>20337206</v>
      </c>
    </row>
    <row r="1189" spans="1:12" ht="45" hidden="1" x14ac:dyDescent="0.25">
      <c r="A1189" s="1">
        <f>INDEX(rq_evidence_review!A:A, MATCH(B1189, rq_evidence_review!B:B, 0))</f>
        <v>5</v>
      </c>
      <c r="B1189" s="6">
        <f>rq_evidence_review!B44</f>
        <v>5.4</v>
      </c>
      <c r="C1189" s="1">
        <f t="shared" si="129"/>
        <v>1182</v>
      </c>
      <c r="D1189" s="1">
        <f>VLOOKUP(B1189,rq_evidence_review!$B$1:$L$55,7,FALSE)</f>
        <v>34</v>
      </c>
      <c r="E1189" s="8" t="s">
        <v>868</v>
      </c>
      <c r="H1189" s="1" t="str">
        <f t="shared" si="130"/>
        <v>Amer SA</v>
      </c>
      <c r="I1189" s="1" t="str">
        <f t="shared" si="132"/>
        <v>2009</v>
      </c>
      <c r="J1189" s="1" t="str">
        <f t="shared" si="131"/>
        <v>Amer SA et al., 2009</v>
      </c>
      <c r="K1189" s="1" t="str">
        <f t="shared" si="133"/>
        <v>10.1093/humrep/den325</v>
      </c>
      <c r="L1189" s="1" t="str">
        <f t="shared" si="134"/>
        <v/>
      </c>
    </row>
    <row r="1190" spans="1:12" ht="30" hidden="1" x14ac:dyDescent="0.25">
      <c r="A1190" s="1">
        <f>INDEX(rq_evidence_review!A:A, MATCH(B1190, rq_evidence_review!B:B, 0))</f>
        <v>5</v>
      </c>
      <c r="B1190" s="6">
        <v>5.4</v>
      </c>
      <c r="C1190" s="1">
        <f t="shared" si="129"/>
        <v>1183</v>
      </c>
      <c r="D1190" s="1">
        <f>VLOOKUP(B1190,rq_evidence_review!$B$1:$L$55,7,FALSE)</f>
        <v>34</v>
      </c>
      <c r="E1190" s="8" t="s">
        <v>869</v>
      </c>
      <c r="H1190" s="1" t="str">
        <f t="shared" si="130"/>
        <v>Amer SA</v>
      </c>
      <c r="I1190" s="1" t="str">
        <f t="shared" si="132"/>
        <v>2017</v>
      </c>
      <c r="J1190" s="1" t="str">
        <f t="shared" si="131"/>
        <v>Amer SA et al., 2017</v>
      </c>
      <c r="K1190" s="1" t="str">
        <f t="shared" si="133"/>
        <v>10.1093/humrep/dex227</v>
      </c>
      <c r="L1190" s="1" t="str">
        <f t="shared" si="134"/>
        <v/>
      </c>
    </row>
    <row r="1191" spans="1:12" ht="30" hidden="1" x14ac:dyDescent="0.25">
      <c r="A1191" s="1">
        <f>INDEX(rq_evidence_review!A:A, MATCH(B1191, rq_evidence_review!B:B, 0))</f>
        <v>5</v>
      </c>
      <c r="B1191" s="6">
        <v>5.4</v>
      </c>
      <c r="C1191" s="1">
        <f t="shared" si="129"/>
        <v>1184</v>
      </c>
      <c r="D1191" s="1">
        <f>VLOOKUP(B1191,rq_evidence_review!$B$1:$L$55,7,FALSE)</f>
        <v>34</v>
      </c>
      <c r="E1191" s="8" t="s">
        <v>870</v>
      </c>
      <c r="H1191" s="1" t="str">
        <f t="shared" si="130"/>
        <v>Atay</v>
      </c>
      <c r="I1191" s="1" t="str">
        <f t="shared" si="132"/>
        <v>2006</v>
      </c>
      <c r="J1191" s="1" t="str">
        <f t="shared" si="131"/>
        <v>Atay et al., 2006</v>
      </c>
      <c r="K1191" s="9" t="s">
        <v>1892</v>
      </c>
      <c r="L1191" s="1" t="str">
        <f t="shared" si="134"/>
        <v/>
      </c>
    </row>
    <row r="1192" spans="1:12" ht="30" hidden="1" x14ac:dyDescent="0.25">
      <c r="A1192" s="1">
        <f>INDEX(rq_evidence_review!A:A, MATCH(B1192, rq_evidence_review!B:B, 0))</f>
        <v>5</v>
      </c>
      <c r="B1192" s="6">
        <v>5.4</v>
      </c>
      <c r="C1192" s="1">
        <f t="shared" si="129"/>
        <v>1185</v>
      </c>
      <c r="D1192" s="1">
        <f>VLOOKUP(B1192,rq_evidence_review!$B$1:$L$55,7,FALSE)</f>
        <v>34</v>
      </c>
      <c r="E1192" s="8" t="s">
        <v>871</v>
      </c>
      <c r="H1192" s="1" t="str">
        <f t="shared" si="130"/>
        <v>Bansal S</v>
      </c>
      <c r="I1192" s="1" t="str">
        <f t="shared" si="132"/>
        <v>2021</v>
      </c>
      <c r="J1192" s="1" t="str">
        <f t="shared" si="131"/>
        <v>Bansal S et al., 2021</v>
      </c>
      <c r="K1192" s="1" t="str">
        <f t="shared" si="133"/>
        <v>10.1002/ijgo.13375</v>
      </c>
      <c r="L1192" s="1" t="str">
        <f t="shared" si="134"/>
        <v/>
      </c>
    </row>
    <row r="1193" spans="1:12" ht="30" hidden="1" x14ac:dyDescent="0.25">
      <c r="A1193" s="1">
        <f>INDEX(rq_evidence_review!A:A, MATCH(B1193, rq_evidence_review!B:B, 0))</f>
        <v>5</v>
      </c>
      <c r="B1193" s="6">
        <v>5.4</v>
      </c>
      <c r="C1193" s="1">
        <f t="shared" si="129"/>
        <v>1186</v>
      </c>
      <c r="D1193" s="1">
        <f>VLOOKUP(B1193,rq_evidence_review!$B$1:$L$55,7,FALSE)</f>
        <v>34</v>
      </c>
      <c r="E1193" s="8" t="s">
        <v>872</v>
      </c>
      <c r="H1193" s="1" t="str">
        <f t="shared" si="130"/>
        <v>Bayar U</v>
      </c>
      <c r="I1193" s="1" t="str">
        <f t="shared" si="132"/>
        <v>2006</v>
      </c>
      <c r="J1193" s="1" t="str">
        <f t="shared" si="131"/>
        <v>Bayar U et al., 2006</v>
      </c>
      <c r="K1193" s="1" t="str">
        <f t="shared" si="133"/>
        <v>10.1016/j.fertnstert.2006.04.026</v>
      </c>
      <c r="L1193" s="1" t="str">
        <f t="shared" si="134"/>
        <v/>
      </c>
    </row>
    <row r="1194" spans="1:12" ht="30" hidden="1" x14ac:dyDescent="0.25">
      <c r="A1194" s="1">
        <f>INDEX(rq_evidence_review!A:A, MATCH(B1194, rq_evidence_review!B:B, 0))</f>
        <v>5</v>
      </c>
      <c r="B1194" s="6">
        <v>5.4</v>
      </c>
      <c r="C1194" s="1">
        <f t="shared" si="129"/>
        <v>1187</v>
      </c>
      <c r="D1194" s="1">
        <f>VLOOKUP(B1194,rq_evidence_review!$B$1:$L$55,7,FALSE)</f>
        <v>34</v>
      </c>
      <c r="E1194" s="8" t="s">
        <v>858</v>
      </c>
      <c r="H1194" s="1" t="str">
        <f t="shared" si="130"/>
        <v>Begum</v>
      </c>
      <c r="I1194" s="1" t="str">
        <f t="shared" si="132"/>
        <v>2009</v>
      </c>
      <c r="J1194" s="1" t="str">
        <f t="shared" si="131"/>
        <v>Begum et al., 2009</v>
      </c>
      <c r="K1194" s="9" t="s">
        <v>1893</v>
      </c>
      <c r="L1194" s="1" t="str">
        <f t="shared" si="134"/>
        <v/>
      </c>
    </row>
    <row r="1195" spans="1:12" ht="30" hidden="1" x14ac:dyDescent="0.25">
      <c r="A1195" s="1">
        <f>INDEX(rq_evidence_review!A:A, MATCH(B1195, rq_evidence_review!B:B, 0))</f>
        <v>5</v>
      </c>
      <c r="B1195" s="6">
        <v>5.4</v>
      </c>
      <c r="C1195" s="1">
        <f t="shared" si="129"/>
        <v>1188</v>
      </c>
      <c r="D1195" s="1">
        <f>VLOOKUP(B1195,rq_evidence_review!$B$1:$L$55,7,FALSE)</f>
        <v>34</v>
      </c>
      <c r="E1195" s="8" t="s">
        <v>873</v>
      </c>
      <c r="H1195" s="1" t="str">
        <f t="shared" si="130"/>
        <v>Begum</v>
      </c>
      <c r="I1195" s="1" t="str">
        <f t="shared" si="132"/>
        <v>2013</v>
      </c>
      <c r="J1195" s="1" t="str">
        <f t="shared" si="131"/>
        <v>Begum et al., 2013</v>
      </c>
      <c r="K1195" s="9" t="s">
        <v>1898</v>
      </c>
      <c r="L1195" s="1" t="str">
        <f t="shared" si="134"/>
        <v/>
      </c>
    </row>
    <row r="1196" spans="1:12" ht="30" hidden="1" x14ac:dyDescent="0.25">
      <c r="A1196" s="1">
        <f>INDEX(rq_evidence_review!A:A, MATCH(B1196, rq_evidence_review!B:B, 0))</f>
        <v>5</v>
      </c>
      <c r="B1196" s="6">
        <v>5.4</v>
      </c>
      <c r="C1196" s="1">
        <f t="shared" si="129"/>
        <v>1189</v>
      </c>
      <c r="D1196" s="1">
        <f>VLOOKUP(B1196,rq_evidence_review!$B$1:$L$55,7,FALSE)</f>
        <v>34</v>
      </c>
      <c r="E1196" s="8" t="s">
        <v>874</v>
      </c>
      <c r="H1196" s="1" t="str">
        <f t="shared" si="130"/>
        <v>De Leo V</v>
      </c>
      <c r="I1196" s="1" t="str">
        <f t="shared" si="132"/>
        <v>1999</v>
      </c>
      <c r="J1196" s="1" t="str">
        <f t="shared" si="131"/>
        <v>De Leo V et al., 1999</v>
      </c>
      <c r="K1196" s="1" t="str">
        <f t="shared" si="133"/>
        <v>10.1016/s0015-0282(99)00208-3</v>
      </c>
      <c r="L1196" s="1" t="str">
        <f t="shared" si="134"/>
        <v/>
      </c>
    </row>
    <row r="1197" spans="1:12" ht="30" hidden="1" x14ac:dyDescent="0.25">
      <c r="A1197" s="1">
        <f>INDEX(rq_evidence_review!A:A, MATCH(B1197, rq_evidence_review!B:B, 0))</f>
        <v>5</v>
      </c>
      <c r="B1197" s="6">
        <v>5.4</v>
      </c>
      <c r="C1197" s="1">
        <f t="shared" si="129"/>
        <v>1190</v>
      </c>
      <c r="D1197" s="1">
        <f>VLOOKUP(B1197,rq_evidence_review!$B$1:$L$55,7,FALSE)</f>
        <v>34</v>
      </c>
      <c r="E1197" s="8" t="s">
        <v>875</v>
      </c>
      <c r="H1197" s="1" t="str">
        <f t="shared" si="130"/>
        <v>Fleming R</v>
      </c>
      <c r="I1197" s="1" t="str">
        <f t="shared" si="132"/>
        <v>2002</v>
      </c>
      <c r="J1197" s="1" t="str">
        <f t="shared" si="131"/>
        <v>Fleming R et al., 2002</v>
      </c>
      <c r="K1197" s="1" t="str">
        <f t="shared" si="133"/>
        <v>10.1210/jcem.87.2.8261</v>
      </c>
      <c r="L1197" s="1" t="str">
        <f t="shared" si="134"/>
        <v/>
      </c>
    </row>
    <row r="1198" spans="1:12" ht="45" hidden="1" x14ac:dyDescent="0.25">
      <c r="A1198" s="1">
        <f>INDEX(rq_evidence_review!A:A, MATCH(B1198, rq_evidence_review!B:B, 0))</f>
        <v>5</v>
      </c>
      <c r="B1198" s="6">
        <v>5.4</v>
      </c>
      <c r="C1198" s="1">
        <f t="shared" si="129"/>
        <v>1191</v>
      </c>
      <c r="D1198" s="1">
        <f>VLOOKUP(B1198,rq_evidence_review!$B$1:$L$55,7,FALSE)</f>
        <v>34</v>
      </c>
      <c r="E1198" s="8" t="s">
        <v>876</v>
      </c>
      <c r="H1198" s="1" t="str">
        <f t="shared" si="130"/>
        <v>Ganesh A</v>
      </c>
      <c r="I1198" s="1" t="str">
        <f t="shared" si="132"/>
        <v>2009</v>
      </c>
      <c r="J1198" s="1" t="str">
        <f t="shared" si="131"/>
        <v>Ganesh A et al., 2009</v>
      </c>
      <c r="K1198" s="1" t="str">
        <f t="shared" si="133"/>
        <v>10.1007/s10815-008-9284-4</v>
      </c>
      <c r="L1198" s="1" t="str">
        <f t="shared" si="134"/>
        <v>19127427</v>
      </c>
    </row>
    <row r="1199" spans="1:12" ht="45" hidden="1" x14ac:dyDescent="0.25">
      <c r="A1199" s="1">
        <f>INDEX(rq_evidence_review!A:A, MATCH(B1199, rq_evidence_review!B:B, 0))</f>
        <v>5</v>
      </c>
      <c r="B1199" s="6">
        <v>5.4</v>
      </c>
      <c r="C1199" s="1">
        <f t="shared" si="129"/>
        <v>1192</v>
      </c>
      <c r="D1199" s="1">
        <f>VLOOKUP(B1199,rq_evidence_review!$B$1:$L$55,7,FALSE)</f>
        <v>34</v>
      </c>
      <c r="E1199" s="8" t="s">
        <v>877</v>
      </c>
      <c r="H1199" s="1" t="str">
        <f t="shared" si="130"/>
        <v>Ghanem</v>
      </c>
      <c r="I1199" s="1" t="str">
        <f t="shared" si="132"/>
        <v>2013</v>
      </c>
      <c r="J1199" s="1" t="str">
        <f t="shared" si="131"/>
        <v>Ghanem et al., 2013</v>
      </c>
      <c r="K1199" s="9" t="s">
        <v>1899</v>
      </c>
      <c r="L1199" s="1" t="str">
        <f t="shared" si="134"/>
        <v/>
      </c>
    </row>
    <row r="1200" spans="1:12" ht="45" hidden="1" x14ac:dyDescent="0.25">
      <c r="A1200" s="1">
        <f>INDEX(rq_evidence_review!A:A, MATCH(B1200, rq_evidence_review!B:B, 0))</f>
        <v>5</v>
      </c>
      <c r="B1200" s="6">
        <v>5.4</v>
      </c>
      <c r="C1200" s="1">
        <f t="shared" si="129"/>
        <v>1193</v>
      </c>
      <c r="D1200" s="1">
        <f>VLOOKUP(B1200,rq_evidence_review!$B$1:$L$55,7,FALSE)</f>
        <v>34</v>
      </c>
      <c r="E1200" s="8" t="s">
        <v>878</v>
      </c>
      <c r="H1200" s="1" t="str">
        <f t="shared" si="130"/>
        <v>George SS</v>
      </c>
      <c r="I1200" s="1" t="str">
        <f t="shared" si="132"/>
        <v>2003</v>
      </c>
      <c r="J1200" s="1" t="str">
        <f t="shared" si="131"/>
        <v>George SS et al., 2003</v>
      </c>
      <c r="K1200" s="1" t="str">
        <f t="shared" si="133"/>
        <v>10.1093/humrep/deg105</v>
      </c>
      <c r="L1200" s="1" t="str">
        <f t="shared" si="134"/>
        <v/>
      </c>
    </row>
    <row r="1201" spans="1:12" ht="45" hidden="1" x14ac:dyDescent="0.25">
      <c r="A1201" s="1">
        <f>INDEX(rq_evidence_review!A:A, MATCH(B1201, rq_evidence_review!B:B, 0))</f>
        <v>5</v>
      </c>
      <c r="B1201" s="6">
        <v>5.4</v>
      </c>
      <c r="C1201" s="1">
        <f t="shared" si="129"/>
        <v>1194</v>
      </c>
      <c r="D1201" s="1">
        <f>VLOOKUP(B1201,rq_evidence_review!$B$1:$L$55,7,FALSE)</f>
        <v>34</v>
      </c>
      <c r="E1201" s="8" t="s">
        <v>879</v>
      </c>
      <c r="H1201" s="1" t="str">
        <f t="shared" si="130"/>
        <v>Hoeger KM</v>
      </c>
      <c r="I1201" s="1" t="str">
        <f t="shared" si="132"/>
        <v>2004</v>
      </c>
      <c r="J1201" s="1" t="str">
        <f t="shared" si="131"/>
        <v>Hoeger KM et al., 2004</v>
      </c>
      <c r="K1201" s="1" t="str">
        <f t="shared" si="133"/>
        <v>10.1016/j.fertnstert.2004.02.104</v>
      </c>
      <c r="L1201" s="1" t="str">
        <f t="shared" si="134"/>
        <v/>
      </c>
    </row>
    <row r="1202" spans="1:12" ht="45" hidden="1" x14ac:dyDescent="0.25">
      <c r="A1202" s="1">
        <f>INDEX(rq_evidence_review!A:A, MATCH(B1202, rq_evidence_review!B:B, 0))</f>
        <v>5</v>
      </c>
      <c r="B1202" s="6">
        <v>5.4</v>
      </c>
      <c r="C1202" s="1">
        <f t="shared" si="129"/>
        <v>1195</v>
      </c>
      <c r="D1202" s="1">
        <f>VLOOKUP(B1202,rq_evidence_review!$B$1:$L$55,7,FALSE)</f>
        <v>34</v>
      </c>
      <c r="E1202" s="8" t="s">
        <v>880</v>
      </c>
      <c r="H1202" s="1" t="str">
        <f t="shared" si="130"/>
        <v>Homburg R</v>
      </c>
      <c r="I1202" s="1" t="str">
        <f t="shared" si="132"/>
        <v>2012</v>
      </c>
      <c r="J1202" s="1" t="str">
        <f t="shared" si="131"/>
        <v>Homburg R et al., 2012</v>
      </c>
      <c r="K1202" s="1" t="str">
        <f t="shared" si="133"/>
        <v>10.1093/humrep/der401</v>
      </c>
      <c r="L1202" s="1" t="str">
        <f t="shared" si="134"/>
        <v/>
      </c>
    </row>
    <row r="1203" spans="1:12" ht="45" hidden="1" x14ac:dyDescent="0.25">
      <c r="A1203" s="1">
        <f>INDEX(rq_evidence_review!A:A, MATCH(B1203, rq_evidence_review!B:B, 0))</f>
        <v>5</v>
      </c>
      <c r="B1203" s="6">
        <v>5.4</v>
      </c>
      <c r="C1203" s="1">
        <f t="shared" si="129"/>
        <v>1196</v>
      </c>
      <c r="D1203" s="1">
        <f>VLOOKUP(B1203,rq_evidence_review!$B$1:$L$55,7,FALSE)</f>
        <v>34</v>
      </c>
      <c r="E1203" s="8" t="s">
        <v>881</v>
      </c>
      <c r="H1203" s="1" t="str">
        <f t="shared" si="130"/>
        <v>Johnson NP</v>
      </c>
      <c r="I1203" s="1" t="str">
        <f t="shared" si="132"/>
        <v>2010</v>
      </c>
      <c r="J1203" s="1" t="str">
        <f t="shared" si="131"/>
        <v>Johnson NP et al., 2010</v>
      </c>
      <c r="K1203" s="1" t="str">
        <f t="shared" si="133"/>
        <v>10.1093/humrep/deq100</v>
      </c>
      <c r="L1203" s="1" t="str">
        <f t="shared" si="134"/>
        <v/>
      </c>
    </row>
    <row r="1204" spans="1:12" ht="30" hidden="1" x14ac:dyDescent="0.25">
      <c r="A1204" s="1">
        <f>INDEX(rq_evidence_review!A:A, MATCH(B1204, rq_evidence_review!B:B, 0))</f>
        <v>5</v>
      </c>
      <c r="B1204" s="6">
        <v>5.4</v>
      </c>
      <c r="C1204" s="1">
        <f t="shared" si="129"/>
        <v>1197</v>
      </c>
      <c r="D1204" s="1">
        <f>VLOOKUP(B1204,rq_evidence_review!$B$1:$L$55,7,FALSE)</f>
        <v>34</v>
      </c>
      <c r="E1204" s="8" t="s">
        <v>882</v>
      </c>
      <c r="H1204" s="1" t="str">
        <f t="shared" si="130"/>
        <v>Kar S</v>
      </c>
      <c r="I1204" s="1" t="str">
        <f t="shared" si="132"/>
        <v>2015</v>
      </c>
      <c r="J1204" s="1" t="str">
        <f t="shared" si="131"/>
        <v>Kar S et al., 2015</v>
      </c>
      <c r="K1204" s="1" t="str">
        <f t="shared" si="133"/>
        <v>10.4103/0974-1208.170373</v>
      </c>
      <c r="L1204" s="1" t="str">
        <f t="shared" si="134"/>
        <v/>
      </c>
    </row>
    <row r="1205" spans="1:12" ht="30" hidden="1" x14ac:dyDescent="0.25">
      <c r="A1205" s="1">
        <f>INDEX(rq_evidence_review!A:A, MATCH(B1205, rq_evidence_review!B:B, 0))</f>
        <v>5</v>
      </c>
      <c r="B1205" s="6">
        <v>5.4</v>
      </c>
      <c r="C1205" s="1">
        <f t="shared" si="129"/>
        <v>1198</v>
      </c>
      <c r="D1205" s="1">
        <f>VLOOKUP(B1205,rq_evidence_review!$B$1:$L$55,7,FALSE)</f>
        <v>34</v>
      </c>
      <c r="E1205" s="8" t="s">
        <v>883</v>
      </c>
      <c r="H1205" s="1" t="str">
        <f t="shared" si="130"/>
        <v>Kocak M</v>
      </c>
      <c r="I1205" s="1" t="str">
        <f t="shared" si="132"/>
        <v>2002</v>
      </c>
      <c r="J1205" s="1" t="str">
        <f t="shared" si="131"/>
        <v>Kocak M et al., 2002</v>
      </c>
      <c r="K1205" s="1" t="str">
        <f t="shared" si="133"/>
        <v>10.1016/s0015-0282(01)02941-7</v>
      </c>
      <c r="L1205" s="1" t="str">
        <f t="shared" si="134"/>
        <v/>
      </c>
    </row>
    <row r="1206" spans="1:12" ht="45" hidden="1" x14ac:dyDescent="0.25">
      <c r="A1206" s="1">
        <f>INDEX(rq_evidence_review!A:A, MATCH(B1206, rq_evidence_review!B:B, 0))</f>
        <v>5</v>
      </c>
      <c r="B1206" s="6">
        <v>5.4</v>
      </c>
      <c r="C1206" s="1">
        <f t="shared" si="129"/>
        <v>1199</v>
      </c>
      <c r="D1206" s="1">
        <f>VLOOKUP(B1206,rq_evidence_review!$B$1:$L$55,7,FALSE)</f>
        <v>34</v>
      </c>
      <c r="E1206" s="8" t="s">
        <v>884</v>
      </c>
      <c r="H1206" s="1" t="str">
        <f t="shared" si="130"/>
        <v>Kjotrod</v>
      </c>
      <c r="I1206" s="1" t="str">
        <f t="shared" si="132"/>
        <v>2011</v>
      </c>
      <c r="J1206" s="1" t="str">
        <f t="shared" si="131"/>
        <v>Kjotrod et al., 2011</v>
      </c>
      <c r="K1206" s="9" t="s">
        <v>1900</v>
      </c>
      <c r="L1206" s="1" t="str">
        <f t="shared" si="134"/>
        <v/>
      </c>
    </row>
    <row r="1207" spans="1:12" ht="45" hidden="1" x14ac:dyDescent="0.25">
      <c r="A1207" s="1">
        <f>INDEX(rq_evidence_review!A:A, MATCH(B1207, rq_evidence_review!B:B, 0))</f>
        <v>5</v>
      </c>
      <c r="B1207" s="6">
        <v>5.4</v>
      </c>
      <c r="C1207" s="1">
        <f t="shared" si="129"/>
        <v>1200</v>
      </c>
      <c r="D1207" s="1">
        <f>VLOOKUP(B1207,rq_evidence_review!$B$1:$L$55,7,FALSE)</f>
        <v>34</v>
      </c>
      <c r="E1207" s="8" t="s">
        <v>885</v>
      </c>
      <c r="H1207" s="1" t="str">
        <f t="shared" si="130"/>
        <v>Liu C</v>
      </c>
      <c r="I1207" s="1" t="str">
        <f t="shared" si="132"/>
        <v>2017</v>
      </c>
      <c r="J1207" s="1" t="str">
        <f t="shared" si="131"/>
        <v>Liu C et al., 2017</v>
      </c>
      <c r="K1207" s="1" t="str">
        <f t="shared" si="133"/>
        <v>10.1080/09513590.2017.1332174</v>
      </c>
      <c r="L1207" s="1" t="str">
        <f t="shared" si="134"/>
        <v/>
      </c>
    </row>
    <row r="1208" spans="1:12" ht="30" hidden="1" x14ac:dyDescent="0.25">
      <c r="A1208" s="1">
        <f>INDEX(rq_evidence_review!A:A, MATCH(B1208, rq_evidence_review!B:B, 0))</f>
        <v>5</v>
      </c>
      <c r="B1208" s="6">
        <v>5.4</v>
      </c>
      <c r="C1208" s="1">
        <f t="shared" si="129"/>
        <v>1201</v>
      </c>
      <c r="D1208" s="1">
        <f>VLOOKUP(B1208,rq_evidence_review!$B$1:$L$55,7,FALSE)</f>
        <v>34</v>
      </c>
      <c r="E1208" s="8" t="s">
        <v>886</v>
      </c>
      <c r="H1208" s="1" t="str">
        <f t="shared" si="130"/>
        <v>Lopez</v>
      </c>
      <c r="I1208" s="1" t="str">
        <f t="shared" si="132"/>
        <v>2004</v>
      </c>
      <c r="J1208" s="1" t="str">
        <f t="shared" si="131"/>
        <v>Lopez et al., 2004</v>
      </c>
      <c r="K1208" s="9" t="s">
        <v>1901</v>
      </c>
      <c r="L1208" s="1" t="str">
        <f t="shared" si="134"/>
        <v/>
      </c>
    </row>
    <row r="1209" spans="1:12" ht="45" hidden="1" x14ac:dyDescent="0.25">
      <c r="A1209" s="1">
        <f>INDEX(rq_evidence_review!A:A, MATCH(B1209, rq_evidence_review!B:B, 0))</f>
        <v>5</v>
      </c>
      <c r="B1209" s="6">
        <v>5.4</v>
      </c>
      <c r="C1209" s="1">
        <f t="shared" si="129"/>
        <v>1202</v>
      </c>
      <c r="D1209" s="1">
        <f>VLOOKUP(B1209,rq_evidence_review!$B$1:$L$55,7,FALSE)</f>
        <v>34</v>
      </c>
      <c r="E1209" s="8" t="s">
        <v>887</v>
      </c>
      <c r="H1209" s="1" t="str">
        <f t="shared" si="130"/>
        <v>Legro RS</v>
      </c>
      <c r="I1209" s="1" t="str">
        <f t="shared" si="132"/>
        <v>2007</v>
      </c>
      <c r="J1209" s="1" t="str">
        <f t="shared" si="131"/>
        <v>Legro RS et al., 2007</v>
      </c>
      <c r="K1209" s="9" t="s">
        <v>1902</v>
      </c>
      <c r="L1209" s="1" t="str">
        <f t="shared" si="134"/>
        <v/>
      </c>
    </row>
    <row r="1210" spans="1:12" ht="30" hidden="1" x14ac:dyDescent="0.25">
      <c r="A1210" s="1">
        <f>INDEX(rq_evidence_review!A:A, MATCH(B1210, rq_evidence_review!B:B, 0))</f>
        <v>5</v>
      </c>
      <c r="B1210" s="6">
        <v>5.4</v>
      </c>
      <c r="C1210" s="1">
        <f t="shared" si="129"/>
        <v>1203</v>
      </c>
      <c r="D1210" s="1">
        <f>VLOOKUP(B1210,rq_evidence_review!$B$1:$L$55,7,FALSE)</f>
        <v>34</v>
      </c>
      <c r="E1210" s="8" t="s">
        <v>860</v>
      </c>
      <c r="H1210" s="1" t="str">
        <f t="shared" si="130"/>
        <v>Legro</v>
      </c>
      <c r="I1210" s="1" t="str">
        <f t="shared" si="132"/>
        <v>2014</v>
      </c>
      <c r="J1210" s="1" t="str">
        <f t="shared" si="131"/>
        <v>Legro et al., 2014</v>
      </c>
      <c r="K1210" s="9" t="s">
        <v>1894</v>
      </c>
      <c r="L1210" s="1" t="str">
        <f t="shared" si="134"/>
        <v/>
      </c>
    </row>
    <row r="1211" spans="1:12" ht="45" hidden="1" x14ac:dyDescent="0.25">
      <c r="A1211" s="1">
        <f>INDEX(rq_evidence_review!A:A, MATCH(B1211, rq_evidence_review!B:B, 0))</f>
        <v>5</v>
      </c>
      <c r="B1211" s="6">
        <v>5.4</v>
      </c>
      <c r="C1211" s="1">
        <f t="shared" si="129"/>
        <v>1204</v>
      </c>
      <c r="D1211" s="1">
        <f>VLOOKUP(B1211,rq_evidence_review!$B$1:$L$55,7,FALSE)</f>
        <v>34</v>
      </c>
      <c r="E1211" s="8" t="s">
        <v>888</v>
      </c>
      <c r="H1211" s="1" t="str">
        <f t="shared" si="130"/>
        <v>Morin-Papunen L</v>
      </c>
      <c r="I1211" s="1" t="str">
        <f t="shared" si="132"/>
        <v>2012</v>
      </c>
      <c r="J1211" s="1" t="str">
        <f t="shared" si="131"/>
        <v>Morin-Papunen L et al., 2012</v>
      </c>
      <c r="K1211" s="1" t="str">
        <f t="shared" si="133"/>
        <v>10.1210/jc.2011-3061</v>
      </c>
      <c r="L1211" s="1" t="str">
        <f t="shared" si="134"/>
        <v/>
      </c>
    </row>
    <row r="1212" spans="1:12" ht="30" hidden="1" x14ac:dyDescent="0.25">
      <c r="A1212" s="1">
        <f>INDEX(rq_evidence_review!A:A, MATCH(B1212, rq_evidence_review!B:B, 0))</f>
        <v>5</v>
      </c>
      <c r="B1212" s="6">
        <v>5.4</v>
      </c>
      <c r="C1212" s="1">
        <f t="shared" si="129"/>
        <v>1205</v>
      </c>
      <c r="D1212" s="1">
        <f>VLOOKUP(B1212,rq_evidence_review!$B$1:$L$55,7,FALSE)</f>
        <v>34</v>
      </c>
      <c r="E1212" s="8" t="s">
        <v>889</v>
      </c>
      <c r="H1212" s="1" t="str">
        <f t="shared" si="130"/>
        <v>Nazik</v>
      </c>
      <c r="I1212" s="1" t="str">
        <f t="shared" si="132"/>
        <v>2012</v>
      </c>
      <c r="J1212" s="1" t="str">
        <f t="shared" si="131"/>
        <v>Nazik et al., 2012</v>
      </c>
      <c r="K1212" s="9" t="s">
        <v>1896</v>
      </c>
      <c r="L1212" s="1" t="str">
        <f t="shared" si="134"/>
        <v/>
      </c>
    </row>
    <row r="1213" spans="1:12" ht="30" hidden="1" x14ac:dyDescent="0.25">
      <c r="A1213" s="1">
        <f>INDEX(rq_evidence_review!A:A, MATCH(B1213, rq_evidence_review!B:B, 0))</f>
        <v>5</v>
      </c>
      <c r="B1213" s="6">
        <v>5.4</v>
      </c>
      <c r="C1213" s="1">
        <f t="shared" si="129"/>
        <v>1206</v>
      </c>
      <c r="D1213" s="1">
        <f>VLOOKUP(B1213,rq_evidence_review!$B$1:$L$55,7,FALSE)</f>
        <v>34</v>
      </c>
      <c r="E1213" s="8" t="s">
        <v>890</v>
      </c>
      <c r="H1213" s="1" t="str">
        <f t="shared" si="130"/>
        <v>Ng EH</v>
      </c>
      <c r="I1213" s="1" t="str">
        <f t="shared" si="132"/>
        <v>2001</v>
      </c>
      <c r="J1213" s="1" t="str">
        <f t="shared" si="131"/>
        <v>Ng EH et al., 2001</v>
      </c>
      <c r="K1213" s="1" t="str">
        <f t="shared" si="133"/>
        <v>10.1093/humrep/16.8.1625</v>
      </c>
      <c r="L1213" s="1" t="str">
        <f t="shared" si="134"/>
        <v/>
      </c>
    </row>
    <row r="1214" spans="1:12" ht="30" hidden="1" x14ac:dyDescent="0.25">
      <c r="A1214" s="1">
        <f>INDEX(rq_evidence_review!A:A, MATCH(B1214, rq_evidence_review!B:B, 0))</f>
        <v>5</v>
      </c>
      <c r="B1214" s="6">
        <v>5.4</v>
      </c>
      <c r="C1214" s="1">
        <f t="shared" si="129"/>
        <v>1207</v>
      </c>
      <c r="D1214" s="1">
        <f>VLOOKUP(B1214,rq_evidence_review!$B$1:$L$55,7,FALSE)</f>
        <v>34</v>
      </c>
      <c r="E1214" s="8" t="s">
        <v>863</v>
      </c>
      <c r="H1214" s="1" t="str">
        <f t="shared" si="130"/>
        <v>Pourghasem S</v>
      </c>
      <c r="I1214" s="1" t="str">
        <f t="shared" si="132"/>
        <v>2019</v>
      </c>
      <c r="J1214" s="1" t="str">
        <f t="shared" si="131"/>
        <v>Pourghasem S et al., 2019</v>
      </c>
      <c r="K1214" s="1" t="str">
        <f t="shared" si="133"/>
        <v>10.1007/s00404-019-05064-5</v>
      </c>
      <c r="L1214" s="1" t="str">
        <f t="shared" si="134"/>
        <v>30847561</v>
      </c>
    </row>
    <row r="1215" spans="1:12" ht="45" hidden="1" x14ac:dyDescent="0.25">
      <c r="A1215" s="1">
        <f>INDEX(rq_evidence_review!A:A, MATCH(B1215, rq_evidence_review!B:B, 0))</f>
        <v>5</v>
      </c>
      <c r="B1215" s="6">
        <v>5.4</v>
      </c>
      <c r="C1215" s="1">
        <f t="shared" si="129"/>
        <v>1208</v>
      </c>
      <c r="D1215" s="1">
        <f>VLOOKUP(B1215,rq_evidence_review!$B$1:$L$55,7,FALSE)</f>
        <v>34</v>
      </c>
      <c r="E1215" s="8" t="s">
        <v>891</v>
      </c>
      <c r="H1215" s="1" t="str">
        <f t="shared" si="130"/>
        <v>Qublan HS</v>
      </c>
      <c r="I1215" s="1" t="str">
        <f t="shared" si="132"/>
        <v>2009</v>
      </c>
      <c r="J1215" s="1" t="str">
        <f t="shared" si="131"/>
        <v>Qublan HS et al., 2009</v>
      </c>
      <c r="K1215" s="1" t="str">
        <f t="shared" si="133"/>
        <v>10.1080/01443610903147576</v>
      </c>
      <c r="L1215" s="1" t="str">
        <f t="shared" si="134"/>
        <v/>
      </c>
    </row>
    <row r="1216" spans="1:12" ht="30" hidden="1" x14ac:dyDescent="0.25">
      <c r="A1216" s="1">
        <f>INDEX(rq_evidence_review!A:A, MATCH(B1216, rq_evidence_review!B:B, 0))</f>
        <v>5</v>
      </c>
      <c r="B1216" s="6">
        <v>5.4</v>
      </c>
      <c r="C1216" s="1">
        <f t="shared" si="129"/>
        <v>1209</v>
      </c>
      <c r="D1216" s="1">
        <f>VLOOKUP(B1216,rq_evidence_review!$B$1:$L$55,7,FALSE)</f>
        <v>34</v>
      </c>
      <c r="E1216" s="8" t="s">
        <v>892</v>
      </c>
      <c r="H1216" s="1" t="str">
        <f t="shared" si="130"/>
        <v>Roy KK</v>
      </c>
      <c r="I1216" s="1" t="str">
        <f t="shared" si="132"/>
        <v>2012</v>
      </c>
      <c r="J1216" s="1" t="str">
        <f t="shared" si="131"/>
        <v>Roy KK et al., 2012</v>
      </c>
      <c r="K1216" s="1" t="str">
        <f t="shared" si="133"/>
        <v>10.4103/0974-1208.97789</v>
      </c>
      <c r="L1216" s="1" t="str">
        <f t="shared" si="134"/>
        <v>22870010</v>
      </c>
    </row>
    <row r="1217" spans="1:14" ht="30" hidden="1" x14ac:dyDescent="0.25">
      <c r="A1217" s="1">
        <f>INDEX(rq_evidence_review!A:A, MATCH(B1217, rq_evidence_review!B:B, 0))</f>
        <v>5</v>
      </c>
      <c r="B1217" s="6">
        <v>5.4</v>
      </c>
      <c r="C1217" s="1">
        <f t="shared" si="129"/>
        <v>1210</v>
      </c>
      <c r="D1217" s="1">
        <f>VLOOKUP(B1217,rq_evidence_review!$B$1:$L$55,7,FALSE)</f>
        <v>34</v>
      </c>
      <c r="E1217" s="8" t="s">
        <v>893</v>
      </c>
      <c r="H1217" s="1" t="str">
        <f t="shared" si="130"/>
        <v>Sahin Y</v>
      </c>
      <c r="I1217" s="1" t="str">
        <f t="shared" si="132"/>
        <v>2004</v>
      </c>
      <c r="J1217" s="1" t="str">
        <f t="shared" si="131"/>
        <v>Sahin Y et al., 2004</v>
      </c>
      <c r="K1217" s="1" t="str">
        <f t="shared" si="133"/>
        <v>10.1016/j.ejogrb.2003.09.036</v>
      </c>
      <c r="L1217" s="1" t="str">
        <f t="shared" si="134"/>
        <v/>
      </c>
    </row>
    <row r="1218" spans="1:14" ht="30" hidden="1" x14ac:dyDescent="0.25">
      <c r="A1218" s="1">
        <f>INDEX(rq_evidence_review!A:A, MATCH(B1218, rq_evidence_review!B:B, 0))</f>
        <v>5</v>
      </c>
      <c r="B1218" s="6">
        <v>5.4</v>
      </c>
      <c r="C1218" s="1">
        <f t="shared" si="129"/>
        <v>1211</v>
      </c>
      <c r="D1218" s="1">
        <f>VLOOKUP(B1218,rq_evidence_review!$B$1:$L$55,7,FALSE)</f>
        <v>34</v>
      </c>
      <c r="E1218" s="8" t="s">
        <v>894</v>
      </c>
      <c r="H1218" s="1" t="str">
        <f t="shared" si="130"/>
        <v>Siebert TI</v>
      </c>
      <c r="I1218" s="1" t="str">
        <f t="shared" si="132"/>
        <v>2009</v>
      </c>
      <c r="J1218" s="1" t="str">
        <f t="shared" si="131"/>
        <v>Siebert TI et al., 2009</v>
      </c>
      <c r="K1218" s="1" t="str">
        <f t="shared" si="133"/>
        <v>10.1007/s10815-009-9304-z</v>
      </c>
      <c r="L1218" s="1" t="str">
        <f t="shared" si="134"/>
        <v/>
      </c>
    </row>
    <row r="1219" spans="1:14" ht="30" hidden="1" x14ac:dyDescent="0.25">
      <c r="A1219" s="1">
        <f>INDEX(rq_evidence_review!A:A, MATCH(B1219, rq_evidence_review!B:B, 0))</f>
        <v>5</v>
      </c>
      <c r="B1219" s="6">
        <v>5.4</v>
      </c>
      <c r="C1219" s="1">
        <f t="shared" si="129"/>
        <v>1212</v>
      </c>
      <c r="D1219" s="1">
        <f>VLOOKUP(B1219,rq_evidence_review!$B$1:$L$55,7,FALSE)</f>
        <v>34</v>
      </c>
      <c r="E1219" s="8" t="s">
        <v>895</v>
      </c>
      <c r="H1219" s="1" t="str">
        <f t="shared" si="130"/>
        <v>Sohrabvand F</v>
      </c>
      <c r="I1219" s="1" t="str">
        <f t="shared" si="132"/>
        <v>2006</v>
      </c>
      <c r="J1219" s="1" t="str">
        <f t="shared" si="131"/>
        <v>Sohrabvand F et al., 2006</v>
      </c>
      <c r="K1219" s="1" t="str">
        <f t="shared" si="133"/>
        <v>10.1093/humrep/del020</v>
      </c>
      <c r="L1219" s="1" t="str">
        <f t="shared" si="134"/>
        <v/>
      </c>
    </row>
    <row r="1220" spans="1:14" ht="45" hidden="1" x14ac:dyDescent="0.25">
      <c r="A1220" s="1">
        <f>INDEX(rq_evidence_review!A:A, MATCH(B1220, rq_evidence_review!B:B, 0))</f>
        <v>5</v>
      </c>
      <c r="B1220" s="6">
        <v>5.4</v>
      </c>
      <c r="C1220" s="1">
        <f t="shared" si="129"/>
        <v>1213</v>
      </c>
      <c r="D1220" s="1">
        <f>VLOOKUP(B1220,rq_evidence_review!$B$1:$L$55,7,FALSE)</f>
        <v>34</v>
      </c>
      <c r="E1220" s="8" t="s">
        <v>896</v>
      </c>
      <c r="H1220" s="1" t="str">
        <f t="shared" si="130"/>
        <v>Tang T</v>
      </c>
      <c r="I1220" s="1" t="str">
        <f t="shared" si="132"/>
        <v>2006</v>
      </c>
      <c r="J1220" s="1" t="str">
        <f t="shared" si="131"/>
        <v>Tang T et al., 2006</v>
      </c>
      <c r="K1220" s="1" t="str">
        <f t="shared" si="133"/>
        <v>10.1093/humrep/dei311</v>
      </c>
      <c r="L1220" s="1" t="str">
        <f t="shared" si="134"/>
        <v/>
      </c>
    </row>
    <row r="1221" spans="1:14" ht="45" hidden="1" x14ac:dyDescent="0.25">
      <c r="A1221" s="1">
        <f>INDEX(rq_evidence_review!A:A, MATCH(B1221, rq_evidence_review!B:B, 0))</f>
        <v>5</v>
      </c>
      <c r="B1221" s="6">
        <v>5.4</v>
      </c>
      <c r="C1221" s="1">
        <f t="shared" si="129"/>
        <v>1214</v>
      </c>
      <c r="D1221" s="1">
        <f>VLOOKUP(B1221,rq_evidence_review!$B$1:$L$55,7,FALSE)</f>
        <v>34</v>
      </c>
      <c r="E1221" s="8" t="s">
        <v>897</v>
      </c>
      <c r="H1221" s="1" t="str">
        <f t="shared" si="130"/>
        <v>Vandermolen DT</v>
      </c>
      <c r="I1221" s="1" t="str">
        <f t="shared" si="132"/>
        <v>2001</v>
      </c>
      <c r="J1221" s="1" t="str">
        <f t="shared" si="131"/>
        <v>Vandermolen DT et al., 2001</v>
      </c>
      <c r="K1221" s="1" t="str">
        <f t="shared" si="133"/>
        <v>10.1016/s0015-0282(00)01675-7</v>
      </c>
      <c r="L1221" s="1" t="str">
        <f t="shared" si="134"/>
        <v/>
      </c>
    </row>
    <row r="1222" spans="1:14" ht="30" hidden="1" x14ac:dyDescent="0.25">
      <c r="A1222" s="1">
        <f>INDEX(rq_evidence_review!A:A, MATCH(B1222, rq_evidence_review!B:B, 0))</f>
        <v>5</v>
      </c>
      <c r="B1222" s="6">
        <v>5.4</v>
      </c>
      <c r="C1222" s="1">
        <f t="shared" si="129"/>
        <v>1215</v>
      </c>
      <c r="D1222" s="1">
        <f>VLOOKUP(B1222,rq_evidence_review!$B$1:$L$55,7,FALSE)</f>
        <v>34</v>
      </c>
      <c r="E1222" s="8" t="s">
        <v>867</v>
      </c>
      <c r="H1222" s="1" t="str">
        <f t="shared" si="130"/>
        <v>Zeinalzadeh</v>
      </c>
      <c r="I1222" s="1" t="str">
        <f t="shared" si="132"/>
        <v>2010</v>
      </c>
      <c r="J1222" s="1" t="str">
        <f t="shared" si="131"/>
        <v>Zeinalzadeh et al., 2010</v>
      </c>
      <c r="K1222" s="1" t="str">
        <f t="shared" si="133"/>
        <v/>
      </c>
      <c r="L1222" s="10">
        <v>20337206</v>
      </c>
      <c r="N1222" s="1">
        <v>22894601</v>
      </c>
    </row>
    <row r="1223" spans="1:14" ht="30" hidden="1" x14ac:dyDescent="0.25">
      <c r="A1223" s="1">
        <f>INDEX(rq_evidence_review!A:A, MATCH(B1223, rq_evidence_review!B:B, 0))</f>
        <v>5</v>
      </c>
      <c r="B1223" s="6">
        <f>rq_evidence_review!B45</f>
        <v>5.5</v>
      </c>
      <c r="C1223" s="1">
        <f t="shared" si="129"/>
        <v>1216</v>
      </c>
      <c r="D1223" s="1">
        <f>VLOOKUP(B1223,rq_evidence_review!$B$1:$L$55,7,FALSE)</f>
        <v>12</v>
      </c>
      <c r="E1223" s="8" t="s">
        <v>898</v>
      </c>
      <c r="H1223" s="1" t="str">
        <f t="shared" si="130"/>
        <v>Baryam N</v>
      </c>
      <c r="I1223" s="1" t="str">
        <f t="shared" si="132"/>
        <v>2004</v>
      </c>
      <c r="J1223" s="1" t="str">
        <f t="shared" si="131"/>
        <v>Baryam N et al., 2004</v>
      </c>
      <c r="K1223" s="1" t="str">
        <f t="shared" si="133"/>
        <v>10.1136/bmj.328.7433.192</v>
      </c>
      <c r="L1223" s="1" t="str">
        <f t="shared" si="134"/>
        <v/>
      </c>
    </row>
    <row r="1224" spans="1:14" ht="30" hidden="1" x14ac:dyDescent="0.25">
      <c r="A1224" s="1">
        <f>INDEX(rq_evidence_review!A:A, MATCH(B1224, rq_evidence_review!B:B, 0))</f>
        <v>5</v>
      </c>
      <c r="B1224" s="6">
        <v>5.5</v>
      </c>
      <c r="C1224" s="1">
        <f t="shared" si="129"/>
        <v>1217</v>
      </c>
      <c r="D1224" s="1">
        <f>VLOOKUP(B1224,rq_evidence_review!$B$1:$L$55,7,FALSE)</f>
        <v>12</v>
      </c>
      <c r="E1224" s="8" t="s">
        <v>873</v>
      </c>
      <c r="H1224" s="1" t="str">
        <f t="shared" si="130"/>
        <v>Begum</v>
      </c>
      <c r="I1224" s="1" t="str">
        <f t="shared" si="132"/>
        <v>2013</v>
      </c>
      <c r="J1224" s="1" t="str">
        <f t="shared" si="131"/>
        <v>Begum et al., 2013</v>
      </c>
      <c r="K1224" s="9" t="s">
        <v>1898</v>
      </c>
      <c r="L1224" s="1" t="str">
        <f t="shared" si="134"/>
        <v/>
      </c>
    </row>
    <row r="1225" spans="1:14" ht="30" hidden="1" x14ac:dyDescent="0.25">
      <c r="A1225" s="1">
        <f>INDEX(rq_evidence_review!A:A, MATCH(B1225, rq_evidence_review!B:B, 0))</f>
        <v>5</v>
      </c>
      <c r="B1225" s="6">
        <v>5.5</v>
      </c>
      <c r="C1225" s="1">
        <f t="shared" si="129"/>
        <v>1218</v>
      </c>
      <c r="D1225" s="1">
        <f>VLOOKUP(B1225,rq_evidence_review!$B$1:$L$55,7,FALSE)</f>
        <v>12</v>
      </c>
      <c r="E1225" s="8" t="s">
        <v>899</v>
      </c>
      <c r="H1225" s="1" t="str">
        <f t="shared" si="130"/>
        <v>De Leo V</v>
      </c>
      <c r="I1225" s="1" t="str">
        <f t="shared" si="132"/>
        <v>1999</v>
      </c>
      <c r="J1225" s="1" t="str">
        <f t="shared" si="131"/>
        <v>De Leo V et al., 1999</v>
      </c>
      <c r="K1225" s="1" t="str">
        <f t="shared" si="133"/>
        <v>10.1016/s0015-0282(99)00208-3</v>
      </c>
      <c r="L1225" s="1" t="str">
        <f t="shared" si="134"/>
        <v/>
      </c>
    </row>
    <row r="1226" spans="1:14" ht="45" hidden="1" x14ac:dyDescent="0.25">
      <c r="A1226" s="1">
        <f>INDEX(rq_evidence_review!A:A, MATCH(B1226, rq_evidence_review!B:B, 0))</f>
        <v>5</v>
      </c>
      <c r="B1226" s="6">
        <v>5.5</v>
      </c>
      <c r="C1226" s="1">
        <f t="shared" si="129"/>
        <v>1219</v>
      </c>
      <c r="D1226" s="1">
        <f>VLOOKUP(B1226,rq_evidence_review!$B$1:$L$55,7,FALSE)</f>
        <v>12</v>
      </c>
      <c r="E1226" s="8" t="s">
        <v>900</v>
      </c>
      <c r="H1226" s="1" t="str">
        <f t="shared" si="130"/>
        <v>Farquhar CM</v>
      </c>
      <c r="I1226" s="1" t="str">
        <f t="shared" si="132"/>
        <v>2002</v>
      </c>
      <c r="J1226" s="1" t="str">
        <f t="shared" si="131"/>
        <v>Farquhar CM et al., 2002</v>
      </c>
      <c r="K1226" s="1" t="str">
        <f t="shared" si="133"/>
        <v>10.1016/s0015-0282(02)03225-9</v>
      </c>
      <c r="L1226" s="1" t="str">
        <f t="shared" si="134"/>
        <v/>
      </c>
    </row>
    <row r="1227" spans="1:14" ht="45" hidden="1" x14ac:dyDescent="0.25">
      <c r="A1227" s="1">
        <f>INDEX(rq_evidence_review!A:A, MATCH(B1227, rq_evidence_review!B:B, 0))</f>
        <v>5</v>
      </c>
      <c r="B1227" s="6">
        <v>5.5</v>
      </c>
      <c r="C1227" s="1">
        <f t="shared" si="129"/>
        <v>1220</v>
      </c>
      <c r="D1227" s="1">
        <f>VLOOKUP(B1227,rq_evidence_review!$B$1:$L$55,7,FALSE)</f>
        <v>12</v>
      </c>
      <c r="E1227" s="8" t="s">
        <v>901</v>
      </c>
      <c r="H1227" s="1" t="str">
        <f t="shared" si="130"/>
        <v>Ganesh A</v>
      </c>
      <c r="I1227" s="1" t="str">
        <f t="shared" si="132"/>
        <v>2009</v>
      </c>
      <c r="J1227" s="1" t="str">
        <f t="shared" si="131"/>
        <v>Ganesh A et al., 2009</v>
      </c>
      <c r="K1227" s="1" t="str">
        <f t="shared" si="133"/>
        <v>10.1007/s10815-008-9284-4</v>
      </c>
      <c r="L1227" s="1" t="str">
        <f t="shared" si="134"/>
        <v/>
      </c>
    </row>
    <row r="1228" spans="1:14" ht="45" hidden="1" x14ac:dyDescent="0.25">
      <c r="A1228" s="1">
        <f>INDEX(rq_evidence_review!A:A, MATCH(B1228, rq_evidence_review!B:B, 0))</f>
        <v>5</v>
      </c>
      <c r="B1228" s="6">
        <v>5.5</v>
      </c>
      <c r="C1228" s="1">
        <f t="shared" si="129"/>
        <v>1221</v>
      </c>
      <c r="D1228" s="1">
        <f>VLOOKUP(B1228,rq_evidence_review!$B$1:$L$55,7,FALSE)</f>
        <v>12</v>
      </c>
      <c r="E1228" s="8" t="s">
        <v>902</v>
      </c>
      <c r="H1228" s="1" t="str">
        <f t="shared" si="130"/>
        <v>Ghanem</v>
      </c>
      <c r="I1228" s="1" t="str">
        <f t="shared" si="132"/>
        <v>2014</v>
      </c>
      <c r="J1228" s="1" t="str">
        <f t="shared" si="131"/>
        <v>Ghanem et al., 2014</v>
      </c>
      <c r="K1228" s="9" t="s">
        <v>1899</v>
      </c>
      <c r="L1228" s="1" t="str">
        <f t="shared" si="134"/>
        <v/>
      </c>
    </row>
    <row r="1229" spans="1:14" ht="45" hidden="1" x14ac:dyDescent="0.25">
      <c r="A1229" s="1">
        <f>INDEX(rq_evidence_review!A:A, MATCH(B1229, rq_evidence_review!B:B, 0))</f>
        <v>5</v>
      </c>
      <c r="B1229" s="6">
        <v>5.5</v>
      </c>
      <c r="C1229" s="1">
        <f t="shared" si="129"/>
        <v>1222</v>
      </c>
      <c r="D1229" s="1">
        <f>VLOOKUP(B1229,rq_evidence_review!$B$1:$L$55,7,FALSE)</f>
        <v>12</v>
      </c>
      <c r="E1229" s="8" t="s">
        <v>878</v>
      </c>
      <c r="H1229" s="1" t="str">
        <f t="shared" si="130"/>
        <v>George SS</v>
      </c>
      <c r="I1229" s="1" t="str">
        <f t="shared" si="132"/>
        <v>2003</v>
      </c>
      <c r="J1229" s="1" t="str">
        <f t="shared" si="131"/>
        <v>George SS et al., 2003</v>
      </c>
      <c r="K1229" s="1" t="str">
        <f t="shared" si="133"/>
        <v>10.1093/humrep/deg105</v>
      </c>
      <c r="L1229" s="1" t="str">
        <f t="shared" si="134"/>
        <v/>
      </c>
    </row>
    <row r="1230" spans="1:14" ht="45" hidden="1" x14ac:dyDescent="0.25">
      <c r="A1230" s="1">
        <f>INDEX(rq_evidence_review!A:A, MATCH(B1230, rq_evidence_review!B:B, 0))</f>
        <v>5</v>
      </c>
      <c r="B1230" s="6">
        <v>5.5</v>
      </c>
      <c r="C1230" s="1">
        <f t="shared" ref="C1230:C1248" si="135">C1229+1</f>
        <v>1223</v>
      </c>
      <c r="D1230" s="1">
        <f>VLOOKUP(B1230,rq_evidence_review!$B$1:$L$55,7,FALSE)</f>
        <v>12</v>
      </c>
      <c r="E1230" s="8" t="s">
        <v>880</v>
      </c>
      <c r="H1230" s="1" t="str">
        <f t="shared" si="130"/>
        <v>Homburg R</v>
      </c>
      <c r="I1230" s="1" t="str">
        <f t="shared" si="132"/>
        <v>2012</v>
      </c>
      <c r="J1230" s="1" t="str">
        <f t="shared" si="131"/>
        <v>Homburg R et al., 2012</v>
      </c>
      <c r="K1230" s="1" t="str">
        <f t="shared" si="133"/>
        <v>10.1093/humrep/der401</v>
      </c>
      <c r="L1230" s="1" t="str">
        <f t="shared" si="134"/>
        <v/>
      </c>
    </row>
    <row r="1231" spans="1:14" ht="30" hidden="1" x14ac:dyDescent="0.25">
      <c r="A1231" s="1">
        <f>INDEX(rq_evidence_review!A:A, MATCH(B1231, rq_evidence_review!B:B, 0))</f>
        <v>5</v>
      </c>
      <c r="B1231" s="6">
        <v>5.5</v>
      </c>
      <c r="C1231" s="1">
        <f t="shared" si="135"/>
        <v>1224</v>
      </c>
      <c r="D1231" s="1">
        <f>VLOOKUP(B1231,rq_evidence_review!$B$1:$L$55,7,FALSE)</f>
        <v>12</v>
      </c>
      <c r="E1231" s="8" t="s">
        <v>886</v>
      </c>
      <c r="H1231" s="1" t="str">
        <f t="shared" si="130"/>
        <v>Lopez</v>
      </c>
      <c r="I1231" s="1" t="str">
        <f t="shared" si="132"/>
        <v>2004</v>
      </c>
      <c r="J1231" s="1" t="str">
        <f t="shared" si="131"/>
        <v>Lopez et al., 2004</v>
      </c>
      <c r="K1231" s="9" t="s">
        <v>1901</v>
      </c>
      <c r="L1231" s="1" t="str">
        <f t="shared" si="134"/>
        <v/>
      </c>
    </row>
    <row r="1232" spans="1:14" ht="30" hidden="1" x14ac:dyDescent="0.25">
      <c r="A1232" s="1">
        <f>INDEX(rq_evidence_review!A:A, MATCH(B1232, rq_evidence_review!B:B, 0))</f>
        <v>5</v>
      </c>
      <c r="B1232" s="6">
        <v>5.5</v>
      </c>
      <c r="C1232" s="1">
        <f t="shared" si="135"/>
        <v>1225</v>
      </c>
      <c r="D1232" s="1">
        <f>VLOOKUP(B1232,rq_evidence_review!$B$1:$L$55,7,FALSE)</f>
        <v>12</v>
      </c>
      <c r="E1232" s="8" t="s">
        <v>903</v>
      </c>
      <c r="H1232" s="1" t="str">
        <f t="shared" si="130"/>
        <v>Tasdemir S</v>
      </c>
      <c r="I1232" s="1" t="str">
        <f t="shared" si="132"/>
        <v>2004</v>
      </c>
      <c r="J1232" s="1" t="str">
        <f t="shared" si="131"/>
        <v>Tasdemir S et al., 2004</v>
      </c>
      <c r="K1232" s="1" t="str">
        <f t="shared" si="133"/>
        <v>10.1007/s00404-002-0447-8</v>
      </c>
      <c r="L1232" s="1" t="str">
        <f t="shared" si="134"/>
        <v/>
      </c>
    </row>
    <row r="1233" spans="1:15" ht="30" hidden="1" x14ac:dyDescent="0.25">
      <c r="A1233" s="1">
        <f>INDEX(rq_evidence_review!A:A, MATCH(B1233, rq_evidence_review!B:B, 0))</f>
        <v>5</v>
      </c>
      <c r="B1233" s="6">
        <v>5.5</v>
      </c>
      <c r="C1233" s="1">
        <f t="shared" si="135"/>
        <v>1226</v>
      </c>
      <c r="D1233" s="1">
        <f>VLOOKUP(B1233,rq_evidence_review!$B$1:$L$55,7,FALSE)</f>
        <v>12</v>
      </c>
      <c r="E1233" s="8" t="s">
        <v>904</v>
      </c>
      <c r="H1233" s="1" t="str">
        <f t="shared" si="130"/>
        <v>Yadav P</v>
      </c>
      <c r="I1233" s="1" t="str">
        <f t="shared" si="132"/>
        <v>2017</v>
      </c>
      <c r="J1233" s="1" t="str">
        <f t="shared" si="131"/>
        <v>Yadav P et al., 2017</v>
      </c>
      <c r="K1233" s="9" t="s">
        <v>1903</v>
      </c>
      <c r="L1233" s="1" t="str">
        <f t="shared" si="134"/>
        <v/>
      </c>
    </row>
    <row r="1234" spans="1:15" ht="45" hidden="1" x14ac:dyDescent="0.25">
      <c r="A1234" s="1">
        <f>INDEX(rq_evidence_review!A:A, MATCH(B1234, rq_evidence_review!B:B, 0))</f>
        <v>5</v>
      </c>
      <c r="B1234" s="6">
        <v>5.5</v>
      </c>
      <c r="C1234" s="1">
        <f t="shared" si="135"/>
        <v>1227</v>
      </c>
      <c r="D1234" s="1">
        <f>VLOOKUP(B1234,rq_evidence_review!$B$1:$L$55,7,FALSE)</f>
        <v>12</v>
      </c>
      <c r="E1234" s="8" t="s">
        <v>905</v>
      </c>
      <c r="H1234" s="1" t="str">
        <f t="shared" si="130"/>
        <v>Yarali H</v>
      </c>
      <c r="I1234" s="1" t="str">
        <f t="shared" si="132"/>
        <v>2002</v>
      </c>
      <c r="J1234" s="1" t="str">
        <f t="shared" si="131"/>
        <v>Yarali H et al., 2002</v>
      </c>
      <c r="K1234" s="1" t="str">
        <f t="shared" si="133"/>
        <v>10.1093/humrep/17.2.289</v>
      </c>
      <c r="L1234" s="1" t="str">
        <f t="shared" si="134"/>
        <v>11821265</v>
      </c>
    </row>
    <row r="1235" spans="1:15" ht="45" hidden="1" x14ac:dyDescent="0.25">
      <c r="A1235" s="1">
        <f>INDEX(rq_evidence_review!A:A, MATCH(B1235, rq_evidence_review!B:B, 0))</f>
        <v>5</v>
      </c>
      <c r="B1235" s="6">
        <f>rq_evidence_review!B46</f>
        <v>5.6</v>
      </c>
      <c r="C1235" s="1">
        <f t="shared" si="135"/>
        <v>1228</v>
      </c>
      <c r="D1235" s="1">
        <f>VLOOKUP(B1235,rq_evidence_review!$B$1:$L$55,7,FALSE)</f>
        <v>6</v>
      </c>
      <c r="E1235" s="8" t="s">
        <v>868</v>
      </c>
      <c r="H1235" s="1" t="str">
        <f t="shared" si="130"/>
        <v>Amer SA</v>
      </c>
      <c r="I1235" s="1" t="str">
        <f t="shared" si="132"/>
        <v>2009</v>
      </c>
      <c r="J1235" s="1" t="str">
        <f t="shared" si="131"/>
        <v>Amer SA et al., 2009</v>
      </c>
      <c r="K1235" s="1" t="str">
        <f t="shared" si="133"/>
        <v>10.1093/humrep/den325</v>
      </c>
      <c r="L1235" s="1" t="str">
        <f t="shared" si="134"/>
        <v/>
      </c>
    </row>
    <row r="1236" spans="1:15" ht="30" hidden="1" x14ac:dyDescent="0.25">
      <c r="A1236" s="1">
        <f>INDEX(rq_evidence_review!A:A, MATCH(B1236, rq_evidence_review!B:B, 0))</f>
        <v>5</v>
      </c>
      <c r="B1236" s="6">
        <v>5.6</v>
      </c>
      <c r="C1236" s="1">
        <f t="shared" si="135"/>
        <v>1229</v>
      </c>
      <c r="D1236" s="1">
        <f>VLOOKUP(B1236,rq_evidence_review!$B$1:$L$55,7,FALSE)</f>
        <v>6</v>
      </c>
      <c r="E1236" s="8" t="s">
        <v>898</v>
      </c>
      <c r="H1236" s="1" t="str">
        <f t="shared" si="130"/>
        <v>Baryam N</v>
      </c>
      <c r="I1236" s="1" t="str">
        <f t="shared" si="132"/>
        <v>2004</v>
      </c>
      <c r="J1236" s="1" t="str">
        <f t="shared" si="131"/>
        <v>Baryam N et al., 2004</v>
      </c>
      <c r="K1236" s="1" t="str">
        <f t="shared" si="133"/>
        <v>10.1136/bmj.328.7433.192</v>
      </c>
      <c r="L1236" s="1" t="str">
        <f t="shared" si="134"/>
        <v/>
      </c>
    </row>
    <row r="1237" spans="1:15" ht="45" hidden="1" x14ac:dyDescent="0.25">
      <c r="A1237" s="1">
        <f>INDEX(rq_evidence_review!A:A, MATCH(B1237, rq_evidence_review!B:B, 0))</f>
        <v>5</v>
      </c>
      <c r="B1237" s="6">
        <v>5.6</v>
      </c>
      <c r="C1237" s="1">
        <f t="shared" si="135"/>
        <v>1230</v>
      </c>
      <c r="D1237" s="1">
        <f>VLOOKUP(B1237,rq_evidence_review!$B$1:$L$55,7,FALSE)</f>
        <v>6</v>
      </c>
      <c r="E1237" s="8" t="s">
        <v>900</v>
      </c>
      <c r="H1237" s="1" t="str">
        <f t="shared" si="130"/>
        <v>Farquhar CM</v>
      </c>
      <c r="I1237" s="1" t="str">
        <f t="shared" si="132"/>
        <v>2002</v>
      </c>
      <c r="J1237" s="1" t="str">
        <f t="shared" si="131"/>
        <v>Farquhar CM et al., 2002</v>
      </c>
      <c r="K1237" s="1" t="str">
        <f t="shared" si="133"/>
        <v>10.1016/s0015-0282(02)03225-9</v>
      </c>
      <c r="L1237" s="1" t="str">
        <f t="shared" si="134"/>
        <v/>
      </c>
      <c r="N1237" s="1">
        <v>24959997</v>
      </c>
    </row>
    <row r="1238" spans="1:15" ht="30" hidden="1" x14ac:dyDescent="0.25">
      <c r="A1238" s="1">
        <f>INDEX(rq_evidence_review!A:A, MATCH(B1238, rq_evidence_review!B:B, 0))</f>
        <v>5</v>
      </c>
      <c r="B1238" s="6">
        <v>5.6</v>
      </c>
      <c r="C1238" s="1">
        <f t="shared" si="135"/>
        <v>1231</v>
      </c>
      <c r="D1238" s="1">
        <f>VLOOKUP(B1238,rq_evidence_review!$B$1:$L$55,7,FALSE)</f>
        <v>6</v>
      </c>
      <c r="E1238" s="8" t="s">
        <v>906</v>
      </c>
      <c r="H1238" s="1" t="str">
        <f t="shared" si="130"/>
        <v>Roy KK</v>
      </c>
      <c r="I1238" s="1" t="str">
        <f t="shared" si="132"/>
        <v>2009</v>
      </c>
      <c r="J1238" s="1" t="str">
        <f t="shared" si="131"/>
        <v>Roy KK et al., 2009</v>
      </c>
      <c r="K1238" s="1" t="str">
        <f t="shared" si="133"/>
        <v>10.1007/s00404-009-0961-z</v>
      </c>
      <c r="L1238" s="1" t="str">
        <f t="shared" si="134"/>
        <v>19214545</v>
      </c>
    </row>
    <row r="1239" spans="1:15" ht="30" hidden="1" x14ac:dyDescent="0.25">
      <c r="A1239" s="1">
        <f>INDEX(rq_evidence_review!A:A, MATCH(B1239, rq_evidence_review!B:B, 0))</f>
        <v>5</v>
      </c>
      <c r="B1239" s="6">
        <v>5.6</v>
      </c>
      <c r="C1239" s="1">
        <f t="shared" si="135"/>
        <v>1232</v>
      </c>
      <c r="D1239" s="1">
        <f>VLOOKUP(B1239,rq_evidence_review!$B$1:$L$55,7,FALSE)</f>
        <v>6</v>
      </c>
      <c r="E1239" s="8" t="s">
        <v>907</v>
      </c>
      <c r="H1239" s="1" t="str">
        <f t="shared" si="130"/>
        <v>Sharma</v>
      </c>
      <c r="I1239" s="1" t="str">
        <f t="shared" si="132"/>
        <v>2006</v>
      </c>
      <c r="J1239" s="1" t="str">
        <f t="shared" si="131"/>
        <v>Sharma et al., 2006</v>
      </c>
      <c r="K1239" s="9" t="s">
        <v>1904</v>
      </c>
      <c r="L1239" s="1" t="str">
        <f t="shared" si="134"/>
        <v/>
      </c>
    </row>
    <row r="1240" spans="1:15" ht="30" hidden="1" x14ac:dyDescent="0.25">
      <c r="A1240" s="1">
        <f>INDEX(rq_evidence_review!A:A, MATCH(B1240, rq_evidence_review!B:B, 0))</f>
        <v>5</v>
      </c>
      <c r="B1240" s="6">
        <v>5.6</v>
      </c>
      <c r="C1240" s="1">
        <f t="shared" si="135"/>
        <v>1233</v>
      </c>
      <c r="D1240" s="1">
        <f>VLOOKUP(B1240,rq_evidence_review!$B$1:$L$55,7,FALSE)</f>
        <v>6</v>
      </c>
      <c r="E1240" s="8" t="s">
        <v>904</v>
      </c>
      <c r="H1240" s="1" t="str">
        <f t="shared" si="130"/>
        <v>Yadav P</v>
      </c>
      <c r="I1240" s="1" t="str">
        <f t="shared" si="132"/>
        <v>2017</v>
      </c>
      <c r="J1240" s="1" t="str">
        <f t="shared" si="131"/>
        <v>Yadav P et al., 2017</v>
      </c>
      <c r="K1240" s="9" t="s">
        <v>1903</v>
      </c>
      <c r="L1240" s="1" t="str">
        <f t="shared" si="134"/>
        <v/>
      </c>
    </row>
    <row r="1241" spans="1:15" hidden="1" x14ac:dyDescent="0.25">
      <c r="A1241" s="1">
        <f>INDEX(rq_evidence_review!A:A, MATCH(B1241, rq_evidence_review!B:B, 0))</f>
        <v>5</v>
      </c>
      <c r="B1241" s="6">
        <f>rq_evidence_review!B47</f>
        <v>5.7</v>
      </c>
      <c r="D1241" s="1">
        <f>VLOOKUP(B1241,rq_evidence_review!$B$1:$L$55,7,FALSE)</f>
        <v>0</v>
      </c>
      <c r="H1241" s="1" t="e">
        <f t="shared" si="130"/>
        <v>#VALUE!</v>
      </c>
      <c r="I1241" s="1" t="str">
        <f t="shared" si="132"/>
        <v/>
      </c>
      <c r="J1241" s="1" t="e">
        <f t="shared" si="131"/>
        <v>#VALUE!</v>
      </c>
      <c r="K1241" s="1" t="str">
        <f t="shared" si="133"/>
        <v/>
      </c>
      <c r="L1241" s="1" t="str">
        <f t="shared" si="134"/>
        <v/>
      </c>
    </row>
    <row r="1242" spans="1:15" ht="45" hidden="1" x14ac:dyDescent="0.25">
      <c r="A1242" s="1">
        <f>INDEX(rq_evidence_review!A:A, MATCH(B1242, rq_evidence_review!B:B, 0))</f>
        <v>5</v>
      </c>
      <c r="B1242" s="6" t="str">
        <f>rq_evidence_review!B48</f>
        <v>5.7.1</v>
      </c>
      <c r="C1242" s="1">
        <f>C1240+1</f>
        <v>1234</v>
      </c>
      <c r="D1242" s="1">
        <f>VLOOKUP(B1242,rq_evidence_review!$B$1:$L$55,7,FALSE)</f>
        <v>7</v>
      </c>
      <c r="E1242" s="8" t="s">
        <v>908</v>
      </c>
      <c r="H1242" s="1" t="str">
        <f t="shared" si="130"/>
        <v>Ashrafi</v>
      </c>
      <c r="I1242" s="1" t="str">
        <f t="shared" si="132"/>
        <v>2005</v>
      </c>
      <c r="J1242" s="1" t="str">
        <f t="shared" si="131"/>
        <v>Ashrafi et al., 2005</v>
      </c>
      <c r="K1242" s="1" t="str">
        <f t="shared" si="133"/>
        <v/>
      </c>
      <c r="L1242" s="1" t="str">
        <f t="shared" si="134"/>
        <v/>
      </c>
      <c r="M1242" s="1" t="s">
        <v>1905</v>
      </c>
      <c r="N1242" s="1">
        <v>54603939</v>
      </c>
      <c r="O1242" s="1" t="s">
        <v>1988</v>
      </c>
    </row>
    <row r="1243" spans="1:15" ht="30" hidden="1" x14ac:dyDescent="0.25">
      <c r="A1243" s="1">
        <f>INDEX(rq_evidence_review!A:A, MATCH(B1243, rq_evidence_review!B:B, 0))</f>
        <v>5</v>
      </c>
      <c r="B1243" s="6" t="s">
        <v>287</v>
      </c>
      <c r="C1243" s="1">
        <f t="shared" si="135"/>
        <v>1235</v>
      </c>
      <c r="D1243" s="1">
        <f>VLOOKUP(B1243,rq_evidence_review!$B$1:$L$55,7,FALSE)</f>
        <v>7</v>
      </c>
      <c r="E1243" s="8" t="s">
        <v>909</v>
      </c>
      <c r="H1243" s="1" t="str">
        <f t="shared" si="130"/>
        <v>Bahceci</v>
      </c>
      <c r="I1243" s="1" t="str">
        <f t="shared" si="132"/>
        <v>2005</v>
      </c>
      <c r="J1243" s="1" t="str">
        <f t="shared" si="131"/>
        <v>Bahceci et al., 2005</v>
      </c>
      <c r="K1243" s="1" t="str">
        <f t="shared" si="133"/>
        <v/>
      </c>
      <c r="L1243" s="1">
        <v>15755044</v>
      </c>
      <c r="N1243" s="1">
        <v>42473780</v>
      </c>
    </row>
    <row r="1244" spans="1:15" ht="60" hidden="1" x14ac:dyDescent="0.25">
      <c r="A1244" s="1">
        <f>INDEX(rq_evidence_review!A:A, MATCH(B1244, rq_evidence_review!B:B, 0))</f>
        <v>5</v>
      </c>
      <c r="B1244" s="6" t="s">
        <v>287</v>
      </c>
      <c r="C1244" s="1">
        <f t="shared" si="135"/>
        <v>1236</v>
      </c>
      <c r="D1244" s="1">
        <f>VLOOKUP(B1244,rq_evidence_review!$B$1:$L$55,7,FALSE)</f>
        <v>7</v>
      </c>
      <c r="E1244" s="8" t="s">
        <v>910</v>
      </c>
      <c r="H1244" s="1" t="str">
        <f t="shared" si="130"/>
        <v>Engmann L</v>
      </c>
      <c r="I1244" s="1" t="str">
        <f t="shared" si="132"/>
        <v>2008</v>
      </c>
      <c r="J1244" s="1" t="str">
        <f t="shared" si="131"/>
        <v>Engmann L et al., 2008</v>
      </c>
      <c r="K1244" s="1" t="str">
        <f t="shared" si="133"/>
        <v>10.1016/j.fertnstert.2007.02.002</v>
      </c>
      <c r="L1244" s="1" t="str">
        <f t="shared" si="134"/>
        <v>17462639</v>
      </c>
    </row>
    <row r="1245" spans="1:15" ht="30" hidden="1" x14ac:dyDescent="0.25">
      <c r="A1245" s="1">
        <f>INDEX(rq_evidence_review!A:A, MATCH(B1245, rq_evidence_review!B:B, 0))</f>
        <v>5</v>
      </c>
      <c r="B1245" s="6" t="s">
        <v>287</v>
      </c>
      <c r="C1245" s="1">
        <f t="shared" si="135"/>
        <v>1237</v>
      </c>
      <c r="D1245" s="1">
        <f>VLOOKUP(B1245,rq_evidence_review!$B$1:$L$55,7,FALSE)</f>
        <v>7</v>
      </c>
      <c r="E1245" s="8" t="s">
        <v>911</v>
      </c>
      <c r="H1245" s="1" t="str">
        <f t="shared" si="130"/>
        <v>Haydardedeoglu</v>
      </c>
      <c r="I1245" s="1" t="str">
        <f t="shared" si="132"/>
        <v>2012</v>
      </c>
      <c r="J1245" s="1" t="str">
        <f t="shared" si="131"/>
        <v>Haydardedeoglu et al., 2012</v>
      </c>
      <c r="K1245" s="9" t="s">
        <v>1906</v>
      </c>
      <c r="L1245" s="1" t="str">
        <f t="shared" si="134"/>
        <v/>
      </c>
    </row>
    <row r="1246" spans="1:15" ht="30" hidden="1" x14ac:dyDescent="0.25">
      <c r="A1246" s="1">
        <f>INDEX(rq_evidence_review!A:A, MATCH(B1246, rq_evidence_review!B:B, 0))</f>
        <v>5</v>
      </c>
      <c r="B1246" s="6" t="s">
        <v>287</v>
      </c>
      <c r="C1246" s="1">
        <f t="shared" si="135"/>
        <v>1238</v>
      </c>
      <c r="D1246" s="1">
        <f>VLOOKUP(B1246,rq_evidence_review!$B$1:$L$55,7,FALSE)</f>
        <v>7</v>
      </c>
      <c r="E1246" s="8" t="s">
        <v>912</v>
      </c>
      <c r="H1246" s="1" t="str">
        <f t="shared" si="130"/>
        <v>Kurzawa</v>
      </c>
      <c r="I1246" s="1" t="str">
        <f t="shared" si="132"/>
        <v>2008</v>
      </c>
      <c r="J1246" s="1" t="str">
        <f t="shared" si="131"/>
        <v>Kurzawa et al., 2008</v>
      </c>
      <c r="K1246" s="9" t="s">
        <v>1907</v>
      </c>
      <c r="L1246" s="1" t="str">
        <f t="shared" si="134"/>
        <v/>
      </c>
    </row>
    <row r="1247" spans="1:15" ht="45" hidden="1" x14ac:dyDescent="0.25">
      <c r="A1247" s="1">
        <f>INDEX(rq_evidence_review!A:A, MATCH(B1247, rq_evidence_review!B:B, 0))</f>
        <v>5</v>
      </c>
      <c r="B1247" s="6" t="s">
        <v>287</v>
      </c>
      <c r="C1247" s="1">
        <f t="shared" si="135"/>
        <v>1239</v>
      </c>
      <c r="D1247" s="1">
        <f>VLOOKUP(B1247,rq_evidence_review!$B$1:$L$55,7,FALSE)</f>
        <v>7</v>
      </c>
      <c r="E1247" s="8" t="s">
        <v>913</v>
      </c>
      <c r="H1247" s="1" t="str">
        <f t="shared" si="130"/>
        <v>Lainas</v>
      </c>
      <c r="I1247" s="1" t="str">
        <f t="shared" si="132"/>
        <v>2007</v>
      </c>
      <c r="J1247" s="1" t="str">
        <f t="shared" si="131"/>
        <v>Lainas et al., 2007</v>
      </c>
      <c r="K1247" s="9" t="s">
        <v>1908</v>
      </c>
      <c r="L1247" s="1" t="str">
        <f t="shared" si="134"/>
        <v/>
      </c>
    </row>
    <row r="1248" spans="1:15" ht="45" hidden="1" x14ac:dyDescent="0.25">
      <c r="A1248" s="1">
        <f>INDEX(rq_evidence_review!A:A, MATCH(B1248, rq_evidence_review!B:B, 0))</f>
        <v>5</v>
      </c>
      <c r="B1248" s="6" t="s">
        <v>287</v>
      </c>
      <c r="C1248" s="1">
        <f t="shared" si="135"/>
        <v>1240</v>
      </c>
      <c r="D1248" s="1">
        <f>VLOOKUP(B1248,rq_evidence_review!$B$1:$L$55,7,FALSE)</f>
        <v>7</v>
      </c>
      <c r="E1248" s="8" t="s">
        <v>914</v>
      </c>
      <c r="H1248" s="1" t="str">
        <f t="shared" si="130"/>
        <v>Lainas</v>
      </c>
      <c r="I1248" s="1" t="str">
        <f t="shared" si="132"/>
        <v>2010</v>
      </c>
      <c r="J1248" s="1" t="str">
        <f t="shared" si="131"/>
        <v>Lainas et al., 2010</v>
      </c>
      <c r="K1248" s="9" t="s">
        <v>1909</v>
      </c>
      <c r="L1248" s="1" t="str">
        <f t="shared" si="134"/>
        <v/>
      </c>
    </row>
    <row r="1249" spans="1:12" hidden="1" x14ac:dyDescent="0.25">
      <c r="A1249" s="1">
        <f>INDEX(rq_evidence_review!A:A, MATCH(B1249, rq_evidence_review!B:B, 0))</f>
        <v>5</v>
      </c>
      <c r="B1249" s="6" t="str">
        <f>rq_evidence_review!B49</f>
        <v>5.7.2</v>
      </c>
      <c r="D1249" s="1">
        <f>VLOOKUP(B1249,rq_evidence_review!$B$1:$L$55,7,FALSE)</f>
        <v>0</v>
      </c>
      <c r="H1249" s="1" t="e">
        <f t="shared" si="130"/>
        <v>#VALUE!</v>
      </c>
      <c r="I1249" s="1" t="str">
        <f t="shared" si="132"/>
        <v/>
      </c>
      <c r="J1249" s="1" t="e">
        <f t="shared" si="131"/>
        <v>#VALUE!</v>
      </c>
      <c r="K1249" s="1" t="str">
        <f t="shared" si="133"/>
        <v/>
      </c>
      <c r="L1249" s="1" t="str">
        <f t="shared" si="134"/>
        <v/>
      </c>
    </row>
    <row r="1250" spans="1:12" hidden="1" x14ac:dyDescent="0.25">
      <c r="A1250" s="1">
        <f>INDEX(rq_evidence_review!A:A, MATCH(B1250, rq_evidence_review!B:B, 0))</f>
        <v>5</v>
      </c>
      <c r="B1250" s="6" t="str">
        <f>rq_evidence_review!B50</f>
        <v>5.7.3</v>
      </c>
      <c r="D1250" s="1">
        <f>VLOOKUP(B1250,rq_evidence_review!$B$1:$L$55,7,FALSE)</f>
        <v>0</v>
      </c>
      <c r="H1250" s="1" t="e">
        <f t="shared" ref="H1250:H1260" si="136">LEFT(E1250, FIND(",", E1250) - 1)</f>
        <v>#VALUE!</v>
      </c>
      <c r="I1250" s="1" t="str">
        <f t="shared" si="132"/>
        <v/>
      </c>
      <c r="J1250" s="1" t="e">
        <f t="shared" ref="J1250:J1262" si="137">H1250 &amp; " et al., " &amp; I1250</f>
        <v>#VALUE!</v>
      </c>
      <c r="K1250" s="1" t="str">
        <f t="shared" si="133"/>
        <v/>
      </c>
      <c r="L1250" s="1" t="str">
        <f t="shared" si="134"/>
        <v/>
      </c>
    </row>
    <row r="1251" spans="1:12" hidden="1" x14ac:dyDescent="0.25">
      <c r="A1251" s="1">
        <f>INDEX(rq_evidence_review!A:A, MATCH(B1251, rq_evidence_review!B:B, 0))</f>
        <v>5</v>
      </c>
      <c r="B1251" s="6" t="str">
        <f>rq_evidence_review!B51</f>
        <v>5.7.4</v>
      </c>
      <c r="D1251" s="1">
        <f>VLOOKUP(B1251,rq_evidence_review!$B$1:$L$55,7,FALSE)</f>
        <v>0</v>
      </c>
      <c r="H1251" s="1" t="e">
        <f t="shared" si="136"/>
        <v>#VALUE!</v>
      </c>
      <c r="I1251" s="1" t="str">
        <f t="shared" ref="I1251:I1262" si="138">ExtractYear(E1251)</f>
        <v/>
      </c>
      <c r="J1251" s="1" t="e">
        <f t="shared" si="137"/>
        <v>#VALUE!</v>
      </c>
      <c r="K1251" s="1" t="str">
        <f t="shared" ref="K1251:K1262" si="139">ExtractDOI(E1251)</f>
        <v/>
      </c>
      <c r="L1251" s="1" t="str">
        <f t="shared" ref="L1251:L1262" si="140">ExtractPMID(E1251)</f>
        <v/>
      </c>
    </row>
    <row r="1252" spans="1:12" ht="30" hidden="1" x14ac:dyDescent="0.25">
      <c r="A1252" s="1">
        <f>INDEX(rq_evidence_review!A:A, MATCH(B1252, rq_evidence_review!B:B, 0))</f>
        <v>5</v>
      </c>
      <c r="B1252" s="6" t="str">
        <f>rq_evidence_review!B52</f>
        <v>5.7.5</v>
      </c>
      <c r="C1252" s="1">
        <f>C1248+1</f>
        <v>1241</v>
      </c>
      <c r="D1252" s="1">
        <f>VLOOKUP(B1252,rq_evidence_review!$B$1:$L$55,7,FALSE)</f>
        <v>8</v>
      </c>
      <c r="E1252" s="8" t="s">
        <v>915</v>
      </c>
      <c r="H1252" s="1" t="str">
        <f t="shared" si="136"/>
        <v>Doldi</v>
      </c>
      <c r="I1252" s="1" t="str">
        <f t="shared" si="138"/>
        <v>2006</v>
      </c>
      <c r="J1252" s="1" t="str">
        <f t="shared" si="137"/>
        <v>Doldi et al., 2006</v>
      </c>
      <c r="K1252" s="9" t="s">
        <v>1910</v>
      </c>
      <c r="L1252" s="1" t="str">
        <f t="shared" si="140"/>
        <v/>
      </c>
    </row>
    <row r="1253" spans="1:12" ht="45" hidden="1" x14ac:dyDescent="0.25">
      <c r="A1253" s="1">
        <f>INDEX(rq_evidence_review!A:A, MATCH(B1253, rq_evidence_review!B:B, 0))</f>
        <v>5</v>
      </c>
      <c r="B1253" s="6" t="s">
        <v>291</v>
      </c>
      <c r="C1253" s="1">
        <f>C1252+1</f>
        <v>1242</v>
      </c>
      <c r="D1253" s="1">
        <f>VLOOKUP(B1253,rq_evidence_review!$B$1:$L$55,7,FALSE)</f>
        <v>8</v>
      </c>
      <c r="E1253" s="8" t="s">
        <v>916</v>
      </c>
      <c r="H1253" s="1" t="str">
        <f t="shared" si="136"/>
        <v>Fedorcsak</v>
      </c>
      <c r="I1253" s="1" t="str">
        <f t="shared" si="138"/>
        <v>2003</v>
      </c>
      <c r="J1253" s="1" t="str">
        <f t="shared" si="137"/>
        <v>Fedorcsak et al., 2003</v>
      </c>
      <c r="K1253" s="1" t="str">
        <f t="shared" si="139"/>
        <v>10.1080/gye.17.3.207.214</v>
      </c>
      <c r="L1253" s="1" t="str">
        <f t="shared" si="140"/>
        <v/>
      </c>
    </row>
    <row r="1254" spans="1:12" ht="45" hidden="1" x14ac:dyDescent="0.25">
      <c r="A1254" s="1">
        <f>INDEX(rq_evidence_review!A:A, MATCH(B1254, rq_evidence_review!B:B, 0))</f>
        <v>5</v>
      </c>
      <c r="B1254" s="6" t="s">
        <v>291</v>
      </c>
      <c r="C1254" s="1">
        <f t="shared" ref="C1254:C1260" si="141">C1253+1</f>
        <v>1243</v>
      </c>
      <c r="D1254" s="1">
        <f>VLOOKUP(B1254,rq_evidence_review!$B$1:$L$55,7,FALSE)</f>
        <v>8</v>
      </c>
      <c r="E1254" s="8" t="s">
        <v>917</v>
      </c>
      <c r="H1254" s="1" t="str">
        <f t="shared" si="136"/>
        <v>Jacob SL</v>
      </c>
      <c r="I1254" s="1" t="str">
        <f t="shared" si="138"/>
        <v>2016</v>
      </c>
      <c r="J1254" s="1" t="str">
        <f t="shared" si="137"/>
        <v>Jacob SL et al., 2016</v>
      </c>
      <c r="K1254" s="1" t="str">
        <f t="shared" si="139"/>
        <v>10.1093/humrep/dew268</v>
      </c>
      <c r="L1254" s="1" t="str">
        <f t="shared" si="140"/>
        <v>27816925</v>
      </c>
    </row>
    <row r="1255" spans="1:12" ht="30" hidden="1" x14ac:dyDescent="0.25">
      <c r="A1255" s="1">
        <f>INDEX(rq_evidence_review!A:A, MATCH(B1255, rq_evidence_review!B:B, 0))</f>
        <v>5</v>
      </c>
      <c r="B1255" s="6" t="s">
        <v>291</v>
      </c>
      <c r="C1255" s="1">
        <f t="shared" si="141"/>
        <v>1244</v>
      </c>
      <c r="D1255" s="1">
        <f>VLOOKUP(B1255,rq_evidence_review!$B$1:$L$55,7,FALSE)</f>
        <v>8</v>
      </c>
      <c r="E1255" s="8" t="s">
        <v>918</v>
      </c>
      <c r="H1255" s="1" t="str">
        <f t="shared" si="136"/>
        <v>Onalan G</v>
      </c>
      <c r="I1255" s="1" t="str">
        <f t="shared" si="138"/>
        <v>2005</v>
      </c>
      <c r="J1255" s="1" t="str">
        <f t="shared" si="137"/>
        <v>Onalan G et al., 2005</v>
      </c>
      <c r="K1255" s="1" t="str">
        <f t="shared" si="139"/>
        <v>10.1016/j.fertnstert.2005.03.043</v>
      </c>
      <c r="L1255" s="1" t="str">
        <f t="shared" si="140"/>
        <v>16169430</v>
      </c>
    </row>
    <row r="1256" spans="1:12" ht="30" hidden="1" x14ac:dyDescent="0.25">
      <c r="A1256" s="1">
        <f>INDEX(rq_evidence_review!A:A, MATCH(B1256, rq_evidence_review!B:B, 0))</f>
        <v>5</v>
      </c>
      <c r="B1256" s="6" t="s">
        <v>291</v>
      </c>
      <c r="C1256" s="1">
        <f t="shared" si="141"/>
        <v>1245</v>
      </c>
      <c r="D1256" s="1">
        <f>VLOOKUP(B1256,rq_evidence_review!$B$1:$L$55,7,FALSE)</f>
        <v>8</v>
      </c>
      <c r="E1256" s="8" t="s">
        <v>919</v>
      </c>
      <c r="H1256" s="1" t="str">
        <f t="shared" si="136"/>
        <v>Kjotrod</v>
      </c>
      <c r="I1256" s="1" t="str">
        <f t="shared" si="138"/>
        <v>2004</v>
      </c>
      <c r="J1256" s="1" t="str">
        <f t="shared" si="137"/>
        <v>Kjotrod et al., 2004</v>
      </c>
      <c r="K1256" s="9" t="s">
        <v>1911</v>
      </c>
      <c r="L1256" s="1" t="str">
        <f t="shared" si="140"/>
        <v/>
      </c>
    </row>
    <row r="1257" spans="1:12" ht="30" hidden="1" x14ac:dyDescent="0.25">
      <c r="A1257" s="1">
        <f>INDEX(rq_evidence_review!A:A, MATCH(B1257, rq_evidence_review!B:B, 0))</f>
        <v>5</v>
      </c>
      <c r="B1257" s="6" t="s">
        <v>291</v>
      </c>
      <c r="C1257" s="1">
        <f t="shared" si="141"/>
        <v>1246</v>
      </c>
      <c r="D1257" s="1">
        <f>VLOOKUP(B1257,rq_evidence_review!$B$1:$L$55,7,FALSE)</f>
        <v>8</v>
      </c>
      <c r="E1257" s="8" t="s">
        <v>920</v>
      </c>
      <c r="H1257" s="1" t="str">
        <f t="shared" si="136"/>
        <v>Kjotrod</v>
      </c>
      <c r="I1257" s="1" t="str">
        <f t="shared" si="138"/>
        <v>2011</v>
      </c>
      <c r="J1257" s="1" t="str">
        <f t="shared" si="137"/>
        <v>Kjotrod et al., 2011</v>
      </c>
      <c r="K1257" s="9" t="s">
        <v>1900</v>
      </c>
      <c r="L1257" s="1" t="str">
        <f t="shared" si="140"/>
        <v/>
      </c>
    </row>
    <row r="1258" spans="1:12" ht="45" hidden="1" x14ac:dyDescent="0.25">
      <c r="A1258" s="1">
        <f>INDEX(rq_evidence_review!A:A, MATCH(B1258, rq_evidence_review!B:B, 0))</f>
        <v>5</v>
      </c>
      <c r="B1258" s="6" t="s">
        <v>291</v>
      </c>
      <c r="C1258" s="1">
        <f t="shared" si="141"/>
        <v>1247</v>
      </c>
      <c r="D1258" s="1">
        <f>VLOOKUP(B1258,rq_evidence_review!$B$1:$L$55,7,FALSE)</f>
        <v>8</v>
      </c>
      <c r="E1258" s="8" t="s">
        <v>921</v>
      </c>
      <c r="H1258" s="1" t="str">
        <f t="shared" si="136"/>
        <v>Qublan HS</v>
      </c>
      <c r="I1258" s="1" t="str">
        <f t="shared" si="138"/>
        <v>2009</v>
      </c>
      <c r="J1258" s="1" t="str">
        <f t="shared" si="137"/>
        <v>Qublan HS et al., 2009</v>
      </c>
      <c r="K1258" s="1" t="str">
        <f t="shared" si="139"/>
        <v>10.1080/01443610903147576</v>
      </c>
      <c r="L1258" s="1" t="str">
        <f t="shared" si="140"/>
        <v>19757275</v>
      </c>
    </row>
    <row r="1259" spans="1:12" ht="30" hidden="1" x14ac:dyDescent="0.25">
      <c r="A1259" s="1">
        <f>INDEX(rq_evidence_review!A:A, MATCH(B1259, rq_evidence_review!B:B, 0))</f>
        <v>5</v>
      </c>
      <c r="B1259" s="6" t="s">
        <v>291</v>
      </c>
      <c r="C1259" s="1">
        <f t="shared" si="141"/>
        <v>1248</v>
      </c>
      <c r="D1259" s="1">
        <f>VLOOKUP(B1259,rq_evidence_review!$B$1:$L$55,7,FALSE)</f>
        <v>8</v>
      </c>
      <c r="E1259" s="8" t="s">
        <v>922</v>
      </c>
      <c r="H1259" s="1" t="str">
        <f t="shared" si="136"/>
        <v>Tang</v>
      </c>
      <c r="I1259" s="1" t="str">
        <f t="shared" si="138"/>
        <v>2006</v>
      </c>
      <c r="J1259" s="1" t="str">
        <f t="shared" si="137"/>
        <v>Tang et al., 2006</v>
      </c>
      <c r="K1259" s="9" t="s">
        <v>1912</v>
      </c>
      <c r="L1259" s="1" t="str">
        <f t="shared" si="140"/>
        <v/>
      </c>
    </row>
    <row r="1260" spans="1:12" ht="45" hidden="1" x14ac:dyDescent="0.25">
      <c r="A1260" s="1">
        <f>INDEX(rq_evidence_review!A:A, MATCH(B1260, rq_evidence_review!B:B, 0))</f>
        <v>5</v>
      </c>
      <c r="B1260" s="6" t="str">
        <f>rq_evidence_review!B53</f>
        <v>5.7.6</v>
      </c>
      <c r="C1260" s="1">
        <f t="shared" si="141"/>
        <v>1249</v>
      </c>
      <c r="D1260" s="1">
        <f>VLOOKUP(B1260,rq_evidence_review!$B$1:$L$55,7,FALSE)</f>
        <v>1</v>
      </c>
      <c r="E1260" s="8" t="s">
        <v>923</v>
      </c>
      <c r="H1260" s="1" t="str">
        <f t="shared" si="136"/>
        <v>Zheng X</v>
      </c>
      <c r="I1260" s="1" t="str">
        <f t="shared" si="138"/>
        <v>2022</v>
      </c>
      <c r="J1260" s="1" t="str">
        <f t="shared" si="137"/>
        <v>Zheng X et al., 2022</v>
      </c>
      <c r="K1260" s="1" t="str">
        <f t="shared" si="139"/>
        <v>10.1093/humrep/deab243</v>
      </c>
      <c r="L1260" s="1" t="str">
        <f t="shared" si="140"/>
        <v>34849920</v>
      </c>
    </row>
    <row r="1261" spans="1:12" hidden="1" x14ac:dyDescent="0.25">
      <c r="A1261" s="1">
        <f>INDEX(rq_evidence_review!A:A, MATCH(B1261, rq_evidence_review!B:B, 0))</f>
        <v>5</v>
      </c>
      <c r="B1261" s="6">
        <f>rq_evidence_review!B54</f>
        <v>5.8</v>
      </c>
      <c r="D1261" s="1">
        <f>VLOOKUP(B1261,rq_evidence_review!$B$1:$L$55,7,FALSE)</f>
        <v>0</v>
      </c>
      <c r="H1261" s="1" t="e">
        <f>LEFT(E1261, FIND(",", E1261) - 1)</f>
        <v>#VALUE!</v>
      </c>
      <c r="I1261" s="1" t="str">
        <f t="shared" si="138"/>
        <v/>
      </c>
      <c r="J1261" s="1" t="e">
        <f t="shared" si="137"/>
        <v>#VALUE!</v>
      </c>
      <c r="K1261" s="1" t="str">
        <f t="shared" si="139"/>
        <v/>
      </c>
      <c r="L1261" s="1" t="str">
        <f t="shared" si="140"/>
        <v/>
      </c>
    </row>
    <row r="1262" spans="1:12" hidden="1" x14ac:dyDescent="0.25">
      <c r="A1262" s="1">
        <f>INDEX(rq_evidence_review!A:A, MATCH(B1262, rq_evidence_review!B:B, 0))</f>
        <v>5</v>
      </c>
      <c r="B1262" s="6">
        <f>rq_evidence_review!B55</f>
        <v>5.9</v>
      </c>
      <c r="D1262" s="1">
        <f>VLOOKUP(B1262,rq_evidence_review!$B$1:$L$55,7,FALSE)</f>
        <v>0</v>
      </c>
      <c r="H1262" s="1" t="e">
        <f>LEFT(E1262, FIND(",", E1262) - 1)</f>
        <v>#VALUE!</v>
      </c>
      <c r="I1262" s="1" t="str">
        <f t="shared" si="138"/>
        <v/>
      </c>
      <c r="J1262" s="1" t="e">
        <f t="shared" si="137"/>
        <v>#VALUE!</v>
      </c>
      <c r="K1262" s="1" t="str">
        <f t="shared" si="139"/>
        <v/>
      </c>
      <c r="L1262" s="1" t="str">
        <f t="shared" si="140"/>
        <v/>
      </c>
    </row>
  </sheetData>
  <autoFilter ref="A1:O1262" xr:uid="{8CA03CC0-DBB2-4BE4-840B-DB2AD279B08A}">
    <filterColumn colId="2">
      <filters>
        <filter val="683"/>
      </filters>
    </filterColumn>
  </autoFilter>
  <conditionalFormatting sqref="G1:G183 G482 H1:J1 F184:F201 G202:G278 G280:G479 G485:G588 F279:F593 F599:G599 G594:G607 G610:G1048576 L1:O1">
    <cfRule type="cellIs" dxfId="116" priority="117" operator="equal">
      <formula>"SR"</formula>
    </cfRule>
  </conditionalFormatting>
  <conditionalFormatting sqref="G482 H1:J1 G1:G278 G280:G479 G485:G588 F279:F593 F599:G599 G594:G607 G610:G1048576 L1:O1">
    <cfRule type="cellIs" dxfId="115" priority="116" operator="equal">
      <formula>"prior search"</formula>
    </cfRule>
  </conditionalFormatting>
  <conditionalFormatting sqref="G480:G481">
    <cfRule type="cellIs" dxfId="114" priority="115" operator="equal">
      <formula>"SR"</formula>
    </cfRule>
  </conditionalFormatting>
  <conditionalFormatting sqref="G480:G481">
    <cfRule type="cellIs" dxfId="113" priority="114" operator="equal">
      <formula>"From Previous SR"</formula>
    </cfRule>
  </conditionalFormatting>
  <conditionalFormatting sqref="F600">
    <cfRule type="cellIs" dxfId="112" priority="113" operator="equal">
      <formula>"SR"</formula>
    </cfRule>
  </conditionalFormatting>
  <conditionalFormatting sqref="F600">
    <cfRule type="cellIs" dxfId="111" priority="112" operator="equal">
      <formula>"prior search"</formula>
    </cfRule>
  </conditionalFormatting>
  <conditionalFormatting sqref="F1:F1048576">
    <cfRule type="containsText" dxfId="110" priority="101" operator="containsText" text="samestudy">
      <formula>NOT(ISERROR(SEARCH("samestudy",F1)))</formula>
    </cfRule>
    <cfRule type="containsText" dxfId="109" priority="111" operator="containsText" text="same study">
      <formula>NOT(ISERROR(SEARCH("same study",F1)))</formula>
    </cfRule>
  </conditionalFormatting>
  <conditionalFormatting sqref="F606">
    <cfRule type="cellIs" dxfId="108" priority="110" operator="equal">
      <formula>"SR"</formula>
    </cfRule>
  </conditionalFormatting>
  <conditionalFormatting sqref="F606">
    <cfRule type="cellIs" dxfId="107" priority="109" operator="equal">
      <formula>"prior search"</formula>
    </cfRule>
  </conditionalFormatting>
  <conditionalFormatting sqref="F607">
    <cfRule type="cellIs" dxfId="106" priority="108" operator="equal">
      <formula>"SR"</formula>
    </cfRule>
  </conditionalFormatting>
  <conditionalFormatting sqref="F607">
    <cfRule type="cellIs" dxfId="105" priority="107" operator="equal">
      <formula>"prior search"</formula>
    </cfRule>
  </conditionalFormatting>
  <conditionalFormatting sqref="J1:J1048576">
    <cfRule type="duplicateValues" dxfId="104" priority="106"/>
  </conditionalFormatting>
  <conditionalFormatting sqref="G311">
    <cfRule type="containsText" dxfId="103" priority="105" operator="containsText" text="same study">
      <formula>NOT(ISERROR(SEARCH("same study",G311)))</formula>
    </cfRule>
  </conditionalFormatting>
  <conditionalFormatting sqref="G312:G314">
    <cfRule type="containsText" dxfId="102" priority="104" operator="containsText" text="same study">
      <formula>NOT(ISERROR(SEARCH("same study",G312)))</formula>
    </cfRule>
  </conditionalFormatting>
  <conditionalFormatting sqref="G1:G278 F279:F593 G280:G607 G610:G1048576">
    <cfRule type="cellIs" dxfId="101" priority="103" operator="equal">
      <formula>"primary_citation"</formula>
    </cfRule>
  </conditionalFormatting>
  <conditionalFormatting sqref="E1:E1048576">
    <cfRule type="containsText" dxfId="100" priority="102" operator="containsText" text="primary citation">
      <formula>NOT(ISERROR(SEARCH("primary citation",E1)))</formula>
    </cfRule>
  </conditionalFormatting>
  <conditionalFormatting sqref="G589:G593">
    <cfRule type="cellIs" dxfId="99" priority="100" operator="equal">
      <formula>"SR"</formula>
    </cfRule>
  </conditionalFormatting>
  <conditionalFormatting sqref="G589:G593">
    <cfRule type="cellIs" dxfId="98" priority="99" operator="equal">
      <formula>"prior search"</formula>
    </cfRule>
  </conditionalFormatting>
  <conditionalFormatting sqref="F599">
    <cfRule type="cellIs" dxfId="97" priority="98" operator="equal">
      <formula>"primary_citation"</formula>
    </cfRule>
  </conditionalFormatting>
  <conditionalFormatting sqref="F600">
    <cfRule type="cellIs" dxfId="96" priority="97" operator="equal">
      <formula>"SR"</formula>
    </cfRule>
  </conditionalFormatting>
  <conditionalFormatting sqref="F600">
    <cfRule type="cellIs" dxfId="95" priority="96" operator="equal">
      <formula>"prior search"</formula>
    </cfRule>
  </conditionalFormatting>
  <conditionalFormatting sqref="F600">
    <cfRule type="cellIs" dxfId="94" priority="95" operator="equal">
      <formula>"primary_citation"</formula>
    </cfRule>
  </conditionalFormatting>
  <conditionalFormatting sqref="F606">
    <cfRule type="cellIs" dxfId="93" priority="94" operator="equal">
      <formula>"SR"</formula>
    </cfRule>
  </conditionalFormatting>
  <conditionalFormatting sqref="F606">
    <cfRule type="cellIs" dxfId="92" priority="93" operator="equal">
      <formula>"prior search"</formula>
    </cfRule>
  </conditionalFormatting>
  <conditionalFormatting sqref="F606">
    <cfRule type="cellIs" dxfId="91" priority="92" operator="equal">
      <formula>"primary_citation"</formula>
    </cfRule>
  </conditionalFormatting>
  <conditionalFormatting sqref="F607">
    <cfRule type="cellIs" dxfId="90" priority="91" operator="equal">
      <formula>"SR"</formula>
    </cfRule>
  </conditionalFormatting>
  <conditionalFormatting sqref="F607">
    <cfRule type="cellIs" dxfId="89" priority="90" operator="equal">
      <formula>"prior search"</formula>
    </cfRule>
  </conditionalFormatting>
  <conditionalFormatting sqref="F607">
    <cfRule type="cellIs" dxfId="88" priority="89" operator="equal">
      <formula>"SR"</formula>
    </cfRule>
  </conditionalFormatting>
  <conditionalFormatting sqref="F607">
    <cfRule type="cellIs" dxfId="87" priority="88" operator="equal">
      <formula>"prior search"</formula>
    </cfRule>
  </conditionalFormatting>
  <conditionalFormatting sqref="F607">
    <cfRule type="cellIs" dxfId="86" priority="87" operator="equal">
      <formula>"primary_citation"</formula>
    </cfRule>
  </conditionalFormatting>
  <conditionalFormatting sqref="F613">
    <cfRule type="cellIs" dxfId="85" priority="86" operator="equal">
      <formula>"SR"</formula>
    </cfRule>
  </conditionalFormatting>
  <conditionalFormatting sqref="F613">
    <cfRule type="cellIs" dxfId="84" priority="85" operator="equal">
      <formula>"prior search"</formula>
    </cfRule>
  </conditionalFormatting>
  <conditionalFormatting sqref="F613">
    <cfRule type="cellIs" dxfId="83" priority="84" operator="equal">
      <formula>"SR"</formula>
    </cfRule>
  </conditionalFormatting>
  <conditionalFormatting sqref="F613">
    <cfRule type="cellIs" dxfId="82" priority="83" operator="equal">
      <formula>"prior search"</formula>
    </cfRule>
  </conditionalFormatting>
  <conditionalFormatting sqref="F613">
    <cfRule type="cellIs" dxfId="81" priority="82" operator="equal">
      <formula>"primary_citation"</formula>
    </cfRule>
  </conditionalFormatting>
  <conditionalFormatting sqref="F614:F616">
    <cfRule type="cellIs" dxfId="80" priority="81" operator="equal">
      <formula>"SR"</formula>
    </cfRule>
  </conditionalFormatting>
  <conditionalFormatting sqref="F614:F616">
    <cfRule type="cellIs" dxfId="79" priority="80" operator="equal">
      <formula>"prior search"</formula>
    </cfRule>
  </conditionalFormatting>
  <conditionalFormatting sqref="F614:F616">
    <cfRule type="cellIs" dxfId="78" priority="79" operator="equal">
      <formula>"SR"</formula>
    </cfRule>
  </conditionalFormatting>
  <conditionalFormatting sqref="F614:F616">
    <cfRule type="cellIs" dxfId="77" priority="78" operator="equal">
      <formula>"prior search"</formula>
    </cfRule>
  </conditionalFormatting>
  <conditionalFormatting sqref="F614:F616">
    <cfRule type="cellIs" dxfId="76" priority="77" operator="equal">
      <formula>"SR"</formula>
    </cfRule>
  </conditionalFormatting>
  <conditionalFormatting sqref="F614:F616">
    <cfRule type="cellIs" dxfId="75" priority="76" operator="equal">
      <formula>"prior search"</formula>
    </cfRule>
  </conditionalFormatting>
  <conditionalFormatting sqref="F614:F616">
    <cfRule type="cellIs" dxfId="74" priority="75" operator="equal">
      <formula>"primary_citation"</formula>
    </cfRule>
  </conditionalFormatting>
  <conditionalFormatting sqref="F610">
    <cfRule type="cellIs" dxfId="73" priority="74" operator="equal">
      <formula>"SR"</formula>
    </cfRule>
  </conditionalFormatting>
  <conditionalFormatting sqref="F610">
    <cfRule type="cellIs" dxfId="72" priority="73" operator="equal">
      <formula>"prior search"</formula>
    </cfRule>
  </conditionalFormatting>
  <conditionalFormatting sqref="F610">
    <cfRule type="cellIs" dxfId="71" priority="72" operator="equal">
      <formula>"SR"</formula>
    </cfRule>
  </conditionalFormatting>
  <conditionalFormatting sqref="F610">
    <cfRule type="cellIs" dxfId="70" priority="71" operator="equal">
      <formula>"prior search"</formula>
    </cfRule>
  </conditionalFormatting>
  <conditionalFormatting sqref="F610">
    <cfRule type="cellIs" dxfId="69" priority="70" operator="equal">
      <formula>"primary_citation"</formula>
    </cfRule>
  </conditionalFormatting>
  <conditionalFormatting sqref="F611">
    <cfRule type="cellIs" dxfId="68" priority="69" operator="equal">
      <formula>"SR"</formula>
    </cfRule>
  </conditionalFormatting>
  <conditionalFormatting sqref="F611">
    <cfRule type="cellIs" dxfId="67" priority="68" operator="equal">
      <formula>"prior search"</formula>
    </cfRule>
  </conditionalFormatting>
  <conditionalFormatting sqref="F611">
    <cfRule type="cellIs" dxfId="66" priority="67" operator="equal">
      <formula>"SR"</formula>
    </cfRule>
  </conditionalFormatting>
  <conditionalFormatting sqref="F611">
    <cfRule type="cellIs" dxfId="65" priority="66" operator="equal">
      <formula>"prior search"</formula>
    </cfRule>
  </conditionalFormatting>
  <conditionalFormatting sqref="F611">
    <cfRule type="cellIs" dxfId="64" priority="65" operator="equal">
      <formula>"SR"</formula>
    </cfRule>
  </conditionalFormatting>
  <conditionalFormatting sqref="F611">
    <cfRule type="cellIs" dxfId="63" priority="64" operator="equal">
      <formula>"prior search"</formula>
    </cfRule>
  </conditionalFormatting>
  <conditionalFormatting sqref="F611">
    <cfRule type="cellIs" dxfId="62" priority="63" operator="equal">
      <formula>"primary_citation"</formula>
    </cfRule>
  </conditionalFormatting>
  <conditionalFormatting sqref="F626">
    <cfRule type="cellIs" dxfId="61" priority="62" operator="equal">
      <formula>"SR"</formula>
    </cfRule>
  </conditionalFormatting>
  <conditionalFormatting sqref="F626">
    <cfRule type="cellIs" dxfId="60" priority="61" operator="equal">
      <formula>"prior search"</formula>
    </cfRule>
  </conditionalFormatting>
  <conditionalFormatting sqref="F626">
    <cfRule type="cellIs" dxfId="59" priority="60" operator="equal">
      <formula>"SR"</formula>
    </cfRule>
  </conditionalFormatting>
  <conditionalFormatting sqref="F626">
    <cfRule type="cellIs" dxfId="58" priority="59" operator="equal">
      <formula>"prior search"</formula>
    </cfRule>
  </conditionalFormatting>
  <conditionalFormatting sqref="F626">
    <cfRule type="cellIs" dxfId="57" priority="58" operator="equal">
      <formula>"primary_citation"</formula>
    </cfRule>
  </conditionalFormatting>
  <conditionalFormatting sqref="F627:F628">
    <cfRule type="cellIs" dxfId="56" priority="57" operator="equal">
      <formula>"SR"</formula>
    </cfRule>
  </conditionalFormatting>
  <conditionalFormatting sqref="F627:F628">
    <cfRule type="cellIs" dxfId="55" priority="56" operator="equal">
      <formula>"prior search"</formula>
    </cfRule>
  </conditionalFormatting>
  <conditionalFormatting sqref="F627:F628">
    <cfRule type="cellIs" dxfId="54" priority="55" operator="equal">
      <formula>"SR"</formula>
    </cfRule>
  </conditionalFormatting>
  <conditionalFormatting sqref="F627:F628">
    <cfRule type="cellIs" dxfId="53" priority="54" operator="equal">
      <formula>"prior search"</formula>
    </cfRule>
  </conditionalFormatting>
  <conditionalFormatting sqref="F627:F628">
    <cfRule type="cellIs" dxfId="52" priority="53" operator="equal">
      <formula>"SR"</formula>
    </cfRule>
  </conditionalFormatting>
  <conditionalFormatting sqref="F627:F628">
    <cfRule type="cellIs" dxfId="51" priority="52" operator="equal">
      <formula>"prior search"</formula>
    </cfRule>
  </conditionalFormatting>
  <conditionalFormatting sqref="F627:F628">
    <cfRule type="cellIs" dxfId="50" priority="51" operator="equal">
      <formula>"primary_citation"</formula>
    </cfRule>
  </conditionalFormatting>
  <conditionalFormatting sqref="F911">
    <cfRule type="cellIs" dxfId="49" priority="50" operator="equal">
      <formula>"SR"</formula>
    </cfRule>
  </conditionalFormatting>
  <conditionalFormatting sqref="F911">
    <cfRule type="cellIs" dxfId="48" priority="49" operator="equal">
      <formula>"prior search"</formula>
    </cfRule>
  </conditionalFormatting>
  <conditionalFormatting sqref="F911">
    <cfRule type="cellIs" dxfId="47" priority="48" operator="equal">
      <formula>"SR"</formula>
    </cfRule>
  </conditionalFormatting>
  <conditionalFormatting sqref="F911">
    <cfRule type="cellIs" dxfId="46" priority="47" operator="equal">
      <formula>"prior search"</formula>
    </cfRule>
  </conditionalFormatting>
  <conditionalFormatting sqref="F911">
    <cfRule type="cellIs" dxfId="45" priority="46" operator="equal">
      <formula>"primary_citation"</formula>
    </cfRule>
  </conditionalFormatting>
  <conditionalFormatting sqref="F912">
    <cfRule type="cellIs" dxfId="44" priority="45" operator="equal">
      <formula>"SR"</formula>
    </cfRule>
  </conditionalFormatting>
  <conditionalFormatting sqref="F912">
    <cfRule type="cellIs" dxfId="43" priority="44" operator="equal">
      <formula>"prior search"</formula>
    </cfRule>
  </conditionalFormatting>
  <conditionalFormatting sqref="F912">
    <cfRule type="cellIs" dxfId="42" priority="43" operator="equal">
      <formula>"SR"</formula>
    </cfRule>
  </conditionalFormatting>
  <conditionalFormatting sqref="F912">
    <cfRule type="cellIs" dxfId="41" priority="42" operator="equal">
      <formula>"prior search"</formula>
    </cfRule>
  </conditionalFormatting>
  <conditionalFormatting sqref="F912">
    <cfRule type="cellIs" dxfId="40" priority="41" operator="equal">
      <formula>"primary_citation"</formula>
    </cfRule>
  </conditionalFormatting>
  <conditionalFormatting sqref="F913">
    <cfRule type="cellIs" dxfId="39" priority="40" operator="equal">
      <formula>"SR"</formula>
    </cfRule>
  </conditionalFormatting>
  <conditionalFormatting sqref="F913">
    <cfRule type="cellIs" dxfId="38" priority="39" operator="equal">
      <formula>"prior search"</formula>
    </cfRule>
  </conditionalFormatting>
  <conditionalFormatting sqref="F913">
    <cfRule type="cellIs" dxfId="37" priority="38" operator="equal">
      <formula>"SR"</formula>
    </cfRule>
  </conditionalFormatting>
  <conditionalFormatting sqref="F913">
    <cfRule type="cellIs" dxfId="36" priority="37" operator="equal">
      <formula>"prior search"</formula>
    </cfRule>
  </conditionalFormatting>
  <conditionalFormatting sqref="F913">
    <cfRule type="cellIs" dxfId="35" priority="36" operator="equal">
      <formula>"primary_citation"</formula>
    </cfRule>
  </conditionalFormatting>
  <conditionalFormatting sqref="F914:F916">
    <cfRule type="cellIs" dxfId="34" priority="35" operator="equal">
      <formula>"SR"</formula>
    </cfRule>
  </conditionalFormatting>
  <conditionalFormatting sqref="F914:F916">
    <cfRule type="cellIs" dxfId="33" priority="34" operator="equal">
      <formula>"prior search"</formula>
    </cfRule>
  </conditionalFormatting>
  <conditionalFormatting sqref="F914:F916">
    <cfRule type="cellIs" dxfId="32" priority="33" operator="equal">
      <formula>"SR"</formula>
    </cfRule>
  </conditionalFormatting>
  <conditionalFormatting sqref="F914:F916">
    <cfRule type="cellIs" dxfId="31" priority="32" operator="equal">
      <formula>"prior search"</formula>
    </cfRule>
  </conditionalFormatting>
  <conditionalFormatting sqref="F914:F916">
    <cfRule type="cellIs" dxfId="30" priority="31" operator="equal">
      <formula>"primary_citation"</formula>
    </cfRule>
  </conditionalFormatting>
  <conditionalFormatting sqref="F917">
    <cfRule type="cellIs" dxfId="29" priority="30" operator="equal">
      <formula>"SR"</formula>
    </cfRule>
  </conditionalFormatting>
  <conditionalFormatting sqref="F917">
    <cfRule type="cellIs" dxfId="28" priority="29" operator="equal">
      <formula>"prior search"</formula>
    </cfRule>
  </conditionalFormatting>
  <conditionalFormatting sqref="F917">
    <cfRule type="cellIs" dxfId="27" priority="28" operator="equal">
      <formula>"SR"</formula>
    </cfRule>
  </conditionalFormatting>
  <conditionalFormatting sqref="F917">
    <cfRule type="cellIs" dxfId="26" priority="27" operator="equal">
      <formula>"prior search"</formula>
    </cfRule>
  </conditionalFormatting>
  <conditionalFormatting sqref="F917">
    <cfRule type="cellIs" dxfId="25" priority="26" operator="equal">
      <formula>"primary_citation"</formula>
    </cfRule>
  </conditionalFormatting>
  <conditionalFormatting sqref="F918">
    <cfRule type="cellIs" dxfId="24" priority="25" operator="equal">
      <formula>"SR"</formula>
    </cfRule>
  </conditionalFormatting>
  <conditionalFormatting sqref="F918">
    <cfRule type="cellIs" dxfId="23" priority="24" operator="equal">
      <formula>"prior search"</formula>
    </cfRule>
  </conditionalFormatting>
  <conditionalFormatting sqref="F918">
    <cfRule type="cellIs" dxfId="22" priority="23" operator="equal">
      <formula>"SR"</formula>
    </cfRule>
  </conditionalFormatting>
  <conditionalFormatting sqref="F918">
    <cfRule type="cellIs" dxfId="21" priority="22" operator="equal">
      <formula>"prior search"</formula>
    </cfRule>
  </conditionalFormatting>
  <conditionalFormatting sqref="F918">
    <cfRule type="cellIs" dxfId="20" priority="21" operator="equal">
      <formula>"primary_citation"</formula>
    </cfRule>
  </conditionalFormatting>
  <conditionalFormatting sqref="F919">
    <cfRule type="cellIs" dxfId="19" priority="20" operator="equal">
      <formula>"SR"</formula>
    </cfRule>
  </conditionalFormatting>
  <conditionalFormatting sqref="F919">
    <cfRule type="cellIs" dxfId="18" priority="19" operator="equal">
      <formula>"prior search"</formula>
    </cfRule>
  </conditionalFormatting>
  <conditionalFormatting sqref="F919">
    <cfRule type="cellIs" dxfId="17" priority="18" operator="equal">
      <formula>"SR"</formula>
    </cfRule>
  </conditionalFormatting>
  <conditionalFormatting sqref="F919">
    <cfRule type="cellIs" dxfId="16" priority="17" operator="equal">
      <formula>"prior search"</formula>
    </cfRule>
  </conditionalFormatting>
  <conditionalFormatting sqref="F919">
    <cfRule type="cellIs" dxfId="15" priority="16" operator="equal">
      <formula>"primary_citation"</formula>
    </cfRule>
  </conditionalFormatting>
  <conditionalFormatting sqref="F920">
    <cfRule type="cellIs" dxfId="14" priority="15" operator="equal">
      <formula>"SR"</formula>
    </cfRule>
  </conditionalFormatting>
  <conditionalFormatting sqref="F920">
    <cfRule type="cellIs" dxfId="13" priority="14" operator="equal">
      <formula>"prior search"</formula>
    </cfRule>
  </conditionalFormatting>
  <conditionalFormatting sqref="F920">
    <cfRule type="cellIs" dxfId="12" priority="13" operator="equal">
      <formula>"SR"</formula>
    </cfRule>
  </conditionalFormatting>
  <conditionalFormatting sqref="F920">
    <cfRule type="cellIs" dxfId="11" priority="12" operator="equal">
      <formula>"prior search"</formula>
    </cfRule>
  </conditionalFormatting>
  <conditionalFormatting sqref="F920">
    <cfRule type="cellIs" dxfId="10" priority="11" operator="equal">
      <formula>"primary_citation"</formula>
    </cfRule>
  </conditionalFormatting>
  <conditionalFormatting sqref="F962">
    <cfRule type="cellIs" dxfId="9" priority="10" operator="equal">
      <formula>"SR"</formula>
    </cfRule>
  </conditionalFormatting>
  <conditionalFormatting sqref="F962">
    <cfRule type="cellIs" dxfId="8" priority="9" operator="equal">
      <formula>"prior search"</formula>
    </cfRule>
  </conditionalFormatting>
  <conditionalFormatting sqref="F962">
    <cfRule type="cellIs" dxfId="7" priority="8" operator="equal">
      <formula>"SR"</formula>
    </cfRule>
  </conditionalFormatting>
  <conditionalFormatting sqref="F962">
    <cfRule type="cellIs" dxfId="6" priority="7" operator="equal">
      <formula>"prior search"</formula>
    </cfRule>
  </conditionalFormatting>
  <conditionalFormatting sqref="F962">
    <cfRule type="cellIs" dxfId="5" priority="6" operator="equal">
      <formula>"primary_citation"</formula>
    </cfRule>
  </conditionalFormatting>
  <conditionalFormatting sqref="F963">
    <cfRule type="cellIs" dxfId="4" priority="5" operator="equal">
      <formula>"SR"</formula>
    </cfRule>
  </conditionalFormatting>
  <conditionalFormatting sqref="F963">
    <cfRule type="cellIs" dxfId="3" priority="4" operator="equal">
      <formula>"prior search"</formula>
    </cfRule>
  </conditionalFormatting>
  <conditionalFormatting sqref="F963">
    <cfRule type="cellIs" dxfId="2" priority="3" operator="equal">
      <formula>"SR"</formula>
    </cfRule>
  </conditionalFormatting>
  <conditionalFormatting sqref="F963">
    <cfRule type="cellIs" dxfId="1" priority="2" operator="equal">
      <formula>"prior search"</formula>
    </cfRule>
  </conditionalFormatting>
  <conditionalFormatting sqref="F963">
    <cfRule type="cellIs" dxfId="0" priority="1" operator="equal">
      <formula>"primary_citation"</formula>
    </cfRule>
  </conditionalFormatting>
  <hyperlinks>
    <hyperlink ref="K23" r:id="rId1" display="https://dx.doi.org/10.13005/bpj/2056" xr:uid="{E0FAF9A1-8F64-4EFB-81E7-60A7719AEED3}"/>
    <hyperlink ref="K71" r:id="rId2" display="https://doi.org/10.53350/pjmhs22165612" xr:uid="{38854F88-32B0-43AA-AE96-AC0C42750A69}"/>
    <hyperlink ref="K73" r:id="rId3" display="https://doi.org/10.21608/ajnsa.2019.3711.1087" xr:uid="{BCC048FC-0742-4346-AA67-594A2EB55637}"/>
    <hyperlink ref="K102" r:id="rId4" display="https://doi.org/10.3889/oamjms.2018.260" xr:uid="{7FC1C384-F522-44DC-AD51-1D9966AADFF6}"/>
    <hyperlink ref="K103" r:id="rId5" display="https://doi.org/10.4274/jcp.2021.22599" xr:uid="{6D74D5C7-5442-4281-B24E-2FBD047C5FEF}"/>
    <hyperlink ref="K106" r:id="rId6" display="https://doi.org/10.1016/j.fertnstert.2019.03.002" xr:uid="{D666D745-2592-4017-B381-0F0308148258}"/>
    <hyperlink ref="K107" r:id="rId7" display="https://doi.org/10.1016/j.tjog.2018.06.004" xr:uid="{345E5F3A-2442-4648-8573-DA440918F1CD}"/>
    <hyperlink ref="K108" r:id="rId8" display="https://doi.org/10.1371/journal.pone.0203129" xr:uid="{5CBE5DAC-1244-4A63-8934-9A2C2DE3E6DE}"/>
    <hyperlink ref="K140" r:id="rId9" display="https://doi.org/10.22074/ijfs.2010.45808" xr:uid="{E12B1018-D0E8-4353-A502-576564E16DC0}"/>
    <hyperlink ref="M121" r:id="rId10" tooltip="https://openalex.org/W2221924240" display="https://openalex.org/W2221924240" xr:uid="{C3A020F1-B976-4D08-8EF4-46CA22C2456B}"/>
    <hyperlink ref="K182" r:id="rId11" display="https://doi.org/10.1210/jc.2013-4170" xr:uid="{E86AE8FC-51D4-4AFC-A338-54887B2DD68F}"/>
    <hyperlink ref="K202" r:id="rId12" display="https://doi.org/10.4183/aeb.2022.417" xr:uid="{AA0D3151-CB98-48F1-9EC5-0E248A4AA352}"/>
    <hyperlink ref="K203" r:id="rId13" display="https://doi.org/10.1016/j.bbrc.2008.06.039" xr:uid="{D0076635-34E8-4B6C-80DD-7C1608BC0822}"/>
    <hyperlink ref="K204" r:id="rId14" display="https://doi.org/10.1016/j.ijgo.2008.11.031" xr:uid="{9CF30D8B-CDC7-4BE7-9BCE-7E06D962DD90}"/>
    <hyperlink ref="K205" r:id="rId15" tooltip="https://doi.org/10.1007/s11892-006-0056-1" display="https://doi.org/10.1007/s11892-006-0056-1" xr:uid="{2792FBE1-1DCD-4AB3-BC2E-64805313923F}"/>
    <hyperlink ref="K206" r:id="rId16" display="https://doi.org/10.1111/imj.12910" xr:uid="{330AC8BC-4B26-4296-BFC9-B9A9B9CF6528}"/>
    <hyperlink ref="K207" r:id="rId17" display="https://doi.org/10.1016/j.fertnstert.2013.12.050" xr:uid="{FD8FBDBA-66E1-4AE4-9A99-F22C61D6C73C}"/>
    <hyperlink ref="K209" r:id="rId18" display="https://doi.org/10.1093/HUMREP%2F15.4.785" xr:uid="{78A7FA32-37E1-428F-8F8F-1A02EC0806A2}"/>
    <hyperlink ref="K211" r:id="rId19" display="https://doi.org/10.3109/09513599509160190" xr:uid="{BB0C2235-5E45-4D1F-8B3D-EF9FB4FEDAD4}"/>
    <hyperlink ref="K212" r:id="rId20" display="https://doi.org/10.1152/AJPENDO.2001.281.2.E392" xr:uid="{42769726-48A6-45C6-9A66-53A7395631B4}"/>
    <hyperlink ref="K213" r:id="rId21" display="https://doi.org/10.1016/j.metabol.2008.08.002" xr:uid="{9BDC9CAC-353A-4028-B6D4-1353BD1D13CC}"/>
    <hyperlink ref="K214" r:id="rId22" display="https://doi.org/10.1007/BF03345285" xr:uid="{CA200606-1649-4449-86A8-7627A913B79C}"/>
    <hyperlink ref="K215" r:id="rId23" display="https://doi.org/10.1016/j.jadohealth.2009.10.008" xr:uid="{50BA5EF2-050B-4F98-B6A6-E3FC1D515391}"/>
    <hyperlink ref="K216" r:id="rId24" display="https://doi.org/10.1530/EJE-14-1108" xr:uid="{87EB4D0B-416F-474C-A6DE-6C67D07E3741}"/>
    <hyperlink ref="K217" r:id="rId25" display="https://doi.org/10.3109/00365521.2010.539251" xr:uid="{EBE334DF-D51B-4C1C-8562-2E82E3E81D24}"/>
    <hyperlink ref="K218" r:id="rId26" display="https://doi.org/10.1186/1477-7827-8-142" xr:uid="{D7446C92-B3B5-47E1-A979-6DD6D96CB520}"/>
    <hyperlink ref="K219" r:id="rId27" display="https://doi.org/10.1093/humrep%2Fder065" xr:uid="{9CB99250-1A86-4E43-A0FB-B00C4029510E}"/>
    <hyperlink ref="K220" r:id="rId28" display="https://doi.org/10.1210/JC.2004-1843" xr:uid="{4AFB37D1-FCDD-4609-A20E-CFCBC2A692B1}"/>
    <hyperlink ref="K221" r:id="rId29" display="https://doi.org/10.1210/JC.2005-1707" xr:uid="{2177D636-6308-4C81-8FE3-343D4017D7B5}"/>
    <hyperlink ref="K222" r:id="rId30" display="https://doi.org/10.1530/EJE-11-0614" xr:uid="{01F45EF6-063C-48C6-A5CE-2CFC1415832E}"/>
    <hyperlink ref="K223" r:id="rId31" display="https://doi.org/10.1016/j.jpag.2012.07.006" xr:uid="{5E931E2C-5323-4256-90D4-769A94EC035D}"/>
    <hyperlink ref="K224" r:id="rId32" display="https://doi.org/10.1111/j.1600-0412.2012.01417.x" xr:uid="{5DBEAFC9-4B6A-4961-95C9-9917BD0DA470}"/>
    <hyperlink ref="K225" r:id="rId33" display="https://doi.org/10.1016/j.cca.2008.07.028" xr:uid="{F729FD44-DC7E-4C93-ABB5-FCC6ACFECC4B}"/>
    <hyperlink ref="K226" r:id="rId34" display="https://doi.org/10.1007/s10815-009-9297-7" xr:uid="{097451CF-A87D-478B-BC4E-0E1F57A43A3C}"/>
    <hyperlink ref="K227" r:id="rId35" display="https://doi.org/10.1542/peds.2008-2050" xr:uid="{0C174CD1-CEC5-4F11-941C-1C7EE9E60993}"/>
    <hyperlink ref="K228" r:id="rId36" display="https://doi.org/10.1016/j.ajog.2012.07.023" xr:uid="{BD7E67D7-A028-4678-9001-D564D4C4E48E}"/>
    <hyperlink ref="K229" r:id="rId37" display="https://doi.org/10.17772/GP%2F59131" xr:uid="{3F8BDFCF-9820-46F8-B8EF-D280DA8AC176}"/>
    <hyperlink ref="K230" r:id="rId38" display="https://doi.org/10.1210/JC.2003-031888" xr:uid="{896CED72-2639-42FF-BF85-72F74ECB55C3}"/>
    <hyperlink ref="K231" r:id="rId39" display="https://doi.org/10.1046/j.1365-2265.1996.658474.x" xr:uid="{B856AE7D-49DE-40A1-8764-5679EBB6C49B}"/>
    <hyperlink ref="M232" r:id="rId40" tooltip="https://openalex.org/W96216759" display="https://openalex.org/W96216759" xr:uid="{1E3A47A1-A63F-4304-B1E9-7D6CBAF5714F}"/>
    <hyperlink ref="K233" r:id="rId41" display="https://doi.org/10.1016/J.NUT.2004.08.017" xr:uid="{1495EF80-8C1F-4E3F-83FE-F9C5A88779AF}"/>
    <hyperlink ref="K234" r:id="rId42" display="https://doi.org/10.1186/s13098-015-0040-5" xr:uid="{2F68F02D-0E7C-4A0D-A8CC-DE801D9CFCF2}"/>
    <hyperlink ref="K235" r:id="rId43" display="https://doi.org/10.1016/S0015-0282%2801%2901937-9" xr:uid="{35F71B16-B9F7-4990-90FD-23328ECB34BE}"/>
    <hyperlink ref="K236" r:id="rId44" display="https://doi.org/10.1016/j.ijgo.2009.09.021" xr:uid="{F9A9C2B2-8057-4576-9FBF-5A97A60191E7}"/>
    <hyperlink ref="K237" r:id="rId45" display="https://doi.org/10.1210/jc.2004-1045" xr:uid="{E760755A-9141-4634-ACF0-8694DD86701E}"/>
    <hyperlink ref="K238" r:id="rId46" display="https://doi.org/10.1210/jendso%2Fbvab048.891" xr:uid="{BD0EA718-FB2C-4330-9D92-44CA597C9AD2}"/>
    <hyperlink ref="K240" r:id="rId47" display="https://doi.org/10.1093/humrep%2Fdet255" xr:uid="{799DD965-791E-44C2-AC0E-91A06CD67C33}"/>
    <hyperlink ref="K241" r:id="rId48" display="https://doi.org/10.1093/humrep%2Fdev166" xr:uid="{E9F26F09-3834-46DB-A7EC-E3A729CD8374}"/>
    <hyperlink ref="K242" r:id="rId49" display="https://doi.org/10.1016/j.fertnstert.2011.08.035" xr:uid="{85C0AB4A-688E-424A-AE54-7AEFB1FEFD8D}"/>
    <hyperlink ref="K243" r:id="rId50" display="https://doi.org/10.12891/ceog16312014" xr:uid="{22460BFD-C53D-4504-9CB7-069CBCFA4334}"/>
    <hyperlink ref="K267" r:id="rId51" display="https://doi.org/10.1016/j.jpag.2019.06.004" xr:uid="{8B15B711-9B18-497D-BC41-4C5E77BF88FD}"/>
    <hyperlink ref="K338" r:id="rId52" display="https://doi.org/10.1186/s12905-020-00994-8" xr:uid="{CD2A179F-1970-45F2-A4B5-DD8E22A0A5CD}"/>
    <hyperlink ref="K339" r:id="rId53" display="https://doi.org/10.1080/0167482X.2017.1311319" xr:uid="{1241081A-0617-4B2D-8578-02DEDBE5540B}"/>
    <hyperlink ref="K340" r:id="rId54" display="https://doi.org/10.1016/j.jpag.2019.07.008" xr:uid="{888522FA-70A2-4188-B568-503D9DCDE495}"/>
    <hyperlink ref="K341" r:id="rId55" display="https://doi.org/10.1297/cpe.2022-0010" xr:uid="{A5924C77-465E-4EE9-B732-DD3A13BAA8E9}"/>
    <hyperlink ref="K342" r:id="rId56" display="https://doi.org/10.22159/ajpcr.2019.v12i11.34426" xr:uid="{1D59C340-5373-408C-B129-C1278BBB43C0}"/>
    <hyperlink ref="K344" r:id="rId57" display="https://doi.org/10.1530/EC-21-0257" xr:uid="{BCBE8F93-3DE7-4DE5-8650-8C06A8F5855E}"/>
    <hyperlink ref="K345" r:id="rId58" display="https://doi.org/10.1210/clinem%2Fdgz256" xr:uid="{F4BEC7FF-81A9-4042-9733-1DE58C20B274}"/>
    <hyperlink ref="K346" r:id="rId59" display="https://doi.org/10.1111/jocd.13563" xr:uid="{D08999B1-2DAA-4B32-80BB-AEF8E96BB94C}"/>
    <hyperlink ref="K347" r:id="rId60" display="https://doi.org/10.31083/j.ceog4903057" xr:uid="{11B7299A-2F7D-4309-BAD0-AD24F69A49A4}"/>
    <hyperlink ref="K348" r:id="rId61" display="https://doi.org/10.1080/09513590.2016.1254610" xr:uid="{01F941DC-FC6F-47DC-B712-16E24E946351}"/>
    <hyperlink ref="K350" r:id="rId62" display="https://doi.org/10.3390/ijerph15020376" xr:uid="{AD9B58DC-2BF5-4AEB-A65A-6C2C3034647F}"/>
    <hyperlink ref="K349" r:id="rId63" display="https://doi.org/10.2147/PPA.S119180" xr:uid="{C9186549-2042-4D78-A0C6-9807D4D395C7}"/>
    <hyperlink ref="K351" r:id="rId64" display="https://doi.org/10.1186/s12955-020-01484-z" xr:uid="{220EF7DA-7751-4D4D-B299-858928AF5445}"/>
    <hyperlink ref="K352" r:id="rId65" display="https://doi.org/10.1080/03630242.2019.1587664" xr:uid="{5A80EA7D-2E8E-4BA6-B214-5984A6E58424}"/>
    <hyperlink ref="K353" r:id="rId66" display="https://doi.org/10.4103/0366-6999.198916" xr:uid="{8E09A113-2E0B-457A-99DB-A92D64FDC606}"/>
    <hyperlink ref="K354" r:id="rId67" display="https://doi.org/10.3390/nu13103526" xr:uid="{07B8BEAE-FB9C-4041-B318-2E7BA41B7B2E}"/>
    <hyperlink ref="K355" r:id="rId68" display="https://doi.org/10.2147/IJWH.S165794" xr:uid="{5A5F4931-E099-4100-8D11-DEF099EE75D6}"/>
    <hyperlink ref="K356" r:id="rId69" display="https://doi.org/10.1080/09513590.2019.1670788" xr:uid="{60F85F92-B5D5-4EFC-B166-71D04CCD3B36}"/>
    <hyperlink ref="K357" r:id="rId70" display="https://doi.org/10.1016/j.fertnstert.2018.01.038" xr:uid="{E3454AD3-7CFE-4804-8670-003A73866F3F}"/>
    <hyperlink ref="K358" r:id="rId71" display="https://doi.org/10.1111/jpc.15097" xr:uid="{186B45D3-1A88-49BE-9014-75AD32416312}"/>
    <hyperlink ref="K359" r:id="rId72" display="https://doi.org/10.1007/s00737-020-01043-x" xr:uid="{FBE773A1-2D9B-4527-98D5-6B06F44FECAE}"/>
    <hyperlink ref="K360" r:id="rId73" display="https://doi.org/10.1155/2013%2F851815" xr:uid="{B4C88AC4-E794-446B-AEE2-6FBD00419B83}"/>
    <hyperlink ref="K361" r:id="rId74" display="https://doi.org/10.1007/s00404-014-3423-1" xr:uid="{03FB63FB-AB0E-4FF9-81DF-DE1B7C8D71CD}"/>
    <hyperlink ref="K362" r:id="rId75" display="https://doi.org/10.1016/j.bbi.2007.07.003" xr:uid="{632D604E-A443-4E9A-BCDC-5289C85252BC}"/>
    <hyperlink ref="M363" r:id="rId76" tooltip="https://openalex.org/W2115750705" display="https://openalex.org/W2115750705" xr:uid="{A82E6E0C-3B0E-492F-B3C1-39AABE63FE2E}"/>
    <hyperlink ref="K364" r:id="rId77" display="https://doi.org/10.1210/JC.2003-030562" xr:uid="{8065C20D-36CF-46B6-A807-2705BD2A38FE}"/>
    <hyperlink ref="K365" r:id="rId78" display="https://doi.org/10.1530/EJE.1.02024" xr:uid="{48260F64-9896-4B65-B7FE-50B1A218B3DB}"/>
    <hyperlink ref="K366" r:id="rId79" display="https://doi.org/10.1111/j.1471-0528.2010.02799.x" xr:uid="{723EE2E0-534D-4DFE-9804-0B70D5D32DB9}"/>
    <hyperlink ref="K367" r:id="rId80" display="https://doi.org/10.1080/09513590.2016.1254610" xr:uid="{541927B7-515E-4E27-9DE8-AD61ABDFD80F}"/>
    <hyperlink ref="K368" r:id="rId81" display="https://doi.org/10.3109/09513590.2015.1018162" xr:uid="{BA44085D-0663-487B-842C-660C24A5C07D}"/>
    <hyperlink ref="K369" r:id="rId82" display="https://doi.org/10.1055/s-0036-1585457" xr:uid="{C51B43FF-3FF4-4B09-AE36-B0D4E129F0A6}"/>
    <hyperlink ref="L370" r:id="rId83" tooltip="https://pubmed.ncbi.nlm.nih.gov/27648099" display="https://pubmed.ncbi.nlm.nih.gov/27648099" xr:uid="{798AE216-96A8-4E6F-8B85-0196261CA764}"/>
    <hyperlink ref="K371" r:id="rId84" display="https://doi.org/10.1371/journal.pone.0162911" xr:uid="{A4A6ED8B-E56B-48DE-A02A-F0D2AF2A40F8}"/>
    <hyperlink ref="K372" r:id="rId85" display="https://doi.org/10.1001/ARCHPEDI.156.6.556" xr:uid="{88CBA53B-70CF-4FD6-B6E6-19750DB13540}"/>
    <hyperlink ref="K395" r:id="rId86" display="https://doi.org/10.4274/jtsm.galenos.2021.85057" xr:uid="{6F94A27E-3E82-4BA0-9F3A-42F30FD3A78F}"/>
    <hyperlink ref="K482" r:id="rId87" display="https://doi.org/10.1016/j.fertnstert.2019.06.018" xr:uid="{0C0180FF-1E52-4D16-A564-63AD77079091}"/>
    <hyperlink ref="K483" r:id="rId88" display="https://doi.org/10.4274/npa.y6778" xr:uid="{BE3C5A20-1ED9-4345-B8E6-160EEC9AFCC1}"/>
    <hyperlink ref="K484" r:id="rId89" display="https://doi.org/10.1007/s11325-019-01946-9" xr:uid="{E2037F34-A57F-47F6-84CF-E75FF14BF45E}"/>
    <hyperlink ref="K485" r:id="rId90" display="https://doi.org/10.1093/humrep%2Fder071" xr:uid="{464BD0BD-9F5C-48C6-9B3F-42AEA8303078}"/>
    <hyperlink ref="K486" r:id="rId91" display="https://doi.org/10.1177/1359105306065021" xr:uid="{151CEA83-E8E2-49C7-82BE-95CCC5DC7740}"/>
    <hyperlink ref="K487" r:id="rId92" display="https://doi.org/10.1016/j.jpag.2013.08.003" xr:uid="{E5AD95CE-52EB-4C85-A579-01667EF913E9}"/>
    <hyperlink ref="K488" r:id="rId93" display="https://doi.org/10.1111/jsm.12284" xr:uid="{CD790ADE-9BAA-42F1-AC99-303030BC2C18}"/>
    <hyperlink ref="K489" r:id="rId94" display="https://doi.org/10.1016/j.jpsychores.2011.02.005" xr:uid="{752CD519-E3F5-4D04-9334-567C5502D87D}"/>
    <hyperlink ref="K490" r:id="rId95" display="https://doi.org/10.1080/0167482X.2018.1530210" xr:uid="{ED5A4E78-1D50-4491-82E1-32B8C444C2A6}"/>
    <hyperlink ref="K491" r:id="rId96" display="https://doi.org/10.1016/J.FERTNSTERT.2006.11.039" xr:uid="{E571012C-8FF4-4293-A1F8-23E40154E4FE}"/>
    <hyperlink ref="K492" r:id="rId97" display="https://doi.org/10.1016/j.psyneuen.2008.06.003" xr:uid="{992AD4BB-3C85-45ED-BAD8-28610D93E7FC}"/>
    <hyperlink ref="K493" r:id="rId98" display="https://doi.org/10.1016/J.FERTNSTERT.2013.07.631" xr:uid="{3E735E78-6F2F-43D7-9891-9F36D0ECBDBF}"/>
    <hyperlink ref="K494" r:id="rId99" display="https://doi.org/10.1016/j.jpag.2013.08.003" xr:uid="{A4613971-7A39-45F9-8FAC-08DAB651EAA7}"/>
    <hyperlink ref="K495" r:id="rId100" display="https://doi.org/10.1016/j.clnu.2015.02.006" xr:uid="{F1BFBAAE-F1D9-4EF2-8A64-B0B3EAB44777}"/>
    <hyperlink ref="K496" r:id="rId101" display="https://doi.org/10.1016/J.FERTNSTERT.2016.07.750" xr:uid="{CB777896-0CBC-4917-9B6A-23B3E85DD071}"/>
    <hyperlink ref="K497" r:id="rId102" display="https://doi.org/10.1016/j.appet.2016.11.010" xr:uid="{0B2E08C6-1699-4334-985D-36DD7C508C66}"/>
    <hyperlink ref="K498" r:id="rId103" display="https://doi.org/10.1097/01.JIM.0000446834.90599.5d" xr:uid="{C527518D-9D1E-4102-B2E3-91AEDBCA9C01}"/>
    <hyperlink ref="K499" r:id="rId104" display="https://doi.org/10.1016/j.psyneuen.2016.08.005" xr:uid="{EC83CAA6-8F10-4D8D-A4C1-E0120701BC99}"/>
    <hyperlink ref="K500" r:id="rId105" display="https://doi.org/10.1096/fasebj.31.1_supplement.lb374" xr:uid="{C7B74F44-FAD7-49C4-8E6A-0DAB99B975B4}"/>
    <hyperlink ref="K501" r:id="rId106" display="https://doi.org/10.31083/j.ceog4903057" xr:uid="{ADBA2908-C053-42F0-96D9-B2D022C17E2F}"/>
    <hyperlink ref="K502" r:id="rId107" display="https://doi.org/10.3390/jcm8101682" xr:uid="{0A29E365-C689-40B8-AC9D-5337C33195FE}"/>
    <hyperlink ref="K503" r:id="rId108" display="https://doi.org/10.1016/j.fertnstert.2019.03.027" xr:uid="{34B42418-9093-4530-AE5B-FF8801EC7E1D}"/>
    <hyperlink ref="K504" r:id="rId109" display="https://doi.org/10.1016/j.sjbs.2020.08.039" xr:uid="{73657EA0-3D2F-4CFD-84C3-4C382FF61A88}"/>
    <hyperlink ref="L507" r:id="rId110" tooltip="https://pubmed.ncbi.nlm.nih.gov/26592060" display="https://pubmed.ncbi.nlm.nih.gov/26592060" xr:uid="{995838C1-59DC-4BD0-AC5F-10B9D13048F9}"/>
    <hyperlink ref="K509" r:id="rId111" display="https://doi.org/10.1080/09513590.2020.1746761" xr:uid="{2ECD5CD5-F936-4034-8879-B3A94C5AFDE0}"/>
    <hyperlink ref="K510" r:id="rId112" display="https://doi.org/10.1093/humrep%2Fdeaa005" xr:uid="{A210E95C-4352-4C89-B758-78D8A947AF29}"/>
    <hyperlink ref="K511" r:id="rId113" display="https://doi.org/10.1016/j.fertnstert.2017.04.011" xr:uid="{BF68148D-7CFA-4E5E-AE20-A657F9D166B0}"/>
    <hyperlink ref="K512" r:id="rId114" display="https://doi.org/10.1007/s00404-011-2014-7" xr:uid="{2F6D3B65-6269-49B0-9776-A10413B9DB45}"/>
    <hyperlink ref="K513" r:id="rId115" display="https://doi.org/10.17925/USE.2020.16.2.74" xr:uid="{0FC48315-0AFD-4962-8455-723938A1534E}"/>
    <hyperlink ref="K514" r:id="rId116" display="https://doi.org/10.1055/s-0038-1667155" xr:uid="{D35E6BDC-2423-463D-9CE1-4B170C9897ED}"/>
    <hyperlink ref="K515" r:id="rId117" display="https://doi.org/10.1186/s12902-021-00848-w" xr:uid="{498ECA2C-5151-4AE1-B237-BDCD351CDE7C}"/>
    <hyperlink ref="K516" r:id="rId118" display="https://doi.org/10.1016/j.jand.2021.11.013" xr:uid="{B59C27EC-6355-4547-9272-C372174A2CC6}"/>
    <hyperlink ref="K517" r:id="rId119" display="https://doi.org/10.1016/j.rbmo.2013.01.009" xr:uid="{2F7C761F-2184-406C-B039-5100A6301BA5}"/>
    <hyperlink ref="K518" r:id="rId120" display="https://doi.org/10.1371/journal.pone.0226074" xr:uid="{8C690F64-9ADC-4A27-A719-6661A74E875E}"/>
    <hyperlink ref="K519" r:id="rId121" display="https://doi.org/10.37506/IJFMT.V14I4.12337" xr:uid="{DB83A115-8ACC-4A49-9335-566B1E6EED70}"/>
    <hyperlink ref="K520" r:id="rId122" display="https://doi.org/10.1186/s13048-021-00780-6" xr:uid="{5B3016F2-8A7C-4321-91A9-1CDB22980A05}"/>
    <hyperlink ref="K521" r:id="rId123" display="https://doi.org/10.1016/j.ando.2020.07.1110" xr:uid="{15B7240D-09B8-4398-BBCC-45DCA5831A13}"/>
    <hyperlink ref="K522" r:id="rId124" display="https://doi.org/10.1186/1472-6874-7-9" xr:uid="{A52237C2-DE00-47D4-9A34-F1AE2E16775C}"/>
    <hyperlink ref="K523" r:id="rId125" display="https://doi.org/10.1177/1043659619856670" xr:uid="{A152D0C2-E5BF-4B20-98A2-EF3E2A305CD3}"/>
    <hyperlink ref="K524" r:id="rId126" display="https://doi.org/10.1111/j.1365-2265.2007.02742.x" xr:uid="{037A6C8D-9275-436E-8A24-7F0FF80CDD6C}"/>
    <hyperlink ref="K525" r:id="rId127" display="https://doi.org/10.1177/0898010111398660" xr:uid="{DA9324C7-4EC1-4178-AB4F-9DD970D6F692}"/>
    <hyperlink ref="K526" r:id="rId128" display="https://doi.org/10.1186/s12905-020-01090-7" xr:uid="{7F76DB98-1740-42D2-BEBA-42DB6CEFF3CD}"/>
    <hyperlink ref="K527" r:id="rId129" display="https://doi.org/10.1093/fampra/cmu028" xr:uid="{C62DDDAF-89F9-4BFF-9914-4DA0F2329649}"/>
    <hyperlink ref="K528" r:id="rId130" display="https://doi.org/10.1210/jc.2016-2963" xr:uid="{25745D79-2DD1-4F80-9073-DC676EB6E133}"/>
    <hyperlink ref="K529" r:id="rId131" display="https://doi.org/10.1530/EC-17-0053" xr:uid="{720177D5-6AFF-43CF-9F64-263622B33503}"/>
    <hyperlink ref="K530" r:id="rId132" display="https://doi.org/10.3399/bjgp20X708881" xr:uid="{912CF8AE-518E-4037-9FB5-B571502EC6B1}"/>
    <hyperlink ref="K531" r:id="rId133" display="https://doi.org/10.1186/1472-6874-13-51" xr:uid="{1FB47A5D-6132-4824-BB0C-65C83478BDCD}"/>
    <hyperlink ref="K532" r:id="rId134" display="https://doi.org/10.2196/16541" xr:uid="{F2E36DCE-DE8D-4135-BDBB-34CF93E64F0A}"/>
    <hyperlink ref="K533" r:id="rId135" display="https://doi.org/10.1177/1466424008092230" xr:uid="{B007AE2D-062C-457A-A6BA-59519A2FEAF9}"/>
    <hyperlink ref="K534" r:id="rId136" display="https://doi.org/10.1186/s12905-022-01734-w" xr:uid="{B337E538-6503-4830-B2EB-44FF66ED207A}"/>
    <hyperlink ref="K535" r:id="rId137" display="https://doi.org/10.1093/inthealth%2Fihac028" xr:uid="{5FCD8262-AB99-4F4F-B53F-7E0C32F369EE}"/>
    <hyperlink ref="K536" r:id="rId138" display="https://doi.org/10.1371/journal.pone.0255830" xr:uid="{3C8935E3-928B-4375-B997-2AFD9AD3312E}"/>
    <hyperlink ref="K537" r:id="rId139" display="https://doi.org/10.1016/j.fertnstert.2018.04.028" xr:uid="{9855B6DB-D9F5-4A51-871C-83E016670628}"/>
    <hyperlink ref="K538" r:id="rId140" display="https://doi.org/10.1111/cen.14604" xr:uid="{6F62CD8C-3FBB-43D1-A573-FF4DDAF93B19}"/>
    <hyperlink ref="K539" r:id="rId141" display="https://doi.org/10.1016/j.pec.2021.01.036" xr:uid="{2630F272-394B-4267-BA6F-B426F10F7AF9}"/>
    <hyperlink ref="K540" r:id="rId142" display="https://doi.org/10.1111/1747-0080.12670" xr:uid="{F60B818A-72E0-4799-87C5-11F90B476256}"/>
    <hyperlink ref="K541" r:id="rId143" display="https://doi.org/10.1186/1472-6874-1-3" xr:uid="{2ECB697F-FA90-4738-98BC-B2BB0F399A39}"/>
    <hyperlink ref="K542" r:id="rId144" display="https://doi.org/10.1111/jan.13300" xr:uid="{396C4D8A-DB0C-47FA-8148-6484F268C227}"/>
    <hyperlink ref="K543" r:id="rId145" display="https://doi.org/10.1016/S1083-3188%2802%2900205-X" xr:uid="{52124435-9ECB-413B-92F9-E39CEC8B37E6}"/>
    <hyperlink ref="K544" r:id="rId146" display="https://doi.org/10.1111/j.1552-6909.2011.01299.x" xr:uid="{19FE7C64-931A-4983-A06A-42033397271F}"/>
    <hyperlink ref="K552" r:id="rId147" display="https://doi.org/10.3390/jpm11100952" xr:uid="{B4E74F98-602F-49E2-B672-6A820175FC5E}"/>
    <hyperlink ref="K553" r:id="rId148" display="https://doi.org/10.1016/j.ando.2020.07.1110" xr:uid="{24C40B70-2CBA-4CA0-A382-D2F4C21781B9}"/>
    <hyperlink ref="K554" r:id="rId149" display="https://doi.org/10.1186/1472-6874-7-9" xr:uid="{4B8C71CD-605E-479B-9FBC-223B1443E252}"/>
    <hyperlink ref="K555" r:id="rId150" display="https://doi.org/10.29252/IJRM.15.9.553" xr:uid="{B37BFE1C-A0D0-47D1-A282-77E8BDA85422}"/>
    <hyperlink ref="K556" r:id="rId151" display="https://doi.org/10.1016/j.pec.2021.05.038" xr:uid="{2174E57B-CAAB-4B10-83DD-CEF284219F97}"/>
    <hyperlink ref="K557" r:id="rId152" display="https://doi.org/10.1177/0898010111429092" xr:uid="{D44A8EA2-54DE-4525-9E8F-749E8F6E4882}"/>
    <hyperlink ref="K558" r:id="rId153" display="https://doi.org/10.1055/s-0038-1668086" xr:uid="{D759FBAD-05E5-495E-9BF5-C0C486497032}"/>
    <hyperlink ref="K559" r:id="rId154" display="https://doi.org/10.1530/EC-17-0053" xr:uid="{B53A8149-E544-44EA-ADDE-5B9EA5F68CE9}"/>
    <hyperlink ref="K560" r:id="rId155" display="https://doi.org/10.1186/s12913-022-08334-2" xr:uid="{FD5F1392-2AC8-45D0-8DFA-BCD151C2BBF9}"/>
    <hyperlink ref="K561" r:id="rId156" display="https://doi.org/10.3399/bjgp20X708881" xr:uid="{67077CB9-95EE-4268-98FE-06EC57F7F78B}"/>
    <hyperlink ref="K562" r:id="rId157" display="https://doi.org/10.1186/1472-6874-13-51" xr:uid="{63DB5FBA-E93F-4799-A263-A4FF73E54A2D}"/>
    <hyperlink ref="K563" r:id="rId158" display="https://doi.org/10.1186/s12905-022-01734-w" xr:uid="{8A908E11-5A8C-4389-8480-1313111CEA97}"/>
    <hyperlink ref="K564" r:id="rId159" display="https://doi.org/10.1093/inthealth%2Fihac028" xr:uid="{E1D6EFFD-94CD-4920-B8F1-B8F9F67CACE8}"/>
    <hyperlink ref="K565" r:id="rId160" display="https://doi.org/10.1371/journal.pone.0255830" xr:uid="{A38043D4-A01E-44AB-A685-E017CDC20C19}"/>
    <hyperlink ref="K566" r:id="rId161" display="https://doi.org/10.1016/S0277-9536%2801%2900034-X" xr:uid="{37919C08-3796-4D7E-9653-31D85A4046A9}"/>
    <hyperlink ref="K567" r:id="rId162" display="https://doi.org/10.1002/hpja.349" xr:uid="{2AC3F362-C81C-4F1D-AABC-47445BFFE62A}"/>
    <hyperlink ref="K568" r:id="rId163" display="https://doi.org/10.1055/s-0041-1735575" xr:uid="{50F7E768-3261-4A51-829F-F29024E2532F}"/>
    <hyperlink ref="K570" r:id="rId164" display="https://doi.org/10.1111/1747-0080.12670" xr:uid="{6614BEBA-8E48-4921-98EE-E55853437F36}"/>
    <hyperlink ref="K571" r:id="rId165" display="https://doi.org/10.1016/J.CEGH.2017.09.001" xr:uid="{6BBC7440-B06D-4359-82B3-7D020751FE4A}"/>
    <hyperlink ref="K572" r:id="rId166" display="https://doi.org/10.1177/1049732320971235" xr:uid="{5462C37D-A84D-46DC-92D9-1AD87EB3FE73}"/>
    <hyperlink ref="K573" r:id="rId167" display="https://doi.org/10.1111/J.1552-6909.2006.00047.X" xr:uid="{A9673213-784F-495D-9009-33D9924BE5E9}"/>
    <hyperlink ref="K574" r:id="rId168" display="https://doi.org/10.1055/s-0041-1727191" xr:uid="{E3C3CA3B-B3D4-497D-A241-A0D72614BF5C}"/>
    <hyperlink ref="K575" r:id="rId169" display="https://doi.org/10.1111/jan.13300" xr:uid="{11F6F52C-D06E-4F62-A16D-5DE2CCB44728}"/>
    <hyperlink ref="K576" r:id="rId170" display="https://doi.org/10.1111/j.1552-6909.2011.01299.x" xr:uid="{BFA0D4EC-4506-4D20-BF34-75136C2686EB}"/>
    <hyperlink ref="K577" r:id="rId171" display="https://doi.org/10.1177/2055102915603051" xr:uid="{7088CEF7-6309-469C-9415-2BA7CA12AED4}"/>
    <hyperlink ref="K578" r:id="rId172" display="https://doi.org/10.1177/1359105314547941" xr:uid="{48C8E0C8-B7A2-4C6E-9E52-259D11F0A469}"/>
    <hyperlink ref="K579" r:id="rId173" display="https://doi.org/10.1111/jan.14371" xr:uid="{88720D65-A87E-4229-8D3D-25D640400D92}"/>
    <hyperlink ref="K582" r:id="rId174" display="https://doi.org/10.1371/journal.pone.0138793" xr:uid="{F2C53180-9C06-4730-86A4-F247A80BB21F}"/>
    <hyperlink ref="K583" r:id="rId175" display="https://doi.org/10.1249/MSS.0b013e31818c6c0c" xr:uid="{65ED9079-0BE3-4D71-84C2-3684FE93D1DD}"/>
    <hyperlink ref="K586" r:id="rId176" display="https://doi.org/10.1016/S0015-0282%2816%2956632-1" xr:uid="{09E5F320-3F1F-4E0A-B325-0C9742C7EBA6}"/>
    <hyperlink ref="K587" r:id="rId177" display="https://doi.org/10.1016/J.FERTNSTERT.2004.02.104" xr:uid="{7AA77E79-EC76-4E09-926E-F8657C4D6CAD}"/>
    <hyperlink ref="K588" r:id="rId178" display="https://doi.org/10.1210/jc.2008-0461" xr:uid="{E65DFD1F-81B4-44A4-BD86-D91FBB9749D9}"/>
    <hyperlink ref="K589" r:id="rId179" display="https://doi.org/10.1152/ajpendo.00495.2010" xr:uid="{361D074D-0725-4F24-AB4A-B9475AC0D3A8}"/>
    <hyperlink ref="K590" r:id="rId180" display="https://doi.org/10.1111/aogs.12571" xr:uid="{E9B16FE0-DE7B-42A5-9CD9-354CF17A2E97}"/>
    <hyperlink ref="K591" r:id="rId181" display="https://doi.org/10.1016/j.fertnstert.2011.11.010" xr:uid="{41AE8E48-6FE0-43B2-8306-4DC4B7DAF5C2}"/>
    <hyperlink ref="K592" r:id="rId182" display="https://doi.org/10.1186/1472-6882-13-131" xr:uid="{D9791108-A0D2-4A6C-86B8-A180C1001AC6}"/>
    <hyperlink ref="K593" r:id="rId183" display="https://doi.org/10.1152/ajpregu.00197.2009" xr:uid="{43CB9262-9CB6-4A0F-A9C6-E9CD1AF23279}"/>
    <hyperlink ref="K595" r:id="rId184" display="https://doi.org/10.1016/j.jad.2019.11.025" xr:uid="{C72A6A92-2946-4939-8A83-00AAE18EA907}"/>
    <hyperlink ref="K602" r:id="rId185" display="https://doi.org/10.3109/10253890.2014.974030" xr:uid="{47BBFA95-75BA-4CBE-BA1E-94059E6ADBE4}"/>
    <hyperlink ref="K603" r:id="rId186" display="https://doi.org/10.1589/jpts.27.2293" xr:uid="{EC03AD40-51AE-4DF4-B737-A6734CACD065}"/>
    <hyperlink ref="K604" r:id="rId187" display="https://doi.org/10.1210/JC.2006-2794" xr:uid="{8700EAED-7C9E-4642-A789-117C6AE0F226}"/>
    <hyperlink ref="K606" r:id="rId188" display="https://doi.org/10.1055/s-0034-1376990" xr:uid="{9DDB43A5-0EC7-4068-AF7E-00FF9B890579}"/>
    <hyperlink ref="K607" r:id="rId189" display="https://doi.org/10.1016/j.nut.2014.03.008" xr:uid="{F3671211-DF65-4E29-BA29-2767181AC4FD}"/>
    <hyperlink ref="K620" r:id="rId190" display="https://doi.org/10.5301/NTM.2014.12407" xr:uid="{986AB16C-C3A7-44EA-ABB0-7C9D3239A63E}"/>
    <hyperlink ref="K621" r:id="rId191" display="https://doi.org/10.1016/J.FERTNSTERT.2003.08.023" xr:uid="{2AF9798D-B2A7-48A9-92B4-D285F1C4BF55}"/>
    <hyperlink ref="K651" r:id="rId192" display="https://doi.org/10.18231/J.IJOGR.2021.011" xr:uid="{40C5B62E-C552-4D09-AF9D-E34D51CCB47B}"/>
    <hyperlink ref="K695" r:id="rId193" display="https://doi.org/10.5603/GP.2019.0103" xr:uid="{CB8CD753-5CBC-47CD-95FE-6AAF9FFD875F}"/>
    <hyperlink ref="K696" r:id="rId194" display="https://doi.org/10.1016/j.jpag.2011.11.009" xr:uid="{4FD198CD-EE8C-428F-8E2C-FF5810A85483}"/>
    <hyperlink ref="K698" r:id="rId195" display="https://doi.org/10.1016/j.ejogrb.2021.12.023" xr:uid="{52BA80FF-71F3-41CD-962D-1011F53E2561}"/>
    <hyperlink ref="K699" r:id="rId196" display="https://doi.org/10.3390/nu14010073" xr:uid="{75DFD248-A980-489D-BDEB-9EF7F625642D}"/>
    <hyperlink ref="K700" r:id="rId197" display="https://doi.org/10.3390/jcm10163469" xr:uid="{B240A6B6-348B-4106-A250-FD61EBE0CA72}"/>
    <hyperlink ref="K709" r:id="rId198" display="https://doi.org/10.1515/JPEM.2005.18.8.761" xr:uid="{6B6A9BE6-A382-4C45-9076-447F98DABD19}"/>
    <hyperlink ref="K714" r:id="rId199" display="https://doi.org/10.1016/j.fertnstert.2012.06.035" xr:uid="{B4FA2B6B-6C2C-4ABD-891A-D5A9823F7652}"/>
    <hyperlink ref="K715" r:id="rId200" display="https://doi.org/10.1016/j.ijgo.2015.06.065" xr:uid="{7E9025AA-6D14-40DC-9A14-BC2175900E2D}"/>
    <hyperlink ref="K716" r:id="rId201" display="https://doi.org/10.2169/INTERNALMEDICINE.48.2177" xr:uid="{5AB9089E-CE45-4E5D-97CD-0C12276A43E6}"/>
    <hyperlink ref="K717" r:id="rId202" display="https://doi.org/10.1016/j.tjog.2018.04.015" xr:uid="{A3D093AD-71B9-4A21-B7DF-CCBEEFC90FE9}"/>
    <hyperlink ref="K718" r:id="rId203" display="https://doi.org/10.1016/J.CONTRACEPTION.2005.09.011" xr:uid="{88A635B4-2E0C-46EB-803E-8EF72182B1B0}"/>
    <hyperlink ref="K719" r:id="rId204" display="https://doi.org/10.1097/TEN.0B013E3181A58772" xr:uid="{273F6DFC-F26E-475B-9047-DBF0663A1CC4}"/>
    <hyperlink ref="K720" r:id="rId205" display="https://doi.org/10.14310/horm.2002.1553" xr:uid="{2C6AB7E2-5DF1-4C48-A942-D0EA497A8E11}"/>
    <hyperlink ref="K721" r:id="rId206" display="https://doi.org/10.1093/HUMREP%2FDEH588" xr:uid="{9616EBA6-32AD-4BE4-8B16-E400037C13F1}"/>
    <hyperlink ref="K722" r:id="rId207" display="https://doi.org/10.1016/j.jpag.2013.09.011" xr:uid="{F9077FEF-A6EA-4AC1-9B9E-03E9DD331278}"/>
    <hyperlink ref="K723" r:id="rId208" display="https://doi.org/10.1055/s-0033-1363261" xr:uid="{3BD05527-0E43-45FF-ACD3-2978BB3DC460}"/>
    <hyperlink ref="K724" r:id="rId209" display="https://doi.org/10.1016/j.contraception.2010.04.002" xr:uid="{E2F6496D-5DC9-4100-B1A6-926285801082}"/>
    <hyperlink ref="K726" r:id="rId210" display="https://doi.org/10.1016/J.MEFS.2014.10.003" xr:uid="{0C454A36-3429-4A3F-A270-8CF5E4ADAB5F}"/>
    <hyperlink ref="K727" r:id="rId211" display="https://doi.org/10.1093/HUMREP%2F17.7.1729" xr:uid="{710A8AD3-E50F-4475-A13F-F6EE5BED93D9}"/>
    <hyperlink ref="K728" r:id="rId212" display="https://doi.org/10.1016/j.fertnstert.2011.05.091" xr:uid="{2E839F01-147D-4778-B50F-A0EB1DA1F13C}"/>
    <hyperlink ref="K729" r:id="rId213" display="https://doi.org/10.3109/09513590.2015.1101441" xr:uid="{2B1030FA-C2BA-47AA-9B60-9AE2746720EE}"/>
    <hyperlink ref="K731" r:id="rId214" display="https://doi.org/10.1210/jc.2014-1135" xr:uid="{918C2B3E-F8ED-44A5-A60F-32D8F2FAE111}"/>
    <hyperlink ref="K732" r:id="rId215" display="https://doi.org/10.1007/s40618-014-0103-8" xr:uid="{330DFD28-EE80-4314-A6C7-2F5B9E92FD77}"/>
    <hyperlink ref="K733" r:id="rId216" display="https://doi.org/10.1080/09513590.2018.1460343" xr:uid="{9A44B618-386C-4B77-AD10-B733E033F16F}"/>
    <hyperlink ref="K734" r:id="rId217" display="https://doi.org/10.1530/EC-17-0034" xr:uid="{C6CE02EE-80A6-47D7-AD68-392B33B5C450}"/>
    <hyperlink ref="K735" r:id="rId218" display="https://doi.org/10.1080/09513590.2022.2078805" xr:uid="{BC94CE93-C5D4-413C-B771-D3B03461E6F3}"/>
    <hyperlink ref="K737" r:id="rId219" display="https://doi.org/10.1210/JC.2003-030424" xr:uid="{8FB1379F-2D3C-4254-A602-427A0A2B4E3A}"/>
    <hyperlink ref="K738" r:id="rId220" display="https://doi.org/10.1210/jc.2008-0461" xr:uid="{BB4B8326-243C-4121-818D-59E1E8DC6435}"/>
    <hyperlink ref="K739" r:id="rId221" display="https://doi.org/10.1210/JC.2003-031281" xr:uid="{D6ABB5A0-CC3C-42A7-9E55-AACF0850E2F6}"/>
    <hyperlink ref="K740" r:id="rId222" display="https://doi.org/10.1210/JC.2003-031281" xr:uid="{B231C2C1-E78E-413B-831A-58410E7DB6A7}"/>
    <hyperlink ref="K741" r:id="rId223" display="https://doi.org/10.1210/jendso%2Fbvaa032" xr:uid="{C8784490-9198-4FB5-80A1-7FEAF90F0856}"/>
    <hyperlink ref="K742" r:id="rId224" display="https://doi.org/10.1038/s41598-021-86317-9" xr:uid="{197CBB4F-9193-4252-8688-5AA0638CA5E7}"/>
    <hyperlink ref="K743" r:id="rId225" display="https://doi.org/10.1111/ijpo.12500" xr:uid="{A93DBD4C-AE84-48AF-B06B-48DBD910A42B}"/>
    <hyperlink ref="K744" r:id="rId226" display="https://doi.org/10.1016/j.jadohealth.2017.04.010" xr:uid="{DB8D8F9C-61C7-40F1-9AD5-FD2221ABB6AE}"/>
    <hyperlink ref="K745" r:id="rId227" display="https://doi.org/10.1155/2018%2F4192940" xr:uid="{5B6371B5-54E5-40C5-BDBB-C7AEB7B5BFA0}"/>
    <hyperlink ref="K746" r:id="rId228" display="https://doi.org/10.1007/s00404-014-3217-5" xr:uid="{DF80B2D1-334F-41B9-8943-DA05E9C974E5}"/>
    <hyperlink ref="K747" r:id="rId229" display="https://doi.org/10.1111/j.1365-2265.2012.04436.x" xr:uid="{0AF6A252-DA31-4EF6-B978-19BBAB4130BD}"/>
    <hyperlink ref="K751" r:id="rId230" display="https://doi.org/10.3109/09513590.2010.530706" xr:uid="{263021DB-58F8-4094-804F-35B9BE3448D0}"/>
    <hyperlink ref="K752" r:id="rId231" display="https://doi.org/10.1016/j.contraception.2010.02.009" xr:uid="{D73AC873-4833-4B52-A8F2-B53867CC1ECB}"/>
    <hyperlink ref="K753" r:id="rId232" display="https://doi.org/10.4103/jfmpc.jfmpc_83_17" xr:uid="{5F0962AD-B570-4DF5-9943-65EDD6B7F344}"/>
    <hyperlink ref="K754" r:id="rId233" display="https://doi.org/10.1111/jog.12543" xr:uid="{B4538561-0B45-4ED2-9997-406259228961}"/>
    <hyperlink ref="K756" r:id="rId234" display="https://doi.org/10.1111/cen.13310" xr:uid="{467C48DE-8400-4409-9A8B-A9DEDB583054}"/>
    <hyperlink ref="K757" r:id="rId235" display="https://doi.org/10.1210/clinem%2Fdgaa682" xr:uid="{E1555DE1-3B21-42ED-A66D-B1CEA9C63C5F}"/>
    <hyperlink ref="K758" r:id="rId236" display="https://doi.org/10.1016/j.fertnstert.2020.08.1396" xr:uid="{B7393823-44FC-43BB-ABE5-9ADFC2C3C70B}"/>
    <hyperlink ref="K759" r:id="rId237" display="https://doi.org/10.1016/j.fertnstert.2008.03.082" xr:uid="{BD32C684-C7FE-4855-B16B-6018A0475597}"/>
    <hyperlink ref="K763" r:id="rId238" display="https://doi.org/10.4103/1735-1995.177354" xr:uid="{13A88820-41CB-4A5C-BB3E-B661E39C8720}"/>
    <hyperlink ref="K764" r:id="rId239" display="https://doi.org/10.2337/DC06-0618" xr:uid="{4172D5E7-9387-4EDE-9967-21F32686D579}"/>
    <hyperlink ref="K765" r:id="rId240" display="https://doi.org/10.1160/TH17-04-0248" xr:uid="{83B4A973-A808-4169-84A8-600379093CA3}"/>
    <hyperlink ref="K766" r:id="rId241" display="https://doi.org/10.2337/dc07-2265" xr:uid="{713373A6-C279-4A09-A437-4D5BEBA735D0}"/>
    <hyperlink ref="K767" r:id="rId242" display="https://doi.org/10.1007/BF03345790" xr:uid="{9DDC52D3-31EB-4BCC-B65C-AED050EECB83}"/>
    <hyperlink ref="K768" r:id="rId243" display="https://doi.org/10.1016/j.dsx.2015.10.001" xr:uid="{19AE66E2-EEBC-479B-80D4-E0A1FCE9C6BC}"/>
    <hyperlink ref="K769" r:id="rId244" display="https://doi.org/10.1210/jc.2017-01186" xr:uid="{EA4D5D15-D70C-4395-9448-DF405716B31C}"/>
    <hyperlink ref="K770" r:id="rId245" display="https://doi.org/10.1080/13625187.2020.1736546" xr:uid="{699618B7-3B8E-4E6F-8112-F549A1E65ED4}"/>
    <hyperlink ref="K771" r:id="rId246" display="https://doi.org/10.1210/JC.2002-020997" xr:uid="{F3986E7A-902A-41FF-BDCC-9B8EED25A685}"/>
    <hyperlink ref="K772" r:id="rId247" display="https://doi.org/10.1210/JCEM.85.9.6792" xr:uid="{1329F325-839C-4A24-9BCC-B8DF9432B823}"/>
    <hyperlink ref="K773" r:id="rId248" display="https://doi.org/10.1210/JC.2002-021688" xr:uid="{325313EF-E54E-495E-BCE5-28291E408FD6}"/>
    <hyperlink ref="K774" r:id="rId249" display="https://doi.org/10.1530/EJE.1.01840" xr:uid="{ACE96F79-447D-43F4-AB53-16ADB171860B}"/>
    <hyperlink ref="K775" r:id="rId250" display="https://doi.org/10.1177/1933719113488444" xr:uid="{313D4585-BAF7-4C43-BFA4-877EFE23054D}"/>
    <hyperlink ref="K776" r:id="rId251" display="https://doi.org/10.1016/j.ijgo.2008.05.017" xr:uid="{C7237C41-A3DB-43BA-BCBD-392EDA923D38}"/>
    <hyperlink ref="K777" r:id="rId252" display="https://doi.org/10.1016/j.atherosclerosis.2007.12.054" xr:uid="{E80B6278-B477-406F-9407-703C523CA7BB}"/>
    <hyperlink ref="K778" r:id="rId253" display="https://doi.org/10.3109/09513590.2010.507283" xr:uid="{318667AA-819D-42E0-8768-76984BBCDBD8}"/>
    <hyperlink ref="K779" r:id="rId254" display="https://doi.org/10.1007/s40618-019-01133-3" xr:uid="{B1A270EA-41F1-46D8-AADA-5C5361020DE6}"/>
    <hyperlink ref="K780" r:id="rId255" display="https://doi.org/10.1016/S0015-0282%2803%2902162-9" xr:uid="{9C5B4222-BDC1-476F-A476-7F6C589E28F2}"/>
    <hyperlink ref="K781" r:id="rId256" display="https://doi.org/10.1016/j.jogoh.2018.10.006" xr:uid="{9284F1EC-01DB-4060-B516-9AC23B7D050D}"/>
    <hyperlink ref="K783" r:id="rId257" display="https://doi.org/10.1007/s00404-018-4762-0" xr:uid="{4E37AE5E-B779-462B-9687-3716A2F0B9F0}"/>
    <hyperlink ref="K784" r:id="rId258" display="https://doi.org/10.1046/j.1365-2265.2000.00982.x" xr:uid="{BAD09E1D-FBFE-470D-B708-294F6EE11595}"/>
    <hyperlink ref="K785" r:id="rId259" display="https://doi.org/10.1016/J.MEFS.2010.06.007" xr:uid="{1FC547D0-4F3D-4A26-98E8-00B6AC9B6168}"/>
    <hyperlink ref="K786" r:id="rId260" display="https://doi.org/10.1016/s0015-0282%2899%2900633-0" xr:uid="{9BFCC0DF-366C-4372-ACAF-6F2B6A3FB91A}"/>
    <hyperlink ref="K787" r:id="rId261" display="https://doi.org/10.1016/j.contraception.2011.12.011" xr:uid="{B6905402-4FBC-4F50-8C61-B484D814F5E9}"/>
    <hyperlink ref="K788" r:id="rId262" display="https://doi.org/10.4103/0366-6999.179783" xr:uid="{14448212-2C72-4C3B-8CF9-B806B8AE68CC}"/>
    <hyperlink ref="K789" r:id="rId263" display="https://doi.org/10.1530/EJE-11-0616" xr:uid="{63BEDE1F-6AEA-4B57-BE52-A26CCA6E9141}"/>
    <hyperlink ref="K790" r:id="rId264" display="https://doi.org/10.1080/09513590802217027" xr:uid="{0A8C54C8-2E37-4B00-BCDC-6E41F78FCCA0}"/>
    <hyperlink ref="K791" r:id="rId265" display="https://doi.org/10.3109/09513590.2015.1006187" xr:uid="{42C5CE41-3681-41F3-B551-A4DBBDBBF6F0}"/>
    <hyperlink ref="K792" r:id="rId266" display="https://doi.org/10.1210/jc.2016-1896" xr:uid="{6F2E4838-DBAA-4B2A-992D-811F4E8A70E0}"/>
    <hyperlink ref="K794" r:id="rId267" display="https://doi.org/10.1055/s-0042-119041" xr:uid="{4C733977-7D9C-4E86-8688-8AA43D4FBB59}"/>
    <hyperlink ref="K795" r:id="rId268" display="https://doi.org/10.1016/j.mayocp.2019.06.015" xr:uid="{AE68D4AF-A171-488E-8EDC-36646158E9B6}"/>
    <hyperlink ref="K796" r:id="rId269" display="https://doi.org/10.1001/ARCHPEDI.160.3.241" xr:uid="{992EA24C-0C3C-4FD5-A23A-C742FDED1813}"/>
    <hyperlink ref="K797" r:id="rId270" display="https://doi.org/10.1055/S-2003-39056" xr:uid="{17498FB3-7837-4664-855B-6AF058D1F299}"/>
    <hyperlink ref="K799" r:id="rId271" display="https://doi.org/10.1210/JC.2005-1994" xr:uid="{F0D7F170-28FB-4BA2-B32F-4147AE52EB62}"/>
    <hyperlink ref="K800" r:id="rId272" display="https://doi.org/10.1210/JCEM.87.2.8261" xr:uid="{C45535B3-5F1E-425D-B482-C4125D0972C8}"/>
    <hyperlink ref="K801" r:id="rId273" display="https://doi.org/10.1210/jc.2011-3061" xr:uid="{7D36D18F-1272-4A6A-AF94-01D1642A976E}"/>
    <hyperlink ref="K802" r:id="rId274" display="https://doi.org/10.1210/jc.2008-0461" xr:uid="{14C99E50-DB16-4DF9-83B7-7BCF73EEA236}"/>
    <hyperlink ref="K804" r:id="rId275" display="https://doi.org/10.1530/eje.0.1470217" xr:uid="{2FA10A17-28EC-4191-978C-3A7CDB5F54AF}"/>
    <hyperlink ref="K805" r:id="rId276" display="https://doi.org/10.1111/j.1471-0528.2006.00966.x" xr:uid="{9F75A149-0387-4AE2-8FC5-3A598112C705}"/>
    <hyperlink ref="K806" r:id="rId277" display="https://doi.org/10.1016/J.FERTNSTERT.2003.08.012" xr:uid="{35483E9A-A26C-429A-AB27-D1E65DD84BA9}"/>
    <hyperlink ref="K807" r:id="rId278" display="https://doi.org/10.1016/J.EJOGRB.2005.05.010" xr:uid="{C7B85378-44A1-47E5-AAFE-6E5B8953BDD4}"/>
    <hyperlink ref="K808" r:id="rId279" display="https://doi.org/10.1097/00006254-200006000-00019" xr:uid="{2539E16F-3990-45C7-B2E1-BACA83D25201}"/>
    <hyperlink ref="K809" r:id="rId280" display="https://doi.org/10.1210/JC.2007-0441" xr:uid="{387C1E3C-2594-466B-B7F2-174BCA94E94E}"/>
    <hyperlink ref="K810" r:id="rId281" display="https://doi.org/10.1093/HUMREP%2F16.8.1625" xr:uid="{45CF956D-EC60-415A-9FEA-F43FE8AA4907}"/>
    <hyperlink ref="K811" r:id="rId282" display="https://doi.org/10.1016/j.fertnstert.2009.01.114" xr:uid="{1950075A-4F2E-4EA1-8C60-66628DD0EA00}"/>
    <hyperlink ref="K812" r:id="rId283" display="https://doi.org/10.1097/01.OGX.0000300471.31456.EA" xr:uid="{7CC055BF-A769-494B-995D-17CEAD9C087F}"/>
    <hyperlink ref="K813" r:id="rId284" display="https://doi.org/10.1016/j.fertnstert.2010.01.057" xr:uid="{3517EC11-F28F-44D0-B9F7-C26F3F4F418C}"/>
    <hyperlink ref="K814" r:id="rId285" display="https://doi.org/10.1016/j.ijgo.2008.11.039" xr:uid="{D4DE85DD-DC82-46FE-A6D2-61542FF0F9B1}"/>
    <hyperlink ref="K815" r:id="rId286" display="https://doi.org/10.1177/1933719113488444" xr:uid="{1175FCA0-68CC-4BD4-A8E0-A518B9CE1813}"/>
    <hyperlink ref="K816" r:id="rId287" display="https://doi.org/10.1111/j.1447-0756.2012.02051.x" xr:uid="{A94D1463-2B5A-40DC-8A75-157B2D2E75B5}"/>
    <hyperlink ref="K817" r:id="rId288" display="https://doi.org/10.3109/09513590903215581" xr:uid="{EDE73F7A-F471-4715-A5CF-881A59EF7324}"/>
    <hyperlink ref="K818" r:id="rId289" display="https://doi.org/10.1210/JC.2004-2283" xr:uid="{2D8950F7-0152-42D2-A6C7-0CD6676517CF}"/>
    <hyperlink ref="K819" r:id="rId290" display="https://doi.org/10.1080/09513590.2018.1460343" xr:uid="{AAF31960-44F0-4ABA-9896-A55668E67E31}"/>
    <hyperlink ref="K820" r:id="rId291" display="https://doi.org/10.1016/j.tjog.2018.04.015" xr:uid="{86DAE07C-A2D3-4D6E-B1EA-F5AFDCE1E644}"/>
    <hyperlink ref="K822" r:id="rId292" display="https://doi.org/10.1530/ec-17-0034" xr:uid="{C63CFA0B-D77D-4050-A3F9-E325BFA20FB4}"/>
    <hyperlink ref="K823" r:id="rId293" display="https://doi.org/10.1016/j.jogoh.2018.10.006" xr:uid="{6B8624DB-47E3-4625-AF4D-77597B50EFD8}"/>
    <hyperlink ref="K824" r:id="rId294" display="https://doi.org/10.1210/jc.2014-1135" xr:uid="{74826586-9575-4B4C-83BD-E1A9D8BD9E22}"/>
    <hyperlink ref="K825" r:id="rId295" display="https://doi.org/10.1007/s40618-014-0103-8" xr:uid="{CD9AAB5E-0845-4991-8FAB-5B96D0BB1B25}"/>
    <hyperlink ref="K826" r:id="rId296" display="https://doi.org/10.3109/09513590.2015.1006188" xr:uid="{8077A835-B050-46C1-83E1-90C2B03754C0}"/>
    <hyperlink ref="K827" r:id="rId297" display="https://doi.org/10.1111/j.1365-2265.2012.04436.x" xr:uid="{6603AA92-1B8D-4BE7-8D4B-795177C7382E}"/>
    <hyperlink ref="K828" r:id="rId298" display="https://doi.org/10.1210/JC.2002-021688" xr:uid="{AC69E0C5-F558-42E5-91F2-05B20CC15BE2}"/>
    <hyperlink ref="K829" r:id="rId299" display="https://doi.org/10.1016/j.fertnstert.2011.05.091" xr:uid="{9881954B-DFBA-4BF8-A104-C03632965BC4}"/>
    <hyperlink ref="K830" r:id="rId300" display="https://doi.org/10.3109/09513590.2015.1101441" xr:uid="{7EA7726F-DF7F-436D-B014-06710E361079}"/>
    <hyperlink ref="K831" r:id="rId301" display="https://doi.org/10.1530/EJE.1.01840" xr:uid="{53AB4793-AF95-486D-A11D-E8B395E01D8C}"/>
    <hyperlink ref="K833" r:id="rId302" display="https://doi.org/10.14310/horm.2002.1553" xr:uid="{1CA9F3BC-1561-4253-B82E-1A59CEB430EC}"/>
    <hyperlink ref="K835" r:id="rId303" display="https://doi.org/10.1016/J.MEFS.2014.10.003" xr:uid="{1585C388-65A3-4933-B678-5479363E1C7F}"/>
    <hyperlink ref="K836" r:id="rId304" display="https://doi.org/10.1093/HUMREP%2F17.7.1729" xr:uid="{9908B7C9-D948-4A76-B0FA-788668DF3BF1}"/>
    <hyperlink ref="K837" r:id="rId305" display="https://doi.org/10.1210/JC.2003-030424" xr:uid="{D85EDE41-5884-4B95-B4DC-DFD9A6B186C4}"/>
    <hyperlink ref="K838" r:id="rId306" display="https://doi.org/10.2169/INTERNALMEDICINE.48.2177" xr:uid="{609ED2D1-B5D4-4EB5-B773-B569F6BB3B25}"/>
    <hyperlink ref="K839" r:id="rId307" display="https://doi.org/10.3109/09513590.2010.530706" xr:uid="{F730B83B-FE4A-4317-866A-FA8425B72311}"/>
    <hyperlink ref="K840" r:id="rId308" display="https://doi.org/10.4103/jfmpc.jfmpc_83_17" xr:uid="{C8596C69-440C-4597-9026-7F920445B756}"/>
    <hyperlink ref="K843" r:id="rId309" display="https://doi.org/10.1016/j.dsx.2015.10.001" xr:uid="{2E6CA1B5-EBB4-4F5F-939C-1E7AFC743758}"/>
    <hyperlink ref="K844" r:id="rId310" display="https://doi.org/10.1007/BF03345790" xr:uid="{56B1484E-F4F7-42EE-BCE2-40B09622099B}"/>
    <hyperlink ref="K841" r:id="rId311" display="https://doi.org/10.1007/BF02873575" xr:uid="{4B14D1ED-1523-4376-A7BB-2D4660EBF15B}"/>
    <hyperlink ref="K842" r:id="rId312" display="https://doi.org/10.2337/DC06-0618" xr:uid="{FECC3A68-B563-49F2-9702-95B10BC1416F}"/>
    <hyperlink ref="K845" r:id="rId313" display="https://doi.org/10.1210/JC.2002-020997" xr:uid="{00D7F037-D31F-4F20-B266-EAA7412C55A3}"/>
    <hyperlink ref="K846" r:id="rId314" display="https://doi.org/10.1016/j.atherosclerosis.2007.12.054" xr:uid="{0495BF02-C0C0-4E47-BCFE-8BBB51FC173A}"/>
    <hyperlink ref="K847" r:id="rId315" display="https://doi.org/10.1080/09513590802217027" xr:uid="{C5550387-7F78-4461-9335-544A940552EB}"/>
    <hyperlink ref="K848" r:id="rId316" display="https://doi.org/10.1210/JCEM.85.9.6792" xr:uid="{233FF894-E523-4F76-A620-1BBAF87FD882}"/>
    <hyperlink ref="K849" r:id="rId317" display="https://doi.org/10.3109/09513590.2010.507283" xr:uid="{AC36349A-637D-4BC2-A43E-68071B77627A}"/>
    <hyperlink ref="K850" r:id="rId318" display="https://doi.org/10.2337/dc07-2265" xr:uid="{DF3D674A-5D41-4049-86B5-29D80B758731}"/>
    <hyperlink ref="K851" r:id="rId319" display="https://doi.org/10.2478/s11536-009-0074-x" xr:uid="{3383E351-ADD0-40ED-AE25-DBEF6F09398E}"/>
    <hyperlink ref="K852" r:id="rId320" display="https://doi.org/10.1016/j.fertnstert.2008.03.082" xr:uid="{645C5B8C-4F05-49C4-B9FA-5672C14AE015}"/>
    <hyperlink ref="K853" r:id="rId321" display="https://doi.org/10.4103/1735-1995.177354" xr:uid="{B6D99931-4F8B-4EEE-8574-74EEF556DBA1}"/>
    <hyperlink ref="K855" r:id="rId322" display="https://doi.org/10.1530/EJE-11-0616" xr:uid="{6254B9EC-B1AF-49E7-92BA-95FE3249BC7B}"/>
    <hyperlink ref="K856" r:id="rId323" display="https://doi.org/10.1055/s-0033-1363261" xr:uid="{4C93D5F7-7048-4380-8F14-81693437B1B4}"/>
    <hyperlink ref="K858" r:id="rId324" display="https://doi.org/10.1515/JPEM.2005.18.8.761" xr:uid="{20594E1E-54DD-4084-9772-07227C4B072D}"/>
    <hyperlink ref="K860" r:id="rId325" display="https://doi.org/10.1016/J.EJOGRB.2018.12.021" xr:uid="{1CA4E6D3-9048-43D0-94E9-A621585CB588}"/>
    <hyperlink ref="K861" r:id="rId326" display="https://doi.org/10.1097/01.OGX.0000197800.07214.DC" xr:uid="{7D22D728-2E2C-48A6-AD40-6DF8E96FDA79}"/>
    <hyperlink ref="K862" r:id="rId327" display="https://doi.org/10.1016/j.fertnstert.2010.12.002" xr:uid="{B8309CD9-E9AD-4266-9E51-70E5CE11860F}"/>
    <hyperlink ref="K863" r:id="rId328" display="https://doi.org/10.1210/JCEM.85.8.6738" xr:uid="{DD13B456-8F0B-4945-AA31-02C7C2DC975D}"/>
    <hyperlink ref="K864" r:id="rId329" display="https://doi.org/10.1530/EJE-17-0516" xr:uid="{C09B1278-DD52-45A9-AF6F-BA529175BA60}"/>
    <hyperlink ref="K865" r:id="rId330" display="https://doi.org/10.1210/JC.2003-031281" xr:uid="{D82C0E97-83A5-47C8-9C59-01EFA8558F17}"/>
    <hyperlink ref="K866" r:id="rId331" display="https://doi.org/10.1210/JC.2004-1405" xr:uid="{5B4D0C11-5037-4D56-898D-073DCA83F85F}"/>
    <hyperlink ref="K867" r:id="rId332" display="https://doi.org/10.1160/TH17-04-0248" xr:uid="{356F09CE-23DC-4D5E-8DAF-95E5AD4455FE}"/>
    <hyperlink ref="K868" r:id="rId333" display="https://doi.org/10.1007/s00404-009-1051-y" xr:uid="{AD4B6ECB-C9A9-46D5-9660-0455296B7D85}"/>
    <hyperlink ref="K869" r:id="rId334" display="https://doi.org/10.1038/s41598-021-86317-9" xr:uid="{8B6C1253-C1C2-4555-9A2C-09A5F5BA2363}"/>
    <hyperlink ref="K870" r:id="rId335" display="https://doi.org/10.1210/jendso%2Fbvaa032" xr:uid="{6BBD6841-4D8F-471F-B5D5-18D20DF343DF}"/>
    <hyperlink ref="K871" r:id="rId336" display="https://doi.org/10.1155/2018%2F4192940" xr:uid="{04AEB257-3042-44E6-9884-327D96DCEBBD}"/>
    <hyperlink ref="K872" r:id="rId337" display="https://doi.org/10.1016/j.jadohealth.2017.04.010" xr:uid="{B88FE3C3-2175-4DD1-ACEC-5BEBA9390A09}"/>
    <hyperlink ref="K873" r:id="rId338" display="https://doi.org/10.1111/ijpo.12500" xr:uid="{4BE94A86-041D-4A09-A174-D616E860B542}"/>
    <hyperlink ref="K874" r:id="rId339" display="https://doi.org/10.36849/JDD.2021.5652" xr:uid="{87EF9FBB-72AD-407F-AE5D-E135ED6D2FE3}"/>
    <hyperlink ref="K875" r:id="rId340" display="https://doi.org/10.1007/s00404-018-4762-0" xr:uid="{058026FC-953A-4158-80EB-0DC522D0D8AA}"/>
    <hyperlink ref="K876" r:id="rId341" display="https://doi.org/10.1080/09513590.2017.1407752" xr:uid="{DF5E08AE-CCD8-4864-9B49-B5F1FBE8B829}"/>
    <hyperlink ref="K877" r:id="rId342" display="https://doi.org/10.1155/2022%2F9927240" xr:uid="{280D2E1C-0E08-412E-98CB-BF5908E1CFA7}"/>
    <hyperlink ref="K878" r:id="rId343" display="https://doi.org/10.1111/j.1365-2265.2004.01973.x" xr:uid="{18366FA1-44B0-4894-8A3E-675238FC1FD1}"/>
    <hyperlink ref="L879" r:id="rId344" tooltip="https://pubmed.ncbi.nlm.nih.gov/25473629" display="https://pubmed.ncbi.nlm.nih.gov/25473629" xr:uid="{3F02A349-E690-45AA-A3CF-76A68E5C0992}"/>
    <hyperlink ref="K880" r:id="rId345" display="https://doi.org/10.1210/JC.2005-2250" xr:uid="{388FEE7F-C00B-4A7C-BD87-5A38208E57D4}"/>
    <hyperlink ref="K881" r:id="rId346" display="https://doi.org/10.1210/JC.2003-031780" xr:uid="{83B634AD-170F-41E7-885B-9C144300D28E}"/>
    <hyperlink ref="K882" r:id="rId347" display="https://doi.org/10.1210/jc.2013-1040" xr:uid="{39EE17B2-AB9C-4248-ACF4-32B4143AFF92}"/>
    <hyperlink ref="K883" r:id="rId348" display="https://doi.org/10.1016/j.numecd.2013.04.016" xr:uid="{272CC931-F803-4E6A-9D50-7490D6C9C3E9}"/>
    <hyperlink ref="K884" r:id="rId349" display="https://doi.org/10.4183/AEB.2017.84" xr:uid="{435E79B7-BD76-4947-B95C-32B760051CD6}"/>
    <hyperlink ref="K885" r:id="rId350" display="https://doi.org/10.1080/09513590.2020.1810657" xr:uid="{969139F3-C7E4-4D3C-8B56-E075C08CB446}"/>
    <hyperlink ref="K886" r:id="rId351" display="https://doi.org/10.1186/s12902-017-0155-9" xr:uid="{7D0F6041-B27F-4985-BD2C-015E16F6B2C9}"/>
    <hyperlink ref="K887" r:id="rId352" display="https://doi.org/10.1111/dom.14583" xr:uid="{0E2B6F22-4AA3-4072-80CE-CC125F3C80E5}"/>
    <hyperlink ref="K888" r:id="rId353" display="https://doi.org/10.1016/j.fertnstert.2016.09.023" xr:uid="{C69F0B52-9E71-4E1D-A8D8-A62FDFB9D876}"/>
    <hyperlink ref="K889" r:id="rId354" display="https://doi.org/10.1111/cen.13968" xr:uid="{E5B0F685-2BE9-4670-9C5C-55E7C3BEA4A5}"/>
    <hyperlink ref="K890" r:id="rId355" display="https://doi.org/10.1016/j.fertnstert.2019.09.011" xr:uid="{337AD202-8832-4865-A663-4AC1C8AA4054}"/>
    <hyperlink ref="K891" r:id="rId356" display="https://doi.org/10.1097/TEN.0B013E3181A58772" xr:uid="{C82A3101-FB82-40CA-BADC-06BF27CB7166}"/>
    <hyperlink ref="K892" r:id="rId357" display="https://doi.org/10.1007/s13224-012-0183-3" xr:uid="{18461AC5-22F4-403F-8EDA-92D91D1CA744}"/>
    <hyperlink ref="K893" r:id="rId358" display="https://doi.org/10.3109/01443615.2012.745839" xr:uid="{E93CCD7D-7234-48DD-8A5E-9545BBFB53B6}"/>
    <hyperlink ref="K894" r:id="rId359" display="https://doi.org/10.1016/j.fertnstert.2010.06.058" xr:uid="{B26AF580-0C9F-4EC0-9202-1F55A04B28A1}"/>
    <hyperlink ref="K895" r:id="rId360" display="https://doi.org/10.1210/JC.2004-1965" xr:uid="{01FB71E6-C10B-4248-8DFE-79C3E869AA69}"/>
    <hyperlink ref="K896" r:id="rId361" display="https://doi.org/10.4103/2230-8210.192925" xr:uid="{690199AD-39C6-4919-BD25-411F49E50578}"/>
    <hyperlink ref="K897" r:id="rId362" display="https://doi.org/10.29252/IJRM.14.12.743" xr:uid="{431145B5-2F01-4E8C-A594-4FC2435C621A}"/>
    <hyperlink ref="K898" r:id="rId363" display="https://doi.org/10.1016/J.DSX.2007.12.003" xr:uid="{B2B4E191-F79D-41C2-A26A-4773DBDE665C}"/>
    <hyperlink ref="K899" r:id="rId364" display="https://doi.org/10.1111/j.1365-2265.2008.03309.x" xr:uid="{6AF37972-7AFF-4F8C-8A14-49AAE68DAD09}"/>
    <hyperlink ref="K900" r:id="rId365" display="https://doi.org/10.1530/EJE-07-0857" xr:uid="{A0F29C2D-A2DC-4A25-B835-A0034F5D3243}"/>
    <hyperlink ref="K901" r:id="rId366" display="https://doi.org/10.1530/EJE-08-0507" xr:uid="{4CD60640-E87B-4A34-8AC9-DA07A3177897}"/>
    <hyperlink ref="K902" r:id="rId367" display="https://doi.org/10.1093/HUMREP%2FDEH700" xr:uid="{6332EDF2-66A3-4293-9F15-35FDA24D2F4C}"/>
    <hyperlink ref="K903" r:id="rId368" display="https://doi.org/10.1177/193229680700100212" xr:uid="{187C41B9-8452-4641-B0E0-E4CAE18F15E2}"/>
    <hyperlink ref="L922" r:id="rId369" tooltip="https://pubmed.ncbi.nlm.nih.gov/25473629" display="https://pubmed.ncbi.nlm.nih.gov/25473629" xr:uid="{BE801EC3-AD6F-48C1-9EB5-75C12281A912}"/>
    <hyperlink ref="K948" r:id="rId370" display="https://doi.org/10.5455/2320-1770.IJRCOG20150234" xr:uid="{DAB6B5E9-AB15-493A-938C-488E7371A52D}"/>
    <hyperlink ref="L953" r:id="rId371" tooltip="https://pubmed.ncbi.nlm.nih.gov/19499845" display="https://pubmed.ncbi.nlm.nih.gov/19499845" xr:uid="{F22C2558-D682-414A-84A3-A8046B2AD51E}"/>
    <hyperlink ref="L972" r:id="rId372" tooltip="https://pubmed.ncbi.nlm.nih.gov/21608442" display="https://pubmed.ncbi.nlm.nih.gov/21608442" xr:uid="{A80F9987-A6F2-495A-86FB-337BC2FB4B45}"/>
    <hyperlink ref="K995" r:id="rId373" display="https://doi.org/10.1016/0028-2243(82)90097-1" xr:uid="{C6A14D63-027C-41CE-8689-D80D6C121EBA}"/>
    <hyperlink ref="K998" r:id="rId374" display="https://doi.org/10.1016/S0015-0282%2816%2955086-9" xr:uid="{62CDEE63-EEB4-4F3A-AAE4-74D200CDA131}"/>
    <hyperlink ref="K999" r:id="rId375" display="https://doi.org/10.1016/S0015-0282%2816%2956287-6" xr:uid="{A7AB906C-D477-4776-92A3-13EC5F5FABB7}"/>
    <hyperlink ref="K1002" r:id="rId376" display="https://doi.org/10.3109/10641959909009612" xr:uid="{151EB898-0F03-4EA7-837B-E8CEEEF549DE}"/>
    <hyperlink ref="K1004" r:id="rId377" display="https://doi.org/10.1111/j.1479-828X.2000.tb03167.x" xr:uid="{B6F640EB-7245-4762-83F0-E38508A88347}"/>
    <hyperlink ref="K1005" r:id="rId378" display="https://doi.org/10.1093/HUMREP%2F16.2.226" xr:uid="{B2BD67C8-FAD6-449B-B89D-D2A8374EAC6C}"/>
    <hyperlink ref="K1006" r:id="rId379" display="https://doi.org/10.1093/HUMREP%2F16.12.2606" xr:uid="{04A64B84-79B4-4B71-B069-1479285FE1E8}"/>
    <hyperlink ref="K1007" r:id="rId380" display="https://doi.org/10.1159/000067719" xr:uid="{4644A638-6C04-4284-A542-1EE9DE366867}"/>
    <hyperlink ref="K1008" r:id="rId381" display="https://doi.org/10.1093/HUMREP%2F17.10.2573" xr:uid="{CCE9C4BB-8490-4DFA-898F-897390EC5A56}"/>
    <hyperlink ref="K1009" r:id="rId382" display="https://doi.org/10.1093/HUMREP%2FDEG289" xr:uid="{2037BAE2-BF75-4B37-901D-AB3B3269C267}"/>
    <hyperlink ref="K1010" r:id="rId383" display="https://doi.org/10.1016/S0020-7292%2803%2900003-1" xr:uid="{D44CE032-8174-4890-8371-BB4F6A382317}"/>
    <hyperlink ref="K1013" r:id="rId384" display="https://doi.org/10.1080/09513590400007242" xr:uid="{A2FA4EAA-3743-4274-9540-A43CB1AE0901}"/>
    <hyperlink ref="L1040" r:id="rId385" display="https://pubmed.ncbi.nlm.nih.gov/24971127" xr:uid="{58328CCE-4ABC-480A-9849-123BFB49222A}"/>
    <hyperlink ref="K1042" r:id="rId386" display="https://doi.org/10.1016/S1701-2163%2815%2930483-7" xr:uid="{2F6A868E-CCF4-4466-9868-40D768DD32EA}"/>
    <hyperlink ref="K1109" r:id="rId387" display="https://doi.org/10.1016/J.MEFS.2012.12.005" xr:uid="{EF0CF0A3-BCF5-4A12-B533-67891AC46533}"/>
    <hyperlink ref="K1110" r:id="rId388" display="https://doi.org/10.5152/jtgga.2014.13047" xr:uid="{B6C12C0D-4355-4469-944D-6E0D9CD8961B}"/>
    <hyperlink ref="K1112" r:id="rId389" display="https://doi.org/10.1007/s00404-003-0537-2" xr:uid="{8D652689-2308-4B70-BF34-259B3333CC3D}"/>
    <hyperlink ref="K1114" r:id="rId390" display="https://doi.org/10.4103/0256-4947.71063" xr:uid="{46DE129C-2719-4256-B790-197584458E7A}"/>
    <hyperlink ref="K1115" r:id="rId391" display="https://doi.org/10.1016/j.ajog.2014.03.035" xr:uid="{4C22170F-8493-4229-A0EB-4E3B15AD867E}"/>
    <hyperlink ref="K1116" r:id="rId392" display="https://doi.org/10.16948/ZKTIPB.558143" xr:uid="{5E8028AA-4AD7-4157-8BF5-266A676441FA}"/>
    <hyperlink ref="K1117" r:id="rId393" display="https://doi.org/10.1093/humrep%2Fdep069" xr:uid="{C84E3A93-BC62-4399-A907-0E6B618B4833}"/>
    <hyperlink ref="K1118" r:id="rId394" display="https://doi.org/10.1080/09513590.2019.1594761" xr:uid="{4B8959D7-8C17-4995-8884-C4B538038833}"/>
    <hyperlink ref="K1119" r:id="rId395" display="https://doi.org/10.1007/s40618-016-0446-4" xr:uid="{80755BAB-1EFC-4686-A537-5D0765E92400}"/>
    <hyperlink ref="K1121" r:id="rId396" display="https://doi.org/10.1016/j.ejogrb.2020.07.049" xr:uid="{9113DE39-56AB-4986-830F-42C86FB6A9FB}"/>
    <hyperlink ref="K1122" r:id="rId397" display="https://doi.org/10.1186/s12958-018-0352-z" xr:uid="{AA79BBCB-A398-4FC1-BEC1-13CFE90E637D}"/>
    <hyperlink ref="K1123" r:id="rId398" display="https://doi.org/10.1093/HUMREP%2F16.6.1086" xr:uid="{76475451-F8D9-4F7C-82F2-56D0182B3240}"/>
    <hyperlink ref="K1124" r:id="rId399" display="https://doi.org/10.1530/REP-22-0023" xr:uid="{292126FA-1234-4F25-AB65-A7D2D0896945}"/>
    <hyperlink ref="K1125" r:id="rId400" display="https://doi.org/10.1007/s10815-008-9284-4" xr:uid="{88C2A541-DBA2-4F3D-A099-9A052D6DE596}"/>
    <hyperlink ref="K1127" r:id="rId401" display="https://doi.org/10.1177/03000605211018600" xr:uid="{B9B25953-35A9-4FDD-9B97-39453064DEB3}"/>
    <hyperlink ref="K1128" r:id="rId402" display="https://doi.org/10.1080/gye.17.3.215.221" xr:uid="{0B78DC6B-A171-44D4-8B1C-1065729E4BEF}"/>
    <hyperlink ref="K1129" r:id="rId403" display="https://doi.org/10.1127/ANTHRANZ%2F61%2F2003%2F297" xr:uid="{36808BF2-4290-4775-9F02-B9137A2BA6A7}"/>
    <hyperlink ref="K1130" r:id="rId404" display="https://doi.org/10.22074/ijfs.2019.5422" xr:uid="{3F058029-451F-4BD7-8837-CBBE37E21950}"/>
    <hyperlink ref="K1131" r:id="rId405" display="https://doi.org/10.1186/s13048-018-0445-5" xr:uid="{5A6079C4-CF85-4E1C-AFDB-6BD08906FC76}"/>
    <hyperlink ref="K1132" r:id="rId406" display="https://doi.org/10.1097/md.0000000000012017" xr:uid="{DC7B4FA3-9354-4975-9C56-A65A5F6F2B10}"/>
    <hyperlink ref="K1133" r:id="rId407" display="https://doi.org/10.1016/j.ijgo.2016.03.033" xr:uid="{A3BEF030-0694-4500-8126-87AB5D8ACA3C}"/>
    <hyperlink ref="K1134" r:id="rId408" display="https://doi.org/10.1007/s40618-015-0392-6" xr:uid="{9655FD9D-5621-41AC-BFCE-86B9D0A0BBF3}"/>
    <hyperlink ref="K1135" r:id="rId409" display="https://doi.org/10.1007/s11033-018-4360-z" xr:uid="{D96D5E0C-893C-4519-A765-7267A02835C1}"/>
    <hyperlink ref="K1136" r:id="rId410" display="https://doi.org/10.22074/IJFS.2021.135426.1006" xr:uid="{ED2329D9-0B03-4177-879D-4947C471049A}"/>
    <hyperlink ref="K1138" r:id="rId411" display="https://doi.org/10.1177/0300060519876467" xr:uid="{373605FE-44A8-47D0-A794-2E2A6FB9803E}"/>
    <hyperlink ref="K1139" r:id="rId412" display="https://doi.org/10.1111/j.1479-828X.2011.01295.x" xr:uid="{91B0BB37-D23E-4122-8959-B60EC2DD8AB5}"/>
    <hyperlink ref="K1141" r:id="rId413" display="https://doi.org/10.1016/j.fertnstert.2013.02.055" xr:uid="{2FC433D1-DA13-4B21-B336-B99703D57E3A}"/>
    <hyperlink ref="K1142" r:id="rId414" display="https://doi.org/10.1017/S0967199420000830" xr:uid="{1FBC6EFF-5BF6-452B-BACB-9405B282CB4B}"/>
    <hyperlink ref="K1144" r:id="rId415" display="https://doi.org/10.1016/S1472-6483%2810%2961870-6" xr:uid="{5BFFB90E-6BD5-47BA-9DEC-7641C7B7ACDD}"/>
    <hyperlink ref="K1145" r:id="rId416" display="https://doi.org/10.1007/s10815-018-1290-6" xr:uid="{77CD289C-EFC0-484B-ADCF-338CF527E7F8}"/>
    <hyperlink ref="K1146" r:id="rId417" display="https://doi.org/10.1007/s11684-017-0575-y" xr:uid="{74EE9BC9-2B88-4955-94FD-26E536E31677}"/>
    <hyperlink ref="K1148" r:id="rId418" display="https://doi.org/10.1089/biores.2017.0040" xr:uid="{2915C69E-543D-4D53-AB2A-E7F2D2B0A8FC}"/>
    <hyperlink ref="K1149" r:id="rId419" display="https://doi.org/10.1186/s12884-019-2611-1" xr:uid="{A78FDB3B-40A0-4A08-9A7D-3266850F5E64}"/>
    <hyperlink ref="K1150" r:id="rId420" display="https://doi.org/10.1002/uog.7751" xr:uid="{DF7604E8-9230-4CCB-B514-A6E5EBB7BBE9}"/>
    <hyperlink ref="K1151" r:id="rId421" display="https://doi.org/10.3109/09513590.2016.1138459" xr:uid="{2CDCFAFD-501A-44B7-BD7F-B9ECA293AB39}"/>
    <hyperlink ref="K1152" r:id="rId422" display="https://doi.org/10.1093/humrep%2Fdeaa190" xr:uid="{43B60E7F-7DDF-46ED-8FB1-0737ED53A120}"/>
    <hyperlink ref="K1154" r:id="rId423" display="https://doi.org/10.4103/jhrs.JHRS_149_18" xr:uid="{3A87D786-2CBA-47C8-8886-2EC647A127A7}"/>
    <hyperlink ref="K1155" r:id="rId424" display="https://doi.org/10.1210/jc.2013-2193" xr:uid="{AF75F67D-0F48-438D-B491-F1748FEF843D}"/>
    <hyperlink ref="K1156" r:id="rId425" display="https://doi.org/10.1016/j.fertnstert.2007.10.077" xr:uid="{4ED354A6-19DF-4B63-AE4A-E5B399EE7371}"/>
    <hyperlink ref="K1157" r:id="rId426" display="https://doi.org/10.1210/jc.2011-3061" xr:uid="{A33FA7C9-6171-425D-B873-A37BCAE9FAC2}"/>
    <hyperlink ref="K1158" r:id="rId427" display="https://doi.org/10.1093/humrep%2Fdez086" xr:uid="{46E7DB1E-B765-420B-ADCC-929A2E0B00A9}"/>
    <hyperlink ref="K1159" r:id="rId428" display="https://doi.org/10.1186/s12905-022-01756-4" xr:uid="{10CBE567-7601-4EC2-8733-102CBA952FB0}"/>
    <hyperlink ref="K1160" r:id="rId429" display="https://doi.org/10.5152/jtgga.2016.15235" xr:uid="{33BD4B28-662B-4CC3-9164-7440739C0227}"/>
    <hyperlink ref="K1161" r:id="rId430" display="https://doi.org/10.1016/j.cyto.2016.12.020" xr:uid="{3F94D653-4610-480D-A9D7-68E2FFA4286A}"/>
    <hyperlink ref="K1162" r:id="rId431" display="https://doi.org/10.1111/cen.13919" xr:uid="{35DBD231-CF91-463E-9A42-599EBAC5C826}"/>
    <hyperlink ref="K1163" r:id="rId432" display="https://doi.org/10.3109/09513590.2011.588749" xr:uid="{69898039-9AA3-403D-A50A-CC9E45B1E006}"/>
    <hyperlink ref="K1164" r:id="rId433" display="https://doi.org/10.1016/j.fertnstert.2015.11.008" xr:uid="{B9B51AC2-5153-45FC-B5E3-84DB8BD7F555}"/>
    <hyperlink ref="K1165" r:id="rId434" display="https://doi.org/10.1016/j.fertnstert.2011.05.076" xr:uid="{DCB2D038-0BEE-4C10-A3E0-BECFDB63CF84}"/>
    <hyperlink ref="K1167" r:id="rId435" display="https://doi.org/10.1007/s10815-009-9304-z" xr:uid="{0262F6AC-B334-4348-839D-977C48B7FB0B}"/>
    <hyperlink ref="K1168" r:id="rId436" display="https://doi.org/10.1016/j.ajog.2013.05.007" xr:uid="{DAEAC96F-7FD7-42C4-8331-0299C40335B3}"/>
    <hyperlink ref="K1169" r:id="rId437" display="https://doi.org/10.1093/HUMREP%2F16.12.2606" xr:uid="{355546FB-291B-4E2A-9829-B9DC12FDF17B}"/>
    <hyperlink ref="K1170" r:id="rId438" display="https://doi.org/10.1186/s12958-018-0438-7" xr:uid="{AEC41F4D-8534-4058-89A3-49E34B5F4AB4}"/>
    <hyperlink ref="K1171" r:id="rId439" display="https://doi.org/10.1186/1471-2393-14-11" xr:uid="{21C2B198-DEFA-4C49-BF6B-7357B5FF6412}"/>
    <hyperlink ref="K1172" r:id="rId440" display="https://doi.org/10.1080/09513590.2017.1292241" xr:uid="{74653F77-970D-44A9-A74E-157AA423ACC9}"/>
    <hyperlink ref="K1173" r:id="rId441" display="https://doi.org/10.1155/2020%2F6434080" xr:uid="{51A00BCF-1A6E-481D-8BB3-FCF608F717D0}"/>
    <hyperlink ref="K1175" r:id="rId442" display="https://doi.org/10.1177/147323000603400109" xr:uid="{6CC27FC3-600A-40FD-9BD0-C203DF5EF6C5}"/>
    <hyperlink ref="K1179" r:id="rId443" display="https://doi.org/10.1016/j.fertnstert.2007.08.044" xr:uid="{89021734-BAE8-416F-8452-5014579F5763}"/>
    <hyperlink ref="K1181" r:id="rId444" display="https://doi.org/10.1056/NEJMoa1313517" xr:uid="{BCECAEAF-092E-40D3-A2EA-32DE00C4120C}"/>
    <hyperlink ref="K1182" r:id="rId445" display="https://doi.org/10.1080/09513590.2017.1332174" xr:uid="{346239E2-2600-4399-BC5F-7942E3C0AC57}"/>
    <hyperlink ref="K1183" r:id="rId446" display="https://doi.org/10.1007/s00404-011-2091-7" xr:uid="{8C193AAD-E9C6-4E92-94D2-779DAA8C39E3}"/>
    <hyperlink ref="K1185" r:id="rId447" display="https://doi.org/10.1007/s00404-011-2091-7" xr:uid="{86A61A78-035F-400C-A679-40D398C26EDF}"/>
    <hyperlink ref="K1191" r:id="rId448" display="https://doi.org/10.1177/147323000603400109" xr:uid="{0318AA79-5E84-474B-8A46-503344BA0CEB}"/>
    <hyperlink ref="K1194" r:id="rId449" display="https://doi.org/10.1016/j.fertnstert.2007.08.044" xr:uid="{39F09E31-B76E-4B83-9C80-36979EE7D86F}"/>
    <hyperlink ref="K1195" r:id="rId450" display="https://doi.org/10.1111/j.1447-0756.2012.02072.x" xr:uid="{3C0A749B-3D6A-4338-80EC-2FA4D063E6EA}"/>
    <hyperlink ref="K1199" r:id="rId451" display="https://doi.org/10.1007/s10815-013-0090-2" xr:uid="{A2ADF71A-5595-4A77-8B45-060ADCCB1B2E}"/>
    <hyperlink ref="K1206" r:id="rId452" display="https://doi.org/10.1093/humrep%2Fder154" xr:uid="{46D2EF85-56C8-43D2-B5E5-1F0F1A344545}"/>
    <hyperlink ref="K1208" r:id="rId453" display="https://doi.org/10.1016/S1472-6483%2810%2961273-4" xr:uid="{E4B117F0-04E0-4BFE-A08A-5B4E3E896B23}"/>
    <hyperlink ref="K1209" r:id="rId454" display="https://doi.org/10.1056/NEJMOA063971" xr:uid="{7824FD88-BA6D-4E88-AE8B-5AA4289B7E3D}"/>
    <hyperlink ref="K1210" r:id="rId455" display="https://doi.org/10.1056/NEJMoa1313517" xr:uid="{C524CED2-12BA-4159-9288-B64B48007A5D}"/>
    <hyperlink ref="K1212" r:id="rId456" display="https://doi.org/10.1007/s00404-011-2091-7" xr:uid="{B9110D05-9153-48F4-9486-EFE412C987DB}"/>
    <hyperlink ref="K1224" r:id="rId457" display="https://doi.org/10.1111/j.1447-0756.2012.02072.x" xr:uid="{2F8C45F7-1B3C-4150-A0D7-DE16CB693E5C}"/>
    <hyperlink ref="K1228" r:id="rId458" display="https://doi.org/10.1007/s10815-013-0090-2" xr:uid="{CA5240D9-A8C0-4B2B-BAFD-A2E40ABBB726}"/>
    <hyperlink ref="K1231" r:id="rId459" display="https://doi.org/10.1016/S1472-6483%2810%2961273-4" xr:uid="{71ACE50D-6C6D-46E4-B8FC-CDDEAAF40681}"/>
    <hyperlink ref="K1233" r:id="rId460" display="https://doi.org/10.5005/JP-JOURNALS-10006-1525" xr:uid="{2FDB73B6-308E-4B08-9EDE-9CF6366F04A6}"/>
    <hyperlink ref="K1239" r:id="rId461" display="https://doi.org/10.1089/GYN.2006.22.105" xr:uid="{30664616-CBBC-45C0-8A62-7097B173B102}"/>
    <hyperlink ref="K1240" r:id="rId462" display="https://doi.org/10.5005/JP-JOURNALS-10006-1525" xr:uid="{02960067-87B2-466B-8BEF-A8B867E5CB9A}"/>
    <hyperlink ref="K1245" r:id="rId463" display="https://doi.org/10.1007/s00404-012-2348-9" xr:uid="{A5A11EA4-7DE3-4477-8E02-7FF7E7522D11}"/>
    <hyperlink ref="K1246" r:id="rId464" display="https://doi.org/10.1007/s10815-008-9249-7" xr:uid="{13D79805-38E0-42BB-9768-9F27044631E8}"/>
    <hyperlink ref="K1247" r:id="rId465" display="https://doi.org/10.1093/HUMREP%2FDEM033" xr:uid="{D767423F-B7EA-4AFA-AFEA-896EB049186C}"/>
    <hyperlink ref="K1248" r:id="rId466" display="https://doi.org/10.1093/humrep%2Fdep436" xr:uid="{8D4272D2-4468-47E7-AC1C-FAAB802E9015}"/>
    <hyperlink ref="K1252" r:id="rId467" display="https://doi.org/10.1080/14767050600761893" xr:uid="{897D89EF-FDAC-4169-94C4-6D9729753E2D}"/>
    <hyperlink ref="K1256" r:id="rId468" display="https://doi.org/10.1093/HUMREP%2FDEH248" xr:uid="{06F0A748-B98F-442E-85A7-17E94C1BB8ED}"/>
    <hyperlink ref="K1257" r:id="rId469" display="https://doi.org/10.1093/humrep%2Fder154" xr:uid="{A7B65EEE-1A73-47BE-805D-03BC9F224EFE}"/>
    <hyperlink ref="K1259" r:id="rId470" display="https://doi.org/10.1093/HUMREP%2FDEL025" xr:uid="{28C7A446-5ED0-479E-96A7-619E06E0B537}"/>
    <hyperlink ref="M456" r:id="rId471" tooltip="https://openalex.org/W2115750705" display="https://openalex.org/W2115750705" xr:uid="{C70F63F8-3DB9-40F8-B4E7-C6ADB4CA60BE}"/>
    <hyperlink ref="K56" r:id="rId472" display="https://doi.org/10.9790/0853-1602085156" xr:uid="{0699B52F-7B21-4073-B5A5-A5A6FE57AED3}"/>
    <hyperlink ref="K135" r:id="rId473" display="https://doi.org/10.1515/ijamh-2013-0335" xr:uid="{8B26FA57-CD53-42ED-A069-4A917BFAE660}"/>
    <hyperlink ref="K545" r:id="rId474" display="https://doi.org/10.1177/2055102915603051" xr:uid="{E2EA529A-E911-43E8-8A83-5EE4FC43CA6D}"/>
    <hyperlink ref="K301" r:id="rId475" display="https://doi.org/10.1016/J.FERTNSTERT.2011.07.502" xr:uid="{655FEF75-E1D2-4843-A681-BDC778AEB687}"/>
    <hyperlink ref="M301" r:id="rId476" tooltip="https://openalex.org/W4253108685" display="https://openalex.org/W4253108685" xr:uid="{65348369-1D75-44B5-ABE2-54523DA7A59C}"/>
    <hyperlink ref="K632" r:id="rId477" display="https://doi.org/10.23751/pn.v21i1-S.5616" xr:uid="{27587C32-B769-46D5-969F-9DE2EA1EEB79}"/>
  </hyperlinks>
  <pageMargins left="0.7" right="0.7" top="0.75" bottom="0.75" header="0.3" footer="0.3"/>
  <pageSetup paperSize="9" orientation="portrait" r:id="rId47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16D5-316A-446F-8A4C-89AC7B832076}">
  <sheetPr codeName="Sheet3"/>
  <dimension ref="A1"/>
  <sheetViews>
    <sheetView workbookViewId="0">
      <selection activeCell="H23" sqref="H23"/>
    </sheetView>
  </sheetViews>
  <sheetFormatPr defaultRowHeight="15" x14ac:dyDescent="0.25"/>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E569-ABCA-4846-A3B3-88A717969EEA}">
  <sheetPr codeName="Sheet4"/>
  <dimension ref="A1:D63"/>
  <sheetViews>
    <sheetView workbookViewId="0">
      <selection activeCell="D1" sqref="D1"/>
    </sheetView>
  </sheetViews>
  <sheetFormatPr defaultRowHeight="15" x14ac:dyDescent="0.25"/>
  <cols>
    <col min="1" max="2" width="17.85546875" customWidth="1"/>
    <col min="3" max="3" width="42.7109375" customWidth="1"/>
    <col min="8" max="8" width="26.85546875" customWidth="1"/>
  </cols>
  <sheetData>
    <row r="1" spans="1:4" ht="409.6" thickBot="1" x14ac:dyDescent="0.3">
      <c r="A1" s="3">
        <v>1</v>
      </c>
      <c r="B1" s="5" t="s">
        <v>181</v>
      </c>
      <c r="C1" t="str">
        <f>A1&amp;" "&amp;B1</f>
        <v>1 polycystic ovary syndrome/</v>
      </c>
      <c r="D1" s="2" t="str">
        <f>_xlfn.TEXTJOIN(CHAR(10), TRUE, C1:C63)</f>
        <v>1 polycystic ovary syndrome/
2 polycystic ovar*.mp.
3 poly-cystic ovar*.mp.
4 PCOS.mp.
5 PCO*.mp.
6 anovulation/
7 anovulat*.mp.
8 oligo-ovulat*.mp.
9 oligoovulat*.mp.
10 Stein-Leventhal.mp.
11 Leventhal.mp.
12 sclerocystic ovary syndrome.mp.
13 OR/ 1-12
14 exp diet/
15 diet*.mp.
16 exp diet therapy/
17 nutrition*.mp.
18 nutrient*.mp.
19 exp food/
20 food.mp.
21 feeding behavior/
22 eat*.mp.
23 intake*.mp.
24 consum*.mp.
25 meat.mp.
26 poultry.mp.
27 chicken.mp.
28 fish.mp.
29 seafood.mp.
30 soy.mp.
31 legume*.mp.
32 bean*.mp.
33 nut*.mp.
34 seed*.mp.
35 dairy.mp.
36 fruit.mp.
37 vegetable.mp.
38 cereal.mp.
39 grain*.mp.
40 sugar-sweetened.mp.
41 soft drink*.mp.
42 juice.mp.
43 processed food*.mp.
44 exp Life Style/
45 lifestyle.mp.
46 life style.mp.
47 OR/ 14-46
48 exp human activities/
49 physical activity.mp.
50 exp exercise/
51 exercis*.mp.
52 exp leisure activities/
53 leisure.mp.
54 train*.mp.
55 fitness.mp.
56 sedentary behavior/
57 sedentary behavior.mp.
58 sedentary behaviour.mp.
59 OR/ 48-58
60 47 OR 59
61 13 AND 60
62 exp animals/ not humans/
63 #61 NOT #62</v>
      </c>
    </row>
    <row r="2" spans="1:4" ht="15.75" thickBot="1" x14ac:dyDescent="0.3">
      <c r="A2" s="4">
        <f>A1+1</f>
        <v>2</v>
      </c>
      <c r="B2" s="5" t="s">
        <v>170</v>
      </c>
      <c r="C2" t="str">
        <f t="shared" ref="C2:C63" si="0">A2&amp;" "&amp;B2</f>
        <v>2 polycystic ovar*.mp.</v>
      </c>
    </row>
    <row r="3" spans="1:4" ht="15.75" thickBot="1" x14ac:dyDescent="0.3">
      <c r="A3" s="4">
        <f t="shared" ref="A3:A63" si="1">A2+1</f>
        <v>3</v>
      </c>
      <c r="B3" s="5" t="s">
        <v>176</v>
      </c>
      <c r="C3" t="str">
        <f t="shared" si="0"/>
        <v>3 poly-cystic ovar*.mp.</v>
      </c>
    </row>
    <row r="4" spans="1:4" ht="15.75" thickBot="1" x14ac:dyDescent="0.3">
      <c r="A4" s="4">
        <f t="shared" si="1"/>
        <v>4</v>
      </c>
      <c r="B4" s="5" t="s">
        <v>182</v>
      </c>
      <c r="C4" t="str">
        <f t="shared" si="0"/>
        <v>4 PCOS.mp.</v>
      </c>
    </row>
    <row r="5" spans="1:4" ht="15.75" thickBot="1" x14ac:dyDescent="0.3">
      <c r="A5" s="4">
        <f t="shared" si="1"/>
        <v>5</v>
      </c>
      <c r="B5" s="5" t="s">
        <v>171</v>
      </c>
      <c r="C5" t="str">
        <f t="shared" si="0"/>
        <v>5 PCO*.mp.</v>
      </c>
    </row>
    <row r="6" spans="1:4" ht="15.75" thickBot="1" x14ac:dyDescent="0.3">
      <c r="A6" s="4">
        <f t="shared" si="1"/>
        <v>6</v>
      </c>
      <c r="B6" s="5" t="s">
        <v>172</v>
      </c>
      <c r="C6" t="str">
        <f t="shared" si="0"/>
        <v>6 anovulation/</v>
      </c>
    </row>
    <row r="7" spans="1:4" ht="15.75" thickBot="1" x14ac:dyDescent="0.3">
      <c r="A7" s="4">
        <f t="shared" si="1"/>
        <v>7</v>
      </c>
      <c r="B7" s="5" t="s">
        <v>173</v>
      </c>
      <c r="C7" t="str">
        <f t="shared" si="0"/>
        <v>7 anovulat*.mp.</v>
      </c>
    </row>
    <row r="8" spans="1:4" ht="15.75" thickBot="1" x14ac:dyDescent="0.3">
      <c r="A8" s="4">
        <f t="shared" si="1"/>
        <v>8</v>
      </c>
      <c r="B8" s="5" t="s">
        <v>174</v>
      </c>
      <c r="C8" t="str">
        <f t="shared" si="0"/>
        <v>8 oligo-ovulat*.mp.</v>
      </c>
    </row>
    <row r="9" spans="1:4" ht="15.75" thickBot="1" x14ac:dyDescent="0.3">
      <c r="A9" s="4">
        <f t="shared" si="1"/>
        <v>9</v>
      </c>
      <c r="B9" s="5" t="s">
        <v>175</v>
      </c>
      <c r="C9" t="str">
        <f t="shared" si="0"/>
        <v>9 oligoovulat*.mp.</v>
      </c>
    </row>
    <row r="10" spans="1:4" ht="15.75" thickBot="1" x14ac:dyDescent="0.3">
      <c r="A10" s="4">
        <f t="shared" si="1"/>
        <v>10</v>
      </c>
      <c r="B10" s="5" t="s">
        <v>183</v>
      </c>
      <c r="C10" t="str">
        <f t="shared" si="0"/>
        <v>10 Stein-Leventhal.mp.</v>
      </c>
    </row>
    <row r="11" spans="1:4" ht="15.75" thickBot="1" x14ac:dyDescent="0.3">
      <c r="A11" s="4">
        <f t="shared" si="1"/>
        <v>11</v>
      </c>
      <c r="B11" s="5" t="s">
        <v>184</v>
      </c>
      <c r="C11" t="str">
        <f t="shared" si="0"/>
        <v>11 Leventhal.mp.</v>
      </c>
    </row>
    <row r="12" spans="1:4" ht="26.25" thickBot="1" x14ac:dyDescent="0.3">
      <c r="A12" s="4">
        <f t="shared" si="1"/>
        <v>12</v>
      </c>
      <c r="B12" s="5" t="s">
        <v>185</v>
      </c>
      <c r="C12" t="str">
        <f t="shared" si="0"/>
        <v>12 sclerocystic ovary syndrome.mp.</v>
      </c>
    </row>
    <row r="13" spans="1:4" ht="15.75" thickBot="1" x14ac:dyDescent="0.3">
      <c r="A13" s="4">
        <f t="shared" si="1"/>
        <v>13</v>
      </c>
      <c r="B13" s="5" t="s">
        <v>186</v>
      </c>
      <c r="C13" t="str">
        <f t="shared" si="0"/>
        <v>13 OR/ 1-12</v>
      </c>
    </row>
    <row r="14" spans="1:4" ht="15.75" thickBot="1" x14ac:dyDescent="0.3">
      <c r="A14" s="4">
        <f t="shared" si="1"/>
        <v>14</v>
      </c>
      <c r="B14" s="5" t="s">
        <v>187</v>
      </c>
      <c r="C14" t="str">
        <f t="shared" si="0"/>
        <v>14 exp diet/</v>
      </c>
    </row>
    <row r="15" spans="1:4" ht="15.75" thickBot="1" x14ac:dyDescent="0.3">
      <c r="A15" s="4">
        <f t="shared" si="1"/>
        <v>15</v>
      </c>
      <c r="B15" s="5" t="s">
        <v>188</v>
      </c>
      <c r="C15" t="str">
        <f t="shared" si="0"/>
        <v>15 diet*.mp.</v>
      </c>
    </row>
    <row r="16" spans="1:4" ht="15.75" thickBot="1" x14ac:dyDescent="0.3">
      <c r="A16" s="4">
        <f t="shared" si="1"/>
        <v>16</v>
      </c>
      <c r="B16" s="5" t="s">
        <v>189</v>
      </c>
      <c r="C16" t="str">
        <f t="shared" si="0"/>
        <v>16 exp diet therapy/</v>
      </c>
    </row>
    <row r="17" spans="1:3" ht="15.75" thickBot="1" x14ac:dyDescent="0.3">
      <c r="A17" s="4">
        <f t="shared" si="1"/>
        <v>17</v>
      </c>
      <c r="B17" s="5" t="s">
        <v>190</v>
      </c>
      <c r="C17" t="str">
        <f t="shared" si="0"/>
        <v>17 nutrition*.mp.</v>
      </c>
    </row>
    <row r="18" spans="1:3" ht="15.75" thickBot="1" x14ac:dyDescent="0.3">
      <c r="A18" s="4">
        <f t="shared" si="1"/>
        <v>18</v>
      </c>
      <c r="B18" s="5" t="s">
        <v>191</v>
      </c>
      <c r="C18" t="str">
        <f t="shared" si="0"/>
        <v>18 nutrient*.mp.</v>
      </c>
    </row>
    <row r="19" spans="1:3" ht="15.75" thickBot="1" x14ac:dyDescent="0.3">
      <c r="A19" s="4">
        <f t="shared" si="1"/>
        <v>19</v>
      </c>
      <c r="B19" s="5" t="s">
        <v>192</v>
      </c>
      <c r="C19" t="str">
        <f t="shared" si="0"/>
        <v>19 exp food/</v>
      </c>
    </row>
    <row r="20" spans="1:3" ht="15.75" thickBot="1" x14ac:dyDescent="0.3">
      <c r="A20" s="4">
        <f t="shared" si="1"/>
        <v>20</v>
      </c>
      <c r="B20" s="5" t="s">
        <v>193</v>
      </c>
      <c r="C20" t="str">
        <f t="shared" si="0"/>
        <v>20 food.mp.</v>
      </c>
    </row>
    <row r="21" spans="1:3" ht="15.75" thickBot="1" x14ac:dyDescent="0.3">
      <c r="A21" s="4">
        <f t="shared" si="1"/>
        <v>21</v>
      </c>
      <c r="B21" s="5" t="s">
        <v>194</v>
      </c>
      <c r="C21" t="str">
        <f t="shared" si="0"/>
        <v>21 feeding behavior/</v>
      </c>
    </row>
    <row r="22" spans="1:3" ht="15.75" thickBot="1" x14ac:dyDescent="0.3">
      <c r="A22" s="4">
        <f t="shared" si="1"/>
        <v>22</v>
      </c>
      <c r="B22" s="5" t="s">
        <v>195</v>
      </c>
      <c r="C22" t="str">
        <f t="shared" si="0"/>
        <v>22 eat*.mp.</v>
      </c>
    </row>
    <row r="23" spans="1:3" ht="15.75" thickBot="1" x14ac:dyDescent="0.3">
      <c r="A23" s="4">
        <f t="shared" si="1"/>
        <v>23</v>
      </c>
      <c r="B23" s="5" t="s">
        <v>196</v>
      </c>
      <c r="C23" t="str">
        <f t="shared" si="0"/>
        <v>23 intake*.mp.</v>
      </c>
    </row>
    <row r="24" spans="1:3" ht="15.75" thickBot="1" x14ac:dyDescent="0.3">
      <c r="A24" s="4">
        <f t="shared" si="1"/>
        <v>24</v>
      </c>
      <c r="B24" s="5" t="s">
        <v>197</v>
      </c>
      <c r="C24" t="str">
        <f t="shared" si="0"/>
        <v>24 consum*.mp.</v>
      </c>
    </row>
    <row r="25" spans="1:3" ht="15.75" thickBot="1" x14ac:dyDescent="0.3">
      <c r="A25" s="4">
        <f t="shared" si="1"/>
        <v>25</v>
      </c>
      <c r="B25" s="5" t="s">
        <v>198</v>
      </c>
      <c r="C25" t="str">
        <f t="shared" si="0"/>
        <v>25 meat.mp.</v>
      </c>
    </row>
    <row r="26" spans="1:3" ht="15.75" thickBot="1" x14ac:dyDescent="0.3">
      <c r="A26" s="4">
        <f t="shared" si="1"/>
        <v>26</v>
      </c>
      <c r="B26" s="5" t="s">
        <v>199</v>
      </c>
      <c r="C26" t="str">
        <f t="shared" si="0"/>
        <v>26 poultry.mp.</v>
      </c>
    </row>
    <row r="27" spans="1:3" ht="15.75" thickBot="1" x14ac:dyDescent="0.3">
      <c r="A27" s="4">
        <f t="shared" si="1"/>
        <v>27</v>
      </c>
      <c r="B27" s="5" t="s">
        <v>200</v>
      </c>
      <c r="C27" t="str">
        <f t="shared" si="0"/>
        <v>27 chicken.mp.</v>
      </c>
    </row>
    <row r="28" spans="1:3" ht="15.75" thickBot="1" x14ac:dyDescent="0.3">
      <c r="A28" s="4">
        <f t="shared" si="1"/>
        <v>28</v>
      </c>
      <c r="B28" s="5" t="s">
        <v>201</v>
      </c>
      <c r="C28" t="str">
        <f t="shared" si="0"/>
        <v>28 fish.mp.</v>
      </c>
    </row>
    <row r="29" spans="1:3" ht="15.75" thickBot="1" x14ac:dyDescent="0.3">
      <c r="A29" s="4">
        <f t="shared" si="1"/>
        <v>29</v>
      </c>
      <c r="B29" s="5" t="s">
        <v>202</v>
      </c>
      <c r="C29" t="str">
        <f t="shared" si="0"/>
        <v>29 seafood.mp.</v>
      </c>
    </row>
    <row r="30" spans="1:3" ht="15.75" thickBot="1" x14ac:dyDescent="0.3">
      <c r="A30" s="4">
        <f t="shared" si="1"/>
        <v>30</v>
      </c>
      <c r="B30" s="5" t="s">
        <v>203</v>
      </c>
      <c r="C30" t="str">
        <f t="shared" si="0"/>
        <v>30 soy.mp.</v>
      </c>
    </row>
    <row r="31" spans="1:3" ht="15.75" thickBot="1" x14ac:dyDescent="0.3">
      <c r="A31" s="4">
        <f t="shared" si="1"/>
        <v>31</v>
      </c>
      <c r="B31" s="5" t="s">
        <v>204</v>
      </c>
      <c r="C31" t="str">
        <f t="shared" si="0"/>
        <v>31 legume*.mp.</v>
      </c>
    </row>
    <row r="32" spans="1:3" ht="15.75" thickBot="1" x14ac:dyDescent="0.3">
      <c r="A32" s="4">
        <f t="shared" si="1"/>
        <v>32</v>
      </c>
      <c r="B32" t="s">
        <v>205</v>
      </c>
      <c r="C32" t="str">
        <f t="shared" si="0"/>
        <v>32 bean*.mp.</v>
      </c>
    </row>
    <row r="33" spans="1:3" ht="15.75" thickBot="1" x14ac:dyDescent="0.3">
      <c r="A33" s="4">
        <f t="shared" si="1"/>
        <v>33</v>
      </c>
      <c r="B33" t="s">
        <v>206</v>
      </c>
      <c r="C33" t="str">
        <f t="shared" si="0"/>
        <v>33 nut*.mp.</v>
      </c>
    </row>
    <row r="34" spans="1:3" ht="15.75" thickBot="1" x14ac:dyDescent="0.3">
      <c r="A34" s="4">
        <f t="shared" si="1"/>
        <v>34</v>
      </c>
      <c r="B34" t="s">
        <v>207</v>
      </c>
      <c r="C34" t="str">
        <f t="shared" si="0"/>
        <v>34 seed*.mp.</v>
      </c>
    </row>
    <row r="35" spans="1:3" ht="15.75" thickBot="1" x14ac:dyDescent="0.3">
      <c r="A35" s="4">
        <f t="shared" si="1"/>
        <v>35</v>
      </c>
      <c r="B35" t="s">
        <v>208</v>
      </c>
      <c r="C35" t="str">
        <f t="shared" si="0"/>
        <v>35 dairy.mp.</v>
      </c>
    </row>
    <row r="36" spans="1:3" ht="15.75" thickBot="1" x14ac:dyDescent="0.3">
      <c r="A36" s="4">
        <f t="shared" si="1"/>
        <v>36</v>
      </c>
      <c r="B36" t="s">
        <v>209</v>
      </c>
      <c r="C36" t="str">
        <f t="shared" si="0"/>
        <v>36 fruit.mp.</v>
      </c>
    </row>
    <row r="37" spans="1:3" ht="15.75" thickBot="1" x14ac:dyDescent="0.3">
      <c r="A37" s="4">
        <f t="shared" si="1"/>
        <v>37</v>
      </c>
      <c r="B37" t="s">
        <v>210</v>
      </c>
      <c r="C37" t="str">
        <f t="shared" si="0"/>
        <v>37 vegetable.mp.</v>
      </c>
    </row>
    <row r="38" spans="1:3" ht="15.75" thickBot="1" x14ac:dyDescent="0.3">
      <c r="A38" s="4">
        <f t="shared" si="1"/>
        <v>38</v>
      </c>
      <c r="B38" t="s">
        <v>211</v>
      </c>
      <c r="C38" t="str">
        <f t="shared" si="0"/>
        <v>38 cereal.mp.</v>
      </c>
    </row>
    <row r="39" spans="1:3" ht="15.75" thickBot="1" x14ac:dyDescent="0.3">
      <c r="A39" s="4">
        <f t="shared" si="1"/>
        <v>39</v>
      </c>
      <c r="B39" t="s">
        <v>212</v>
      </c>
      <c r="C39" t="str">
        <f t="shared" si="0"/>
        <v>39 grain*.mp.</v>
      </c>
    </row>
    <row r="40" spans="1:3" ht="15.75" thickBot="1" x14ac:dyDescent="0.3">
      <c r="A40" s="4">
        <f t="shared" si="1"/>
        <v>40</v>
      </c>
      <c r="B40" t="s">
        <v>213</v>
      </c>
      <c r="C40" t="str">
        <f t="shared" si="0"/>
        <v>40 sugar-sweetened.mp.</v>
      </c>
    </row>
    <row r="41" spans="1:3" ht="15.75" thickBot="1" x14ac:dyDescent="0.3">
      <c r="A41" s="4">
        <f t="shared" si="1"/>
        <v>41</v>
      </c>
      <c r="B41" t="s">
        <v>214</v>
      </c>
      <c r="C41" t="str">
        <f t="shared" si="0"/>
        <v>41 soft drink*.mp.</v>
      </c>
    </row>
    <row r="42" spans="1:3" ht="15.75" thickBot="1" x14ac:dyDescent="0.3">
      <c r="A42" s="4">
        <f t="shared" si="1"/>
        <v>42</v>
      </c>
      <c r="B42" t="s">
        <v>215</v>
      </c>
      <c r="C42" t="str">
        <f t="shared" si="0"/>
        <v>42 juice.mp.</v>
      </c>
    </row>
    <row r="43" spans="1:3" ht="15.75" thickBot="1" x14ac:dyDescent="0.3">
      <c r="A43" s="4">
        <f t="shared" si="1"/>
        <v>43</v>
      </c>
      <c r="B43" t="s">
        <v>216</v>
      </c>
      <c r="C43" t="str">
        <f t="shared" si="0"/>
        <v>43 processed food*.mp.</v>
      </c>
    </row>
    <row r="44" spans="1:3" ht="15.75" thickBot="1" x14ac:dyDescent="0.3">
      <c r="A44" s="4">
        <f t="shared" si="1"/>
        <v>44</v>
      </c>
      <c r="B44" t="s">
        <v>217</v>
      </c>
      <c r="C44" t="str">
        <f t="shared" si="0"/>
        <v>44 exp Life Style/</v>
      </c>
    </row>
    <row r="45" spans="1:3" ht="15.75" thickBot="1" x14ac:dyDescent="0.3">
      <c r="A45" s="4">
        <f t="shared" si="1"/>
        <v>45</v>
      </c>
      <c r="B45" t="s">
        <v>218</v>
      </c>
      <c r="C45" t="str">
        <f t="shared" si="0"/>
        <v>45 lifestyle.mp.</v>
      </c>
    </row>
    <row r="46" spans="1:3" ht="15.75" thickBot="1" x14ac:dyDescent="0.3">
      <c r="A46" s="4">
        <f t="shared" si="1"/>
        <v>46</v>
      </c>
      <c r="B46" t="s">
        <v>219</v>
      </c>
      <c r="C46" t="str">
        <f t="shared" si="0"/>
        <v>46 life style.mp.</v>
      </c>
    </row>
    <row r="47" spans="1:3" ht="15.75" thickBot="1" x14ac:dyDescent="0.3">
      <c r="A47" s="4">
        <f t="shared" si="1"/>
        <v>47</v>
      </c>
      <c r="B47" t="s">
        <v>220</v>
      </c>
      <c r="C47" t="str">
        <f t="shared" si="0"/>
        <v>47 OR/ 14-46</v>
      </c>
    </row>
    <row r="48" spans="1:3" ht="15.75" thickBot="1" x14ac:dyDescent="0.3">
      <c r="A48" s="4">
        <f t="shared" si="1"/>
        <v>48</v>
      </c>
      <c r="B48" t="s">
        <v>221</v>
      </c>
      <c r="C48" t="str">
        <f t="shared" si="0"/>
        <v>48 exp human activities/</v>
      </c>
    </row>
    <row r="49" spans="1:3" ht="15.75" thickBot="1" x14ac:dyDescent="0.3">
      <c r="A49" s="4">
        <f t="shared" si="1"/>
        <v>49</v>
      </c>
      <c r="B49" t="s">
        <v>222</v>
      </c>
      <c r="C49" t="str">
        <f t="shared" si="0"/>
        <v>49 physical activity.mp.</v>
      </c>
    </row>
    <row r="50" spans="1:3" ht="15.75" thickBot="1" x14ac:dyDescent="0.3">
      <c r="A50" s="4">
        <f t="shared" si="1"/>
        <v>50</v>
      </c>
      <c r="B50" t="s">
        <v>178</v>
      </c>
      <c r="C50" t="str">
        <f t="shared" si="0"/>
        <v>50 exp exercise/</v>
      </c>
    </row>
    <row r="51" spans="1:3" ht="15.75" thickBot="1" x14ac:dyDescent="0.3">
      <c r="A51" s="4">
        <f t="shared" si="1"/>
        <v>51</v>
      </c>
      <c r="B51" t="s">
        <v>223</v>
      </c>
      <c r="C51" t="str">
        <f t="shared" si="0"/>
        <v>51 exercis*.mp.</v>
      </c>
    </row>
    <row r="52" spans="1:3" ht="15.75" thickBot="1" x14ac:dyDescent="0.3">
      <c r="A52" s="4">
        <f t="shared" si="1"/>
        <v>52</v>
      </c>
      <c r="B52" t="s">
        <v>224</v>
      </c>
      <c r="C52" t="str">
        <f t="shared" si="0"/>
        <v>52 exp leisure activities/</v>
      </c>
    </row>
    <row r="53" spans="1:3" ht="15.75" thickBot="1" x14ac:dyDescent="0.3">
      <c r="A53" s="4">
        <f t="shared" si="1"/>
        <v>53</v>
      </c>
      <c r="B53" t="s">
        <v>225</v>
      </c>
      <c r="C53" t="str">
        <f t="shared" si="0"/>
        <v>53 leisure.mp.</v>
      </c>
    </row>
    <row r="54" spans="1:3" ht="15.75" thickBot="1" x14ac:dyDescent="0.3">
      <c r="A54" s="4">
        <f t="shared" si="1"/>
        <v>54</v>
      </c>
      <c r="B54" t="s">
        <v>177</v>
      </c>
      <c r="C54" t="str">
        <f t="shared" si="0"/>
        <v>54 train*.mp.</v>
      </c>
    </row>
    <row r="55" spans="1:3" ht="15.75" thickBot="1" x14ac:dyDescent="0.3">
      <c r="A55" s="4">
        <f t="shared" si="1"/>
        <v>55</v>
      </c>
      <c r="B55" t="s">
        <v>226</v>
      </c>
      <c r="C55" t="str">
        <f t="shared" si="0"/>
        <v>55 fitness.mp.</v>
      </c>
    </row>
    <row r="56" spans="1:3" ht="15.75" thickBot="1" x14ac:dyDescent="0.3">
      <c r="A56" s="4">
        <f t="shared" si="1"/>
        <v>56</v>
      </c>
      <c r="B56" t="s">
        <v>227</v>
      </c>
      <c r="C56" t="str">
        <f t="shared" si="0"/>
        <v>56 sedentary behavior/</v>
      </c>
    </row>
    <row r="57" spans="1:3" ht="15.75" thickBot="1" x14ac:dyDescent="0.3">
      <c r="A57" s="4">
        <f t="shared" si="1"/>
        <v>57</v>
      </c>
      <c r="B57" t="s">
        <v>228</v>
      </c>
      <c r="C57" t="str">
        <f t="shared" si="0"/>
        <v>57 sedentary behavior.mp.</v>
      </c>
    </row>
    <row r="58" spans="1:3" ht="15.75" thickBot="1" x14ac:dyDescent="0.3">
      <c r="A58" s="4">
        <f t="shared" si="1"/>
        <v>58</v>
      </c>
      <c r="B58" t="s">
        <v>229</v>
      </c>
      <c r="C58" t="str">
        <f t="shared" si="0"/>
        <v>58 sedentary behaviour.mp.</v>
      </c>
    </row>
    <row r="59" spans="1:3" ht="15.75" thickBot="1" x14ac:dyDescent="0.3">
      <c r="A59" s="4">
        <f t="shared" si="1"/>
        <v>59</v>
      </c>
      <c r="B59" t="s">
        <v>230</v>
      </c>
      <c r="C59" t="str">
        <f t="shared" si="0"/>
        <v>59 OR/ 48-58</v>
      </c>
    </row>
    <row r="60" spans="1:3" ht="15.75" thickBot="1" x14ac:dyDescent="0.3">
      <c r="A60" s="4">
        <f t="shared" si="1"/>
        <v>60</v>
      </c>
      <c r="B60" t="s">
        <v>231</v>
      </c>
      <c r="C60" t="str">
        <f t="shared" si="0"/>
        <v>60 47 OR 59</v>
      </c>
    </row>
    <row r="61" spans="1:3" ht="15.75" thickBot="1" x14ac:dyDescent="0.3">
      <c r="A61" s="4">
        <f t="shared" si="1"/>
        <v>61</v>
      </c>
      <c r="B61" t="s">
        <v>232</v>
      </c>
      <c r="C61" t="str">
        <f t="shared" si="0"/>
        <v>61 13 AND 60</v>
      </c>
    </row>
    <row r="62" spans="1:3" ht="15.75" thickBot="1" x14ac:dyDescent="0.3">
      <c r="A62" s="4">
        <f t="shared" si="1"/>
        <v>62</v>
      </c>
      <c r="B62" t="s">
        <v>233</v>
      </c>
      <c r="C62" t="str">
        <f t="shared" si="0"/>
        <v>62 exp animals/ not humans/</v>
      </c>
    </row>
    <row r="63" spans="1:3" ht="15.75" thickBot="1" x14ac:dyDescent="0.3">
      <c r="A63" s="4">
        <f t="shared" si="1"/>
        <v>63</v>
      </c>
      <c r="B63" t="s">
        <v>234</v>
      </c>
      <c r="C63" t="str">
        <f t="shared" si="0"/>
        <v>63 #61 NOT #62</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51BA2-6E47-42BF-851B-D2EE09320ED0}">
  <sheetPr codeName="Sheet5"/>
  <dimension ref="A1:H31"/>
  <sheetViews>
    <sheetView workbookViewId="0">
      <selection activeCell="H1" sqref="H1"/>
    </sheetView>
  </sheetViews>
  <sheetFormatPr defaultRowHeight="15" x14ac:dyDescent="0.25"/>
  <cols>
    <col min="7" max="7" width="106" bestFit="1" customWidth="1"/>
  </cols>
  <sheetData>
    <row r="1" spans="1:8" x14ac:dyDescent="0.25">
      <c r="A1" t="s">
        <v>251</v>
      </c>
      <c r="D1">
        <v>1</v>
      </c>
      <c r="E1" t="str">
        <f>MID(A1, FIND(".", A1) + 2, LEN(A1))</f>
        <v>exp Polycystic Ovary Syndrome/</v>
      </c>
      <c r="G1" t="str">
        <f>D1&amp;" "&amp;E1</f>
        <v>1 exp Polycystic Ovary Syndrome/</v>
      </c>
      <c r="H1" t="str">
        <f>_xlfn.TEXTJOIN(CHAR(10), TRUE, G1:G28)</f>
        <v>1 exp Polycystic Ovary Syndrome/
2 polycystic ovar$.mp.
3 poly-cystic ovar$.mp.
4 PCO$.mp.
5 (stein-leventhal or leventhal).mp.
6 anovulation/
7 anovulat$.mp.
8 oligo-ovulat$.mp.
9 oligoovulat$.mp.
10 (ovar$ adj5 (scelerocystic or polycystic or poly-cystic or degenerat$ or hyperandrogen$ or hyper-androgen$)).mp.
11  1 OR 2 OR 3 OR 4 OR 5 OR 6 OR 7 OR 8 OR 9 OR 10 OR 11
12 Exp hirsutism/
13 hypertrichosis.ti,ab
14 12 OR 13
15 Remov* adj5 hair.mp.
16 (Laser* adj5 (hair or hair-remov* or remov* or alexandrite or diode or ruby or YAG)).mp.
17 photoepilation.ti,ab
18 intense pulsed light.ti,ab
19 IPL.ti,ab
20 hair-follicl*.ti,ab
21 Hair follicl*.ti,ab
22 hair-removal.ti,ab
23 Laser-surgery.ti,ab
24 Light-coagulation.ti,ab (N.B. in cinahl have to do light coagulation, light-coagulation nil search results)
25 Light adj5 (hair or remov* or laser) .ti,ab
26 Electrolysis adj5 hair.ti,ab
27 15 OR 16 OR 17 OR 18 OR 19 OR 20 OR 21 OR 22 OR 23 OR 24 OR 25 OR 26
28 11 AND 14 AND 27</v>
      </c>
    </row>
    <row r="2" spans="1:8" x14ac:dyDescent="0.25">
      <c r="A2" t="s">
        <v>252</v>
      </c>
      <c r="D2">
        <f>D1+1</f>
        <v>2</v>
      </c>
      <c r="E2" t="str">
        <f t="shared" ref="E2:E28" si="0">MID(A2, FIND(".", A2) + 2, LEN(A2))</f>
        <v>polycystic ovar$.mp.</v>
      </c>
      <c r="G2" t="str">
        <f t="shared" ref="G2:G28" si="1">D2&amp;" "&amp;E2</f>
        <v>2 polycystic ovar$.mp.</v>
      </c>
    </row>
    <row r="3" spans="1:8" x14ac:dyDescent="0.25">
      <c r="A3" t="s">
        <v>253</v>
      </c>
      <c r="D3">
        <f t="shared" ref="D3:D28" si="2">D2+1</f>
        <v>3</v>
      </c>
      <c r="E3" t="str">
        <f t="shared" si="0"/>
        <v>poly-cystic ovar$.mp.</v>
      </c>
      <c r="G3" t="str">
        <f t="shared" si="1"/>
        <v>3 poly-cystic ovar$.mp.</v>
      </c>
    </row>
    <row r="4" spans="1:8" x14ac:dyDescent="0.25">
      <c r="A4" t="s">
        <v>254</v>
      </c>
      <c r="D4">
        <f t="shared" si="2"/>
        <v>4</v>
      </c>
      <c r="E4" t="str">
        <f t="shared" si="0"/>
        <v>PCO$.mp.</v>
      </c>
      <c r="G4" t="str">
        <f t="shared" si="1"/>
        <v>4 PCO$.mp.</v>
      </c>
    </row>
    <row r="5" spans="1:8" x14ac:dyDescent="0.25">
      <c r="A5" t="s">
        <v>255</v>
      </c>
      <c r="D5">
        <f t="shared" si="2"/>
        <v>5</v>
      </c>
      <c r="E5" t="str">
        <f t="shared" si="0"/>
        <v>(stein-leventhal or leventhal).mp.</v>
      </c>
      <c r="G5" t="str">
        <f t="shared" si="1"/>
        <v>5 (stein-leventhal or leventhal).mp.</v>
      </c>
    </row>
    <row r="6" spans="1:8" x14ac:dyDescent="0.25">
      <c r="A6" t="s">
        <v>256</v>
      </c>
      <c r="D6">
        <f t="shared" si="2"/>
        <v>6</v>
      </c>
      <c r="E6" t="str">
        <f t="shared" si="0"/>
        <v>anovulation/</v>
      </c>
      <c r="G6" t="str">
        <f t="shared" si="1"/>
        <v>6 anovulation/</v>
      </c>
    </row>
    <row r="7" spans="1:8" x14ac:dyDescent="0.25">
      <c r="A7" t="s">
        <v>257</v>
      </c>
      <c r="D7">
        <f t="shared" si="2"/>
        <v>7</v>
      </c>
      <c r="E7" t="str">
        <f t="shared" si="0"/>
        <v>anovulat$.mp.</v>
      </c>
      <c r="G7" t="str">
        <f t="shared" si="1"/>
        <v>7 anovulat$.mp.</v>
      </c>
    </row>
    <row r="8" spans="1:8" x14ac:dyDescent="0.25">
      <c r="A8" t="s">
        <v>258</v>
      </c>
      <c r="D8">
        <f t="shared" si="2"/>
        <v>8</v>
      </c>
      <c r="E8" t="str">
        <f t="shared" si="0"/>
        <v>oligo-ovulat$.mp.</v>
      </c>
      <c r="G8" t="str">
        <f t="shared" si="1"/>
        <v>8 oligo-ovulat$.mp.</v>
      </c>
    </row>
    <row r="9" spans="1:8" x14ac:dyDescent="0.25">
      <c r="A9" t="s">
        <v>259</v>
      </c>
      <c r="D9">
        <f t="shared" si="2"/>
        <v>9</v>
      </c>
      <c r="E9" t="str">
        <f t="shared" si="0"/>
        <v>oligoovulat$.mp.</v>
      </c>
      <c r="G9" t="str">
        <f t="shared" si="1"/>
        <v>9 oligoovulat$.mp.</v>
      </c>
    </row>
    <row r="10" spans="1:8" x14ac:dyDescent="0.25">
      <c r="A10" t="s">
        <v>271</v>
      </c>
      <c r="D10">
        <f t="shared" si="2"/>
        <v>10</v>
      </c>
      <c r="E10" t="str">
        <f t="shared" si="0"/>
        <v>(ovar$ adj5 (scelerocystic or polycystic or poly-cystic or degenerat$ or hyperandrogen$ or hyper-androgen$)).mp.</v>
      </c>
      <c r="G10" t="str">
        <f t="shared" si="1"/>
        <v>10 (ovar$ adj5 (scelerocystic or polycystic or poly-cystic or degenerat$ or hyperandrogen$ or hyper-androgen$)).mp.</v>
      </c>
    </row>
    <row r="11" spans="1:8" x14ac:dyDescent="0.25">
      <c r="A11" t="s">
        <v>272</v>
      </c>
      <c r="D11">
        <f t="shared" si="2"/>
        <v>11</v>
      </c>
      <c r="E11" t="str">
        <f t="shared" si="0"/>
        <v xml:space="preserve"> 1 OR 2 OR 3 OR 4 OR 5 OR 6 OR 7 OR 8 OR 9 OR 10 OR 11</v>
      </c>
      <c r="G11" t="str">
        <f t="shared" si="1"/>
        <v>11  1 OR 2 OR 3 OR 4 OR 5 OR 6 OR 7 OR 8 OR 9 OR 10 OR 11</v>
      </c>
    </row>
    <row r="12" spans="1:8" x14ac:dyDescent="0.25">
      <c r="A12" t="s">
        <v>273</v>
      </c>
      <c r="D12">
        <f t="shared" si="2"/>
        <v>12</v>
      </c>
      <c r="E12" t="str">
        <f t="shared" si="0"/>
        <v>Exp hirsutism/</v>
      </c>
      <c r="G12" t="str">
        <f t="shared" si="1"/>
        <v>12 Exp hirsutism/</v>
      </c>
    </row>
    <row r="13" spans="1:8" x14ac:dyDescent="0.25">
      <c r="A13" t="s">
        <v>274</v>
      </c>
      <c r="D13">
        <f t="shared" si="2"/>
        <v>13</v>
      </c>
      <c r="E13" t="str">
        <f t="shared" si="0"/>
        <v>hypertrichosis.ti,ab</v>
      </c>
      <c r="G13" t="str">
        <f t="shared" si="1"/>
        <v>13 hypertrichosis.ti,ab</v>
      </c>
    </row>
    <row r="14" spans="1:8" x14ac:dyDescent="0.25">
      <c r="A14" t="s">
        <v>275</v>
      </c>
      <c r="D14">
        <f t="shared" si="2"/>
        <v>14</v>
      </c>
      <c r="E14" t="str">
        <f t="shared" si="0"/>
        <v>12 OR 13</v>
      </c>
      <c r="G14" t="str">
        <f t="shared" si="1"/>
        <v>14 12 OR 13</v>
      </c>
    </row>
    <row r="15" spans="1:8" x14ac:dyDescent="0.25">
      <c r="A15" t="s">
        <v>260</v>
      </c>
      <c r="D15">
        <f t="shared" si="2"/>
        <v>15</v>
      </c>
      <c r="E15" t="str">
        <f t="shared" si="0"/>
        <v>Remov* adj5 hair.mp.</v>
      </c>
      <c r="G15" t="str">
        <f t="shared" si="1"/>
        <v>15 Remov* adj5 hair.mp.</v>
      </c>
    </row>
    <row r="16" spans="1:8" x14ac:dyDescent="0.25">
      <c r="A16" t="s">
        <v>276</v>
      </c>
      <c r="D16">
        <f t="shared" si="2"/>
        <v>16</v>
      </c>
      <c r="E16" t="str">
        <f t="shared" si="0"/>
        <v>(Laser* adj5 (hair or hair-remov* or remov* or alexandrite or diode or ruby or YAG)).mp.</v>
      </c>
      <c r="G16" t="str">
        <f t="shared" si="1"/>
        <v>16 (Laser* adj5 (hair or hair-remov* or remov* or alexandrite or diode or ruby or YAG)).mp.</v>
      </c>
    </row>
    <row r="17" spans="1:7" x14ac:dyDescent="0.25">
      <c r="A17" t="s">
        <v>261</v>
      </c>
      <c r="D17">
        <f t="shared" si="2"/>
        <v>17</v>
      </c>
      <c r="E17" t="str">
        <f t="shared" si="0"/>
        <v>photoepilation.ti,ab</v>
      </c>
      <c r="G17" t="str">
        <f t="shared" si="1"/>
        <v>17 photoepilation.ti,ab</v>
      </c>
    </row>
    <row r="18" spans="1:7" x14ac:dyDescent="0.25">
      <c r="A18" t="s">
        <v>262</v>
      </c>
      <c r="D18">
        <f t="shared" si="2"/>
        <v>18</v>
      </c>
      <c r="E18" t="str">
        <f t="shared" si="0"/>
        <v>intense pulsed light.ti,ab</v>
      </c>
      <c r="G18" t="str">
        <f t="shared" si="1"/>
        <v>18 intense pulsed light.ti,ab</v>
      </c>
    </row>
    <row r="19" spans="1:7" x14ac:dyDescent="0.25">
      <c r="A19" t="s">
        <v>263</v>
      </c>
      <c r="D19">
        <f t="shared" si="2"/>
        <v>19</v>
      </c>
      <c r="E19" t="str">
        <f t="shared" si="0"/>
        <v>IPL.ti,ab</v>
      </c>
      <c r="G19" t="str">
        <f t="shared" si="1"/>
        <v>19 IPL.ti,ab</v>
      </c>
    </row>
    <row r="20" spans="1:7" x14ac:dyDescent="0.25">
      <c r="A20" t="s">
        <v>264</v>
      </c>
      <c r="D20">
        <f t="shared" si="2"/>
        <v>20</v>
      </c>
      <c r="E20" t="str">
        <f t="shared" si="0"/>
        <v>hair-follicl*.ti,ab</v>
      </c>
      <c r="G20" t="str">
        <f t="shared" si="1"/>
        <v>20 hair-follicl*.ti,ab</v>
      </c>
    </row>
    <row r="21" spans="1:7" x14ac:dyDescent="0.25">
      <c r="A21" t="s">
        <v>265</v>
      </c>
      <c r="D21">
        <f t="shared" si="2"/>
        <v>21</v>
      </c>
      <c r="E21" t="str">
        <f t="shared" si="0"/>
        <v>Hair follicl*.ti,ab</v>
      </c>
      <c r="G21" t="str">
        <f t="shared" si="1"/>
        <v>21 Hair follicl*.ti,ab</v>
      </c>
    </row>
    <row r="22" spans="1:7" x14ac:dyDescent="0.25">
      <c r="A22" t="s">
        <v>266</v>
      </c>
      <c r="D22">
        <f t="shared" si="2"/>
        <v>22</v>
      </c>
      <c r="E22" t="str">
        <f t="shared" si="0"/>
        <v>hair-removal.ti,ab</v>
      </c>
      <c r="G22" t="str">
        <f t="shared" si="1"/>
        <v>22 hair-removal.ti,ab</v>
      </c>
    </row>
    <row r="23" spans="1:7" x14ac:dyDescent="0.25">
      <c r="A23" t="s">
        <v>267</v>
      </c>
      <c r="D23">
        <f t="shared" si="2"/>
        <v>23</v>
      </c>
      <c r="E23" t="str">
        <f t="shared" si="0"/>
        <v>Laser-surgery.ti,ab</v>
      </c>
      <c r="G23" t="str">
        <f t="shared" si="1"/>
        <v>23 Laser-surgery.ti,ab</v>
      </c>
    </row>
    <row r="24" spans="1:7" x14ac:dyDescent="0.25">
      <c r="A24" t="s">
        <v>277</v>
      </c>
      <c r="D24">
        <f t="shared" si="2"/>
        <v>24</v>
      </c>
      <c r="E24" t="str">
        <f t="shared" si="0"/>
        <v>Light-coagulation.ti,ab (N.B. in cinahl have to do light coagulation, light-coagulation nil search results)</v>
      </c>
      <c r="G24" t="str">
        <f t="shared" si="1"/>
        <v>24 Light-coagulation.ti,ab (N.B. in cinahl have to do light coagulation, light-coagulation nil search results)</v>
      </c>
    </row>
    <row r="25" spans="1:7" x14ac:dyDescent="0.25">
      <c r="A25" t="s">
        <v>268</v>
      </c>
      <c r="D25">
        <f t="shared" si="2"/>
        <v>25</v>
      </c>
      <c r="E25" t="str">
        <f t="shared" si="0"/>
        <v>Light adj5 (hair or remov* or laser) .ti,ab</v>
      </c>
      <c r="G25" t="str">
        <f t="shared" si="1"/>
        <v>25 Light adj5 (hair or remov* or laser) .ti,ab</v>
      </c>
    </row>
    <row r="26" spans="1:7" x14ac:dyDescent="0.25">
      <c r="A26" t="s">
        <v>269</v>
      </c>
      <c r="D26">
        <f t="shared" si="2"/>
        <v>26</v>
      </c>
      <c r="E26" t="str">
        <f t="shared" si="0"/>
        <v>Electrolysis adj5 hair.ti,ab</v>
      </c>
      <c r="G26" t="str">
        <f t="shared" si="1"/>
        <v>26 Electrolysis adj5 hair.ti,ab</v>
      </c>
    </row>
    <row r="27" spans="1:7" x14ac:dyDescent="0.25">
      <c r="A27" t="s">
        <v>278</v>
      </c>
      <c r="D27">
        <f t="shared" si="2"/>
        <v>27</v>
      </c>
      <c r="E27" t="str">
        <f t="shared" si="0"/>
        <v>15 OR 16 OR 17 OR 18 OR 19 OR 20 OR 21 OR 22 OR 23 OR 24 OR 25 OR 26</v>
      </c>
      <c r="G27" t="str">
        <f t="shared" si="1"/>
        <v>27 15 OR 16 OR 17 OR 18 OR 19 OR 20 OR 21 OR 22 OR 23 OR 24 OR 25 OR 26</v>
      </c>
    </row>
    <row r="28" spans="1:7" x14ac:dyDescent="0.25">
      <c r="A28" t="s">
        <v>279</v>
      </c>
      <c r="D28">
        <f t="shared" si="2"/>
        <v>28</v>
      </c>
      <c r="E28" t="str">
        <f t="shared" si="0"/>
        <v>11 AND 14 AND 27</v>
      </c>
      <c r="G28" t="str">
        <f t="shared" si="1"/>
        <v>28 11 AND 14 AND 27</v>
      </c>
    </row>
    <row r="31" spans="1:7" x14ac:dyDescent="0.25">
      <c r="A31" t="s">
        <v>270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7D593-6603-46A9-80A8-9C6019A18218}">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rq_evidence_review</vt:lpstr>
      <vt:lpstr>included_articles</vt:lpstr>
      <vt:lpstr>excluded_articles</vt:lpstr>
      <vt:lpstr>Sheet2</vt:lpstr>
      <vt:lpstr>Sheet3</vt:lpstr>
      <vt:lpstr>Sheet1</vt:lpstr>
      <vt:lpstr>included_articles!Criteria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Darren Kelvin Rajit</dc:creator>
  <cp:lastModifiedBy>Darren Kelvin Rajit</cp:lastModifiedBy>
  <dcterms:created xsi:type="dcterms:W3CDTF">2015-06-05T18:17:20Z</dcterms:created>
  <dcterms:modified xsi:type="dcterms:W3CDTF">2025-02-19T02:54:27Z</dcterms:modified>
</cp:coreProperties>
</file>